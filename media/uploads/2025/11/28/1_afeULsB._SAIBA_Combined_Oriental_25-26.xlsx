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tetrapvt-my.sharepoint.com/personal/minal_sharma_contetra_com/Documents/Demo Solution/Macro files/"/>
    </mc:Choice>
  </mc:AlternateContent>
  <xr:revisionPtr revIDLastSave="11" documentId="8_{A8B99981-14F8-4325-AEFC-F466D2C7E081}" xr6:coauthVersionLast="47" xr6:coauthVersionMax="47" xr10:uidLastSave="{21B1559B-DEEE-40E2-B7AB-3679C4593ABE}"/>
  <bookViews>
    <workbookView xWindow="-98" yWindow="-98" windowWidth="24196" windowHeight="14476" xr2:uid="{DE10B7EB-53D7-4C6A-9750-97B36E2C8D6D}"/>
  </bookViews>
  <sheets>
    <sheet name="Data" sheetId="1" r:id="rId1"/>
    <sheet name="Sheet3" sheetId="3" r:id="rId2"/>
  </sheets>
  <externalReferences>
    <externalReference r:id="rId3"/>
  </externalReferences>
  <definedNames>
    <definedName name="_xlnm._FilterDatabase" localSheetId="0" hidden="1">Data!$A$1:$AD$436</definedName>
    <definedName name="_xlnm._FilterDatabase" localSheetId="1" hidden="1">Sheet3!$D$1:$L$132</definedName>
  </definedNames>
  <calcPr calcId="191028"/>
  <pivotCaches>
    <pivotCache cacheId="183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3" l="1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2" i="3"/>
  <c r="H132" i="3"/>
  <c r="H131" i="3"/>
  <c r="H130" i="3"/>
  <c r="H128" i="3"/>
  <c r="H119" i="3"/>
  <c r="H118" i="3"/>
  <c r="H95" i="3"/>
  <c r="H86" i="3"/>
  <c r="H85" i="3"/>
  <c r="H84" i="3"/>
  <c r="H83" i="3"/>
  <c r="H79" i="3"/>
  <c r="H78" i="3"/>
  <c r="H77" i="3"/>
  <c r="H75" i="3"/>
  <c r="H74" i="3"/>
  <c r="H69" i="3"/>
  <c r="H57" i="3"/>
  <c r="H54" i="3"/>
  <c r="H46" i="3"/>
  <c r="H43" i="3"/>
  <c r="H42" i="3"/>
  <c r="H41" i="3"/>
  <c r="H40" i="3"/>
  <c r="H39" i="3"/>
  <c r="H27" i="3"/>
  <c r="H20" i="3"/>
  <c r="H19" i="3"/>
  <c r="H18" i="3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2" i="3"/>
  <c r="G2" i="3" s="1"/>
</calcChain>
</file>

<file path=xl/sharedStrings.xml><?xml version="1.0" encoding="utf-8"?>
<sst xmlns="http://schemas.openxmlformats.org/spreadsheetml/2006/main" count="7210" uniqueCount="1432">
  <si>
    <t>Month</t>
  </si>
  <si>
    <t>Statement Tupe</t>
  </si>
  <si>
    <t>Office Code</t>
  </si>
  <si>
    <t>Operating Office</t>
  </si>
  <si>
    <t>Unique Ref No</t>
  </si>
  <si>
    <t>Policy Number</t>
  </si>
  <si>
    <t>Endorsement Number</t>
  </si>
  <si>
    <t>Policy Holder Name</t>
  </si>
  <si>
    <t>Effective Start Date</t>
  </si>
  <si>
    <t>Policy Expiry Date</t>
  </si>
  <si>
    <t>Product Code</t>
  </si>
  <si>
    <t>Lob Description</t>
  </si>
  <si>
    <t>Premium</t>
  </si>
  <si>
    <t>Brock %</t>
  </si>
  <si>
    <t>Commission</t>
  </si>
  <si>
    <t>PIBL</t>
  </si>
  <si>
    <t>CN</t>
  </si>
  <si>
    <t>Inst</t>
  </si>
  <si>
    <t>Name for Updation</t>
  </si>
  <si>
    <t>HOD</t>
  </si>
  <si>
    <t>CSC</t>
  </si>
  <si>
    <t>Invoice No</t>
  </si>
  <si>
    <t>Bill ID</t>
  </si>
  <si>
    <t>Allocated Person</t>
  </si>
  <si>
    <t>RFQ status(Yes/No)</t>
  </si>
  <si>
    <t>RFQ No</t>
  </si>
  <si>
    <t>Modification remarks</t>
  </si>
  <si>
    <t xml:space="preserve"> Remarks</t>
  </si>
  <si>
    <t>Sachin</t>
  </si>
  <si>
    <t>reason</t>
  </si>
  <si>
    <t>Jun'25</t>
  </si>
  <si>
    <t>DO 21 NEW DELHI</t>
  </si>
  <si>
    <t>OIC/25-26/927</t>
  </si>
  <si>
    <t>272300/11/2024/109</t>
  </si>
  <si>
    <t>PARIVAR SEVA SANSTHA</t>
  </si>
  <si>
    <t>FIR-PRD-010</t>
  </si>
  <si>
    <t>ORIENTAL BHARAT SOOKSHMA UDYAM SURAKSHA POLICY</t>
  </si>
  <si>
    <t>Delhi</t>
  </si>
  <si>
    <t>0</t>
  </si>
  <si>
    <t>Hemant Kumar Gupta</t>
  </si>
  <si>
    <t>Sasank S</t>
  </si>
  <si>
    <t>GGN/23-24/383</t>
  </si>
  <si>
    <t>Rushiraj</t>
  </si>
  <si>
    <t>Excess</t>
  </si>
  <si>
    <t>Updation  done in Saiba</t>
  </si>
  <si>
    <t>Jun'23</t>
  </si>
  <si>
    <t>CBRO DELHI</t>
  </si>
  <si>
    <t>OIC/25-26/928</t>
  </si>
  <si>
    <t>510000/48/2023/1560</t>
  </si>
  <si>
    <t>DENTSU WEBCHUTNEY PRIVATE LIMITED</t>
  </si>
  <si>
    <t>MIST-PRD-890</t>
  </si>
  <si>
    <t>GROUP MEDICLAIM -TAILORMADE-RISK FLOATER</t>
  </si>
  <si>
    <t>NE</t>
  </si>
  <si>
    <t>Amit Pandey</t>
  </si>
  <si>
    <t>Niladri Mangal Choudhury</t>
  </si>
  <si>
    <t>GGN/23-24/384</t>
  </si>
  <si>
    <t>CBO BANGALORE</t>
  </si>
  <si>
    <t>OIC/25-26/929</t>
  </si>
  <si>
    <t>421300/48/2023/1166</t>
  </si>
  <si>
    <t>ATRIA CONVERGENCE TECHNOLOGIES LIMITED</t>
  </si>
  <si>
    <t>Bangalore</t>
  </si>
  <si>
    <t>E5</t>
  </si>
  <si>
    <t>Jayachitra M</t>
  </si>
  <si>
    <t>Vinod Kumar Heggadadevanapura Thammaiah</t>
  </si>
  <si>
    <t>BLR/23-24/183</t>
  </si>
  <si>
    <t>OIC/25-26/930</t>
  </si>
  <si>
    <t>510000/48/2023/1556</t>
  </si>
  <si>
    <t>DENTSU AEGIS NETWORK INDIA PRIVATE LIMITED</t>
  </si>
  <si>
    <t>KANPUR DEHAT</t>
  </si>
  <si>
    <t>OIC/25-26/931</t>
  </si>
  <si>
    <t>222105/48/2024/580</t>
  </si>
  <si>
    <t xml:space="preserve"> SACHIN MALIK,</t>
  </si>
  <si>
    <t>MIST-PRD-943</t>
  </si>
  <si>
    <t>HAPPY FAMILY FLOATER POLICY-2021</t>
  </si>
  <si>
    <t>Kushal Bhatia</t>
  </si>
  <si>
    <t>Navneet Arora</t>
  </si>
  <si>
    <t>GGN/23-24/381</t>
  </si>
  <si>
    <t>OIC/25-26/932</t>
  </si>
  <si>
    <t>421300/48/2023/1048</t>
  </si>
  <si>
    <t>WAFER SPACE SEMICONDUCTOR TECHNOLOGIES PVT LTD</t>
  </si>
  <si>
    <t>Jaya Chitra.M</t>
  </si>
  <si>
    <t>Deep Shikha</t>
  </si>
  <si>
    <t>OIC/25-26/933</t>
  </si>
  <si>
    <t>510000/11/2024/117</t>
  </si>
  <si>
    <t>JCB INDIA LIMITED</t>
  </si>
  <si>
    <t>FIR-PRD-009</t>
  </si>
  <si>
    <t>ORIENTAL BHARAT LAGHU UDYAM SURAKSHA POLICY</t>
  </si>
  <si>
    <t>Darvesh Panchal</t>
  </si>
  <si>
    <t>Rohit Kumar Mehndiratta</t>
  </si>
  <si>
    <t>Yes</t>
  </si>
  <si>
    <t>RFQ</t>
  </si>
  <si>
    <t>DO JOGESHWARI</t>
  </si>
  <si>
    <t>OIC/25-26/934</t>
  </si>
  <si>
    <t>132000/11/2022/413</t>
  </si>
  <si>
    <t xml:space="preserve"> Allied Blender &amp; Distillers Pvt Ltd</t>
  </si>
  <si>
    <t>Mumbai</t>
  </si>
  <si>
    <t>Susmeet Kaur</t>
  </si>
  <si>
    <t>Pooja Yadav</t>
  </si>
  <si>
    <t>MUM/C/23-24/41</t>
  </si>
  <si>
    <t>CBO 13 N-34 C.PLACE</t>
  </si>
  <si>
    <t>OIC/25-26/935</t>
  </si>
  <si>
    <t>212203/31/2024/619</t>
  </si>
  <si>
    <t>NHPC LIMITED</t>
  </si>
  <si>
    <t>MOT-PRD-015</t>
  </si>
  <si>
    <t>STANDALONE OWN DAMAGE(OD)-PRIVATE CAR</t>
  </si>
  <si>
    <t>Saurabh Dwivedi</t>
  </si>
  <si>
    <t>Mohit Mendiratta</t>
  </si>
  <si>
    <t>GGN/23-24/378</t>
  </si>
  <si>
    <t>NEW DELHI DO 10</t>
  </si>
  <si>
    <t>OIC/25-26/936</t>
  </si>
  <si>
    <t>212200/48/2024/267</t>
  </si>
  <si>
    <t xml:space="preserve"> EXCEL PACK PVT LTD</t>
  </si>
  <si>
    <t>MIST-PRD-753</t>
  </si>
  <si>
    <t>BURGLARY FLOATER</t>
  </si>
  <si>
    <t>Aradhana Dwivedi</t>
  </si>
  <si>
    <t>Amit Wali</t>
  </si>
  <si>
    <t>GGN/23-24/377</t>
  </si>
  <si>
    <t>No</t>
  </si>
  <si>
    <t>OIC/25-26/937</t>
  </si>
  <si>
    <t>DO IV PUNE</t>
  </si>
  <si>
    <t>OIC/25-26/938</t>
  </si>
  <si>
    <t>163600/21/2024/3/0001</t>
  </si>
  <si>
    <t>RATHI DYE CHEM (P) LTD</t>
  </si>
  <si>
    <t>MC-PRD-015</t>
  </si>
  <si>
    <t>MARINE CARGO - OPEN COVER</t>
  </si>
  <si>
    <t>Pune</t>
  </si>
  <si>
    <t>Smita Lokapure</t>
  </si>
  <si>
    <t>Vishal Sushil Pachisia</t>
  </si>
  <si>
    <t>PUN/23-24/49</t>
  </si>
  <si>
    <t>DO 4 NEW DELHI</t>
  </si>
  <si>
    <t>OIC/25-26/946</t>
  </si>
  <si>
    <t>215600/48/2023/1883</t>
  </si>
  <si>
    <t>HCL INFOSYSTEMS LTD</t>
  </si>
  <si>
    <t>M3</t>
  </si>
  <si>
    <t>Abhishek Sharma</t>
  </si>
  <si>
    <t>Ishita Sharma</t>
  </si>
  <si>
    <t>GGN/23-24/379</t>
  </si>
  <si>
    <t>OIC/25-26/939</t>
  </si>
  <si>
    <t>510000/31/2024/47</t>
  </si>
  <si>
    <t>MOT-PRD-006</t>
  </si>
  <si>
    <t>MISCELANEOUS CLASS D VEHICLES</t>
  </si>
  <si>
    <t>Tejinder Pal Singh</t>
  </si>
  <si>
    <t>Pushpinder Kaur</t>
  </si>
  <si>
    <t>Updation Done in Saiba</t>
  </si>
  <si>
    <t>OIC/25-26/941</t>
  </si>
  <si>
    <t>222105/48/2024/512</t>
  </si>
  <si>
    <t xml:space="preserve"> JAWAID ASHRAF</t>
  </si>
  <si>
    <t>Part</t>
  </si>
  <si>
    <t>OIC/25-26/942</t>
  </si>
  <si>
    <t>510000/48/2023/614</t>
  </si>
  <si>
    <t>SUTHERLAND HEALTHCARE SOLUTIONS PRIVATE LIMITED</t>
  </si>
  <si>
    <t>Chennai</t>
  </si>
  <si>
    <t>Payal Batra</t>
  </si>
  <si>
    <t>Aas Mohammad</t>
  </si>
  <si>
    <t>OIC/25-26/943</t>
  </si>
  <si>
    <t>510000/48/2023/613</t>
  </si>
  <si>
    <t>SUTHERLAND GLOBAL SERVICES PVT LTD</t>
  </si>
  <si>
    <t>OIC/25-26/944</t>
  </si>
  <si>
    <t>212203/31/2024/766</t>
  </si>
  <si>
    <t>EXPORT CREDIT GUARANTEE CORPORATION</t>
  </si>
  <si>
    <t>Suspense</t>
  </si>
  <si>
    <t>DO 3 BANGALORE</t>
  </si>
  <si>
    <t>OIC/25-26/945</t>
  </si>
  <si>
    <t>421300/48/2024/482</t>
  </si>
  <si>
    <t>SSP INDIA PRIVATE LIMITED</t>
  </si>
  <si>
    <t>Rajiv Choudhary</t>
  </si>
  <si>
    <t>Ashwini Kumar Srivastava</t>
  </si>
  <si>
    <t>BLR/23-24/173</t>
  </si>
  <si>
    <t>MCDO 14</t>
  </si>
  <si>
    <t>OIC/25-26/1295</t>
  </si>
  <si>
    <t>111900/22/2023/895</t>
  </si>
  <si>
    <t xml:space="preserve"> JAYDEEP ASSOCIATES PVT LTD VESSEL: MV SIDDHIVINAYAK II REGNOGMB/NLK/97 YOB: 2023</t>
  </si>
  <si>
    <t>MH-PRD-003</t>
  </si>
  <si>
    <t>INLAND VESSELS</t>
  </si>
  <si>
    <t>E1</t>
  </si>
  <si>
    <t>Lakshmanan Subramanian Iyer</t>
  </si>
  <si>
    <t>Saikumar G Shirwatkar</t>
  </si>
  <si>
    <t>MUM/23-24/568</t>
  </si>
  <si>
    <t>OIC/25-26/947</t>
  </si>
  <si>
    <t>510000/48/2024/423</t>
  </si>
  <si>
    <t>ARTEMIS MEDICARE SERVICES LIMITED</t>
  </si>
  <si>
    <t>MIST-PRD-047</t>
  </si>
  <si>
    <t>FIDELITY GUARANTEE</t>
  </si>
  <si>
    <t>Namit Malhotra</t>
  </si>
  <si>
    <t>Premium Mismatched</t>
  </si>
  <si>
    <t>Modification</t>
  </si>
  <si>
    <t>OIC/25-26/948</t>
  </si>
  <si>
    <t>111900/22/2024/266</t>
  </si>
  <si>
    <t>3K MARINE SERVICES</t>
  </si>
  <si>
    <t>OIC/25-26/949</t>
  </si>
  <si>
    <t>212203/48/2024/581</t>
  </si>
  <si>
    <t>QRG ENTERPRISES LTD</t>
  </si>
  <si>
    <t>MIST-PRD-052</t>
  </si>
  <si>
    <t>MONEY INSURANCE</t>
  </si>
  <si>
    <t>Vineet Khattar</t>
  </si>
  <si>
    <t>Sumit Gupta</t>
  </si>
  <si>
    <t>OIC/25-26/950</t>
  </si>
  <si>
    <t>212203/31/2024/559</t>
  </si>
  <si>
    <t>LESSEE:AC(HQ) SOUTH DELHI M CORP</t>
  </si>
  <si>
    <t>MOT-PRD-001</t>
  </si>
  <si>
    <t>PRIVATE CAR</t>
  </si>
  <si>
    <t>TP Brok % need to modify</t>
  </si>
  <si>
    <t>OIC/25-26/951</t>
  </si>
  <si>
    <t>212203/31/2024/687</t>
  </si>
  <si>
    <t>LESSEE POWER GRID CORPORATION OF INDIA LTD</t>
  </si>
  <si>
    <t>MOT-PRD-012</t>
  </si>
  <si>
    <t>PRIVATE CAR-(3 Years)</t>
  </si>
  <si>
    <t>Contra</t>
  </si>
  <si>
    <t>DO 3 NEW DELHI</t>
  </si>
  <si>
    <t>OIC/25-26/952</t>
  </si>
  <si>
    <t>272200/31/2024/363</t>
  </si>
  <si>
    <t>JCB INDIA LTD</t>
  </si>
  <si>
    <t>GGN/23-24/382</t>
  </si>
  <si>
    <t>OIC/25-26/953</t>
  </si>
  <si>
    <t>212203/31/2024/636</t>
  </si>
  <si>
    <t>MINISTRY OF INFO &amp; BROADCASTING</t>
  </si>
  <si>
    <t>OIC/25-26/954</t>
  </si>
  <si>
    <t>212203/31/2024/596</t>
  </si>
  <si>
    <t>EAST DELHI MUNICIPAL CORPORATION</t>
  </si>
  <si>
    <t>OIC/25-26/955</t>
  </si>
  <si>
    <t>212203/31/2024/662</t>
  </si>
  <si>
    <t>DIRECTORATE OF TRANSPORT</t>
  </si>
  <si>
    <t>OIC/25-26/956</t>
  </si>
  <si>
    <t>215600/48/2024/666</t>
  </si>
  <si>
    <t>Lumax Ancillary Ltd</t>
  </si>
  <si>
    <t>MIST-PRD-061</t>
  </si>
  <si>
    <t>All RISK</t>
  </si>
  <si>
    <t>Rohit Kumar Mendiratta</t>
  </si>
  <si>
    <t>Prince Tayal</t>
  </si>
  <si>
    <t>OIC/25-26/957</t>
  </si>
  <si>
    <t>212203/31/2024/556</t>
  </si>
  <si>
    <t>OIC/25-26/958</t>
  </si>
  <si>
    <t>510000/48/2023/765</t>
  </si>
  <si>
    <t>Sutherland Global Services Private Limited</t>
  </si>
  <si>
    <t>DO 7 CHENNAI</t>
  </si>
  <si>
    <t>OIC/25-26/959</t>
  </si>
  <si>
    <t>411700/48/2023/2426</t>
  </si>
  <si>
    <t>FINANCIAL SOFTWARE &amp; SYSTEMS (P) LTD</t>
  </si>
  <si>
    <t>E7</t>
  </si>
  <si>
    <t>Meenakshi Menon</t>
  </si>
  <si>
    <t>Sudha.S</t>
  </si>
  <si>
    <t>CHN/23-24/123</t>
  </si>
  <si>
    <t>Saiba Error</t>
  </si>
  <si>
    <t>OIC/25-26/960</t>
  </si>
  <si>
    <t>510000/48/2023/392</t>
  </si>
  <si>
    <t>NORTHERN MARINE MANAGEMENT (INDIA) PVTLTD</t>
  </si>
  <si>
    <t>E11</t>
  </si>
  <si>
    <t>Ashita Lotia</t>
  </si>
  <si>
    <t>Arpita R Kochrekar</t>
  </si>
  <si>
    <t>OIC/25-26/961</t>
  </si>
  <si>
    <t>510000/48/2023/1559</t>
  </si>
  <si>
    <t>DENTSU NETWORK ADVERTISING PRIVATE LIMITED</t>
  </si>
  <si>
    <t>OIC/25-26/962</t>
  </si>
  <si>
    <t>510000/48/2024/417</t>
  </si>
  <si>
    <t>MIST-PRD-025</t>
  </si>
  <si>
    <t>PLATE GLASS INSURANCE</t>
  </si>
  <si>
    <t>OIC/25-26/963</t>
  </si>
  <si>
    <t>OIC/25-26/964</t>
  </si>
  <si>
    <t>510000/31/2024/41</t>
  </si>
  <si>
    <t>Azmi Raza</t>
  </si>
  <si>
    <t>Salman Shaikh</t>
  </si>
  <si>
    <t>OIC/25-26/965</t>
  </si>
  <si>
    <t>212203/31/2024/530</t>
  </si>
  <si>
    <t>OIC/25-26/966</t>
  </si>
  <si>
    <t>212203/31/2024/533</t>
  </si>
  <si>
    <t>PRASAR BHARTI DOORDARSHAN KENDRA</t>
  </si>
  <si>
    <t>DO - 7</t>
  </si>
  <si>
    <t>OIC/25-26/967</t>
  </si>
  <si>
    <t>132500/48/2024/25</t>
  </si>
  <si>
    <t>RAKESH S GUPTA</t>
  </si>
  <si>
    <t>MIST-PRD-003</t>
  </si>
  <si>
    <t>PA INDIVIDUAL</t>
  </si>
  <si>
    <t>Anju Shukla</t>
  </si>
  <si>
    <t>Invoice in process</t>
  </si>
  <si>
    <t>Invoice in Process</t>
  </si>
  <si>
    <t>OIC/25-26/968</t>
  </si>
  <si>
    <t>222105/48/2024/639</t>
  </si>
  <si>
    <t>RAJEEV SNAIR</t>
  </si>
  <si>
    <t>OIC/25-26/969</t>
  </si>
  <si>
    <t>212203/31/2024/672</t>
  </si>
  <si>
    <t>THE DIRECTOR ANERT</t>
  </si>
  <si>
    <t>OIC/25-26/970</t>
  </si>
  <si>
    <t>OIC/25-26/971</t>
  </si>
  <si>
    <t>510000/48/2023/872</t>
  </si>
  <si>
    <t>JCB INDUSTRIES PRIVATE LIMITED</t>
  </si>
  <si>
    <t>Sonia Schofield</t>
  </si>
  <si>
    <t>Vikas Saxena</t>
  </si>
  <si>
    <t>OIC/25-26/972</t>
  </si>
  <si>
    <t>222105/48/2024/653</t>
  </si>
  <si>
    <t>JITENDER SHARMA</t>
  </si>
  <si>
    <t>Ankit Kumar Gangwar</t>
  </si>
  <si>
    <t>OIC/25-26/973</t>
  </si>
  <si>
    <t>212203/31/2024/629</t>
  </si>
  <si>
    <t>GURUGRAM METROPOLITAN DEVELOPMENT A</t>
  </si>
  <si>
    <t>OIC/25-26/974</t>
  </si>
  <si>
    <t>163600/21/2024/8</t>
  </si>
  <si>
    <t>MC-PRD-001</t>
  </si>
  <si>
    <t>MARINE CARGO - SINGLE VOYAGE (INLAND TRANSIT) POLICY</t>
  </si>
  <si>
    <t>DO CHINCHWAD</t>
  </si>
  <si>
    <t>OIC/25-26/975</t>
  </si>
  <si>
    <t>161800/48/2023/1961</t>
  </si>
  <si>
    <t>GKN SINTER METALS PRIVATE LIMITED</t>
  </si>
  <si>
    <t>Amarjeet Sahu</t>
  </si>
  <si>
    <t>Shahaji Dhage</t>
  </si>
  <si>
    <t>PUN/C/23-24/03</t>
  </si>
  <si>
    <t>OIC/25-26/976</t>
  </si>
  <si>
    <t>OIC/25-26/977</t>
  </si>
  <si>
    <t>272200/48/2024/809</t>
  </si>
  <si>
    <t>SUNITA SINGH</t>
  </si>
  <si>
    <t>OIC/25-26/978</t>
  </si>
  <si>
    <t>272200/31/2024/437</t>
  </si>
  <si>
    <t xml:space="preserve"> HINDUSTAN ZINC LTD</t>
  </si>
  <si>
    <t>Ludhiana</t>
  </si>
  <si>
    <t>Anil Patil</t>
  </si>
  <si>
    <t>Manisha Kirdkude</t>
  </si>
  <si>
    <t>OIC/25-26/980</t>
  </si>
  <si>
    <t>OIC/25-26/981</t>
  </si>
  <si>
    <t>BC  SINGAPERUMAL KOIL</t>
  </si>
  <si>
    <t>OIC/25-26/982</t>
  </si>
  <si>
    <t>414890/31/2024/603</t>
  </si>
  <si>
    <t>JOYSON ANAND ABHISHEK SAFETY SYSTEMS PVT LTD</t>
  </si>
  <si>
    <t>Meiyappan M</t>
  </si>
  <si>
    <t>Raghunathan S</t>
  </si>
  <si>
    <t>CHN/23-24/125</t>
  </si>
  <si>
    <t>OIC/25-26/983</t>
  </si>
  <si>
    <t>510000/11/2024/122</t>
  </si>
  <si>
    <t>FIR-PRD-006</t>
  </si>
  <si>
    <t>STANDARD FIRE -- New Tariff</t>
  </si>
  <si>
    <t>OIC/25-26/984</t>
  </si>
  <si>
    <t>132000/11/2022/408</t>
  </si>
  <si>
    <t>OIC/25-26/985</t>
  </si>
  <si>
    <t>222105/48/2024/616</t>
  </si>
  <si>
    <t>SANNE GANGADHAR</t>
  </si>
  <si>
    <t>BO NEYYATINKARA</t>
  </si>
  <si>
    <t>OIC/25-26/986</t>
  </si>
  <si>
    <t>441202/48/2023/727</t>
  </si>
  <si>
    <t>TECHVERSANT INFOTECH PRIVATE LIMITED</t>
  </si>
  <si>
    <t>Balakrishnan M</t>
  </si>
  <si>
    <t>Balakrishnan.G</t>
  </si>
  <si>
    <t>CHN/23-24/126</t>
  </si>
  <si>
    <t>OIC/25-26/987</t>
  </si>
  <si>
    <t>421300/48/2023/753</t>
  </si>
  <si>
    <t>AUMA INDIA PRIVATE LIMITED</t>
  </si>
  <si>
    <t>E3</t>
  </si>
  <si>
    <t>Arun Kumar G.E.</t>
  </si>
  <si>
    <t>Karthik Rajappa</t>
  </si>
  <si>
    <t>OIC/25-26/988</t>
  </si>
  <si>
    <t>215600/48/2024/664</t>
  </si>
  <si>
    <t>OIC/25-26/989</t>
  </si>
  <si>
    <t>212203/31/2024/569</t>
  </si>
  <si>
    <t>OIC/25-26/990</t>
  </si>
  <si>
    <t>212203/31/2024/557</t>
  </si>
  <si>
    <t>OIC/25-26/991</t>
  </si>
  <si>
    <t>212203/31/2024/572</t>
  </si>
  <si>
    <t>ENERGY EFFICIENCY SERVICES LIMITED</t>
  </si>
  <si>
    <t>OIC/25-26/992</t>
  </si>
  <si>
    <t>212203/31/2024/562</t>
  </si>
  <si>
    <t>OIC/25-26/993</t>
  </si>
  <si>
    <t>510000/48/2024/410</t>
  </si>
  <si>
    <t>MIST-PRD-751</t>
  </si>
  <si>
    <t>BURGLARY</t>
  </si>
  <si>
    <t>OIC/25-26/994</t>
  </si>
  <si>
    <t>222105/48/2024/513</t>
  </si>
  <si>
    <t>MS MAHVISH ASHRAF</t>
  </si>
  <si>
    <t>MIST-PRD-094</t>
  </si>
  <si>
    <t>ORIENTAL MEDICLAIM INSURANCE POLICY(INDIVIDUAL)</t>
  </si>
  <si>
    <t>OIC/25-26/995</t>
  </si>
  <si>
    <t>212200/11/2024/32</t>
  </si>
  <si>
    <t>OIC/25-26/996</t>
  </si>
  <si>
    <t>510000/48/2024/51</t>
  </si>
  <si>
    <t>LADY BAMFORD CHARITABLE TRUST</t>
  </si>
  <si>
    <t>Sarfuddin Ansari</t>
  </si>
  <si>
    <t>Gagan Sharma</t>
  </si>
  <si>
    <t>OIC/25-26/997</t>
  </si>
  <si>
    <t>510000/11/2024/121</t>
  </si>
  <si>
    <t>FIR-PRD-003</t>
  </si>
  <si>
    <t>INDUSTRIAL ALL RISK POLICY</t>
  </si>
  <si>
    <t>OIC/25-26/998</t>
  </si>
  <si>
    <t>510000/11/2024/105</t>
  </si>
  <si>
    <t>JCB POWER PRODUCTS INDIA PVT LTD</t>
  </si>
  <si>
    <t>DO IV HYDERABAD</t>
  </si>
  <si>
    <t>OIC/25-26/999</t>
  </si>
  <si>
    <t>431500/48/2023/3633</t>
  </si>
  <si>
    <t>WAVEMAKER INDIA PRIVATE LIMITED</t>
  </si>
  <si>
    <t>MIST-PRD-001</t>
  </si>
  <si>
    <t>GPA - NAMED</t>
  </si>
  <si>
    <t>Hyderabad</t>
  </si>
  <si>
    <t>Prasanna Vadhana</t>
  </si>
  <si>
    <t>Manisha Marda</t>
  </si>
  <si>
    <t>HYD/23-24/73</t>
  </si>
  <si>
    <t>DO  THODUPUZHA</t>
  </si>
  <si>
    <t>OIC/25-26/1000</t>
  </si>
  <si>
    <t>442600/11/2024/25</t>
  </si>
  <si>
    <t xml:space="preserve"> Epsilon Carbon Pvt Ltd</t>
  </si>
  <si>
    <t>FIR-PRD-012</t>
  </si>
  <si>
    <t>ORIENTAL INSURANCE - FLEXI BHARAT LAGHU UDYAM SURAKSHA</t>
  </si>
  <si>
    <t>CHN/23-24/127</t>
  </si>
  <si>
    <t>OIC/25-26/1001</t>
  </si>
  <si>
    <t>510000/48/2023/641</t>
  </si>
  <si>
    <t>SUTHERLAND GLOBAL SERVICES PRIVATE LIMITED</t>
  </si>
  <si>
    <t>CBU Bangalore</t>
  </si>
  <si>
    <t>OIC/25-26/1002</t>
  </si>
  <si>
    <t>421100/48/2024/199</t>
  </si>
  <si>
    <t>INFOSTRETCH CORPORATION INDIA PRIVATE LIMITED</t>
  </si>
  <si>
    <t>Sheetal Gurav</t>
  </si>
  <si>
    <t>Renny Ignatius Peter</t>
  </si>
  <si>
    <t>BLR/23-24/172</t>
  </si>
  <si>
    <t>OIC/25-26/1003</t>
  </si>
  <si>
    <t>510000/48/2023/1561</t>
  </si>
  <si>
    <t>DENTSU ADVERTISING AND MEDIA SERVICES INDIA PRIVATE LIMITED</t>
  </si>
  <si>
    <t>OIC/25-26/1004</t>
  </si>
  <si>
    <t>421300/48/2024/396</t>
  </si>
  <si>
    <t>OIC/25-26/1005</t>
  </si>
  <si>
    <t>510000/48/2023/1609</t>
  </si>
  <si>
    <t>OIC/25-26/979</t>
  </si>
  <si>
    <t>421300/48/2023/1150</t>
  </si>
  <si>
    <t>E4</t>
  </si>
  <si>
    <t>OIC/25-26/1007</t>
  </si>
  <si>
    <t>212203/31/2024/534</t>
  </si>
  <si>
    <t>OIC/25-26/1008</t>
  </si>
  <si>
    <t>212203/31/2024/590</t>
  </si>
  <si>
    <t>TRANSLATIONAL H S T I</t>
  </si>
  <si>
    <t>OIC/25-26/1009</t>
  </si>
  <si>
    <t>212203/31/2024/733</t>
  </si>
  <si>
    <t>OIC/25-26/1010</t>
  </si>
  <si>
    <t>132000/11/2022/409</t>
  </si>
  <si>
    <t>OIC/25-26/1011</t>
  </si>
  <si>
    <t>510000/48/2023/752</t>
  </si>
  <si>
    <t>Atul Chordiya</t>
  </si>
  <si>
    <t>Amit Rokade</t>
  </si>
  <si>
    <t>OIC/25-26/1012</t>
  </si>
  <si>
    <t>212203/31/2024/565</t>
  </si>
  <si>
    <t>OIC/25-26/1013</t>
  </si>
  <si>
    <t>510000/48/2023/1562</t>
  </si>
  <si>
    <t>Fractal Ink Design Studio Private Limited</t>
  </si>
  <si>
    <t>OIC/25-26/1014</t>
  </si>
  <si>
    <t>510000/48/2023/1411</t>
  </si>
  <si>
    <t>HAYS BUSINESS SOLUTIONS PVT LTD</t>
  </si>
  <si>
    <t>E2</t>
  </si>
  <si>
    <t>OIC/25-26/1015</t>
  </si>
  <si>
    <t>215600/31/2024/258</t>
  </si>
  <si>
    <t xml:space="preserve"> DELHIVERY LTD</t>
  </si>
  <si>
    <t>MOT-PRD-003</t>
  </si>
  <si>
    <t>GCCV</t>
  </si>
  <si>
    <t>Santosh Kumar Gupta</t>
  </si>
  <si>
    <t>OIC/25-26/1016</t>
  </si>
  <si>
    <t>212203/31/2024/574</t>
  </si>
  <si>
    <t>ENERGY EFFICIENCY SERVICES LTD</t>
  </si>
  <si>
    <t>OIC/25-26/1017</t>
  </si>
  <si>
    <t>510000/48/2023/1563</t>
  </si>
  <si>
    <t>MILESTONE BRANDCOM PRIVATE LIMITED</t>
  </si>
  <si>
    <t>OIC/25-26/1018</t>
  </si>
  <si>
    <t>212203/31/2024/597</t>
  </si>
  <si>
    <t>OIC/25-26/1019</t>
  </si>
  <si>
    <t>212203/31/2024/765</t>
  </si>
  <si>
    <t>OIC/25-26/1020</t>
  </si>
  <si>
    <t>212203/31/2024/769</t>
  </si>
  <si>
    <t>OIC/25-26/1021</t>
  </si>
  <si>
    <t>411700/48/2023/2420</t>
  </si>
  <si>
    <t>E8</t>
  </si>
  <si>
    <t>OIC/25-26/1022</t>
  </si>
  <si>
    <t>510000/48/2023/1580</t>
  </si>
  <si>
    <t>OIC/25-26/1023</t>
  </si>
  <si>
    <t>510000/48/2023/1557</t>
  </si>
  <si>
    <t>SOKRATI TECHNOLOGIES PRIVATE LIMITED</t>
  </si>
  <si>
    <t>OIC/25-26/1024</t>
  </si>
  <si>
    <t>421300/48/2023/1267</t>
  </si>
  <si>
    <t>FRESHALICIOUS SUPER BAZAAR PRIVATE LIMITED</t>
  </si>
  <si>
    <t>Raghuram P S</t>
  </si>
  <si>
    <t>MRO 1 Aviation Cell</t>
  </si>
  <si>
    <t>OIC/25-26/1025</t>
  </si>
  <si>
    <t>112400/43/2024/45</t>
  </si>
  <si>
    <t>JET SERVE AVIATION PRIVATE LIMITED</t>
  </si>
  <si>
    <t>AVI-PRD-011</t>
  </si>
  <si>
    <t>HULL WAR RISK</t>
  </si>
  <si>
    <t>Varun Malik</t>
  </si>
  <si>
    <t>MUM/23-24/569</t>
  </si>
  <si>
    <t>OIC/25-26/1026</t>
  </si>
  <si>
    <t>540000/48/2024/40</t>
  </si>
  <si>
    <t>KERN-LIEBERS (INDIA) PRIVATE LIMITED</t>
  </si>
  <si>
    <t>Anusha Jaiswal</t>
  </si>
  <si>
    <t>Priya Pant</t>
  </si>
  <si>
    <t>DO 13 CHENNAI</t>
  </si>
  <si>
    <t>OIC/25-26/1027</t>
  </si>
  <si>
    <t>412300/48/2023/1096</t>
  </si>
  <si>
    <t>FULCRUM CRES PVT LTD</t>
  </si>
  <si>
    <t>Sathyendra Chandra Bose N</t>
  </si>
  <si>
    <t>CHN/23-24/124</t>
  </si>
  <si>
    <t>OIC/25-26/1028</t>
  </si>
  <si>
    <t>421300/48/2023/1354</t>
  </si>
  <si>
    <t>OIC/25-26/1029</t>
  </si>
  <si>
    <t>272200/31/2024/378</t>
  </si>
  <si>
    <t>MAHAJAN OVERSEAS PVT LTD</t>
  </si>
  <si>
    <t>Sekhar Gurung</t>
  </si>
  <si>
    <t>OIC/25-26/1030</t>
  </si>
  <si>
    <t>OIC/25-26/1031</t>
  </si>
  <si>
    <t>431500/48/2023/3634</t>
  </si>
  <si>
    <t>DO 4 CHENNAI</t>
  </si>
  <si>
    <t>OIC/25-26/1032</t>
  </si>
  <si>
    <t>411400/48/2023/956</t>
  </si>
  <si>
    <t>AMRUTANJAN HEALTH CARE LIMITED</t>
  </si>
  <si>
    <t>Akshayah Manoharan</t>
  </si>
  <si>
    <t>CHN/C/23-24/24</t>
  </si>
  <si>
    <t>OIC/25-26/1033</t>
  </si>
  <si>
    <t>272200/31/2024/344</t>
  </si>
  <si>
    <t xml:space="preserve"> TRUPATI LIFE SCIENCE PRIVATE LIMITED</t>
  </si>
  <si>
    <t>Prem Parkash</t>
  </si>
  <si>
    <t>HImanshu Arora</t>
  </si>
  <si>
    <t>MCDO 22</t>
  </si>
  <si>
    <t>OIC/25-26/1034</t>
  </si>
  <si>
    <t>112500/48/2023/2451</t>
  </si>
  <si>
    <t>METTLER-TOLEDO INDIA PVT LTD</t>
  </si>
  <si>
    <t>MUM/23-24/570</t>
  </si>
  <si>
    <t>OIC/25-26/1035</t>
  </si>
  <si>
    <t>414890/31/2024/653</t>
  </si>
  <si>
    <t>SVIJAYA KUMAR</t>
  </si>
  <si>
    <t>Vinoth Kumar E</t>
  </si>
  <si>
    <t>OIC/25-26/1006</t>
  </si>
  <si>
    <t>421300/48/2023/1352</t>
  </si>
  <si>
    <t>CREATIVE SYNERGIES CONSULTING INDIA PVT LTD</t>
  </si>
  <si>
    <t>E6</t>
  </si>
  <si>
    <t>Aiyappa Parivaranayaka Mahadeva</t>
  </si>
  <si>
    <t>OIC/25-26/1037</t>
  </si>
  <si>
    <t>222105/48/2024/514</t>
  </si>
  <si>
    <t>MS SUBHADRA THAPA</t>
  </si>
  <si>
    <t>OIC/25-26/1038</t>
  </si>
  <si>
    <t>222105/48/2024/440</t>
  </si>
  <si>
    <t>PURVI M MATHUR</t>
  </si>
  <si>
    <t>OIC/25-26/1039</t>
  </si>
  <si>
    <t>132000/11/2022/415</t>
  </si>
  <si>
    <t>OIC/25-26/1040</t>
  </si>
  <si>
    <t>421300/48/2023/819</t>
  </si>
  <si>
    <t>STEER ENGINEERING PVT LTD</t>
  </si>
  <si>
    <t>Karthik Rajaram</t>
  </si>
  <si>
    <t>OIC/25-26/1041</t>
  </si>
  <si>
    <t>510000/48/2023/1565</t>
  </si>
  <si>
    <t>TAPROOT DENTSU INDIA COMMUNICATION PRIVATE LIMITED</t>
  </si>
  <si>
    <t>OIC/25-26/1042</t>
  </si>
  <si>
    <t>212203/31/2024/564</t>
  </si>
  <si>
    <t>OIC/25-26/1043</t>
  </si>
  <si>
    <t>212203/31/2024/713</t>
  </si>
  <si>
    <t>OFFICE OF THE DEPUTY COMMISSIONER,</t>
  </si>
  <si>
    <t>OIC/25-26/1044</t>
  </si>
  <si>
    <t>212203/31/2024/620</t>
  </si>
  <si>
    <t>OIC/25-26/1045</t>
  </si>
  <si>
    <t>212203/31/2024/550</t>
  </si>
  <si>
    <t>OIC/25-26/1046</t>
  </si>
  <si>
    <t>212203/31/2024/560</t>
  </si>
  <si>
    <t>OIC/25-26/1047</t>
  </si>
  <si>
    <t>510000/48/2024/411</t>
  </si>
  <si>
    <t>OIC/25-26/1048</t>
  </si>
  <si>
    <t>421100/48/2023/287</t>
  </si>
  <si>
    <t>ADAPTY SOLUTIONS PRIVATE LIMITED</t>
  </si>
  <si>
    <t>OIC/25-26/1049</t>
  </si>
  <si>
    <t>OIC/25-26/1050</t>
  </si>
  <si>
    <t>510000/11/2024/129</t>
  </si>
  <si>
    <t>OIC/25-26/1051</t>
  </si>
  <si>
    <t>510000/48/2024/114</t>
  </si>
  <si>
    <t>CARGO PARTNER LOGISTICS INDIA PRIVATE LIMITED</t>
  </si>
  <si>
    <t>Vitty Pandita</t>
  </si>
  <si>
    <t>Ashish Saxena</t>
  </si>
  <si>
    <t>Policy no not updated in Saiba</t>
  </si>
  <si>
    <t>OIC/25-26/1052</t>
  </si>
  <si>
    <t>215600/48/2024/669</t>
  </si>
  <si>
    <t>LUMAX CORNAGLIA AUTO TECHNOLOGIES PVTLTD</t>
  </si>
  <si>
    <t>DO - 2</t>
  </si>
  <si>
    <t>OIC/25-26/1053</t>
  </si>
  <si>
    <t>132200/48/2024/66</t>
  </si>
  <si>
    <t>Vaishno Container Yard -CFS (A Division of Kestrel Aviation Pvt Ltd)</t>
  </si>
  <si>
    <t>MIST-PRD-031</t>
  </si>
  <si>
    <t>PUBLIC LIABILITY INDUSTRIAL</t>
  </si>
  <si>
    <t>Shriram Giri</t>
  </si>
  <si>
    <t>MUM/23-24/571</t>
  </si>
  <si>
    <t>OIC/25-26/1054</t>
  </si>
  <si>
    <t>510000/48/2023/1406</t>
  </si>
  <si>
    <t>Bharat Stars Services Private Limited</t>
  </si>
  <si>
    <t>Kamal Bora</t>
  </si>
  <si>
    <t>OIC/25-26/1055</t>
  </si>
  <si>
    <t>212203/31/2024/749</t>
  </si>
  <si>
    <t>POWER FOUNDATION OF INDIA</t>
  </si>
  <si>
    <t>OIC/25-26/1056</t>
  </si>
  <si>
    <t>215600/31/2024/255</t>
  </si>
  <si>
    <t>OIC/25-26/1057</t>
  </si>
  <si>
    <t>510000/48/2023/1564</t>
  </si>
  <si>
    <t>PERFECT RELATIONS PRIVATE LIMITED</t>
  </si>
  <si>
    <t>OIC/25-26/1058</t>
  </si>
  <si>
    <t>411700/48/2023/2423</t>
  </si>
  <si>
    <t>OIC/25-26/1059</t>
  </si>
  <si>
    <t>212203/31/2024/683</t>
  </si>
  <si>
    <t>OIC/25-26/1060</t>
  </si>
  <si>
    <t>212203/31/2024/634</t>
  </si>
  <si>
    <t>OIC/25-26/1061</t>
  </si>
  <si>
    <t>510000/48/2023/675</t>
  </si>
  <si>
    <t>OIC/25-26/1062</t>
  </si>
  <si>
    <t>212203/31/2024/536</t>
  </si>
  <si>
    <t>OIC/25-26/1063</t>
  </si>
  <si>
    <t>272200/31/2024/436</t>
  </si>
  <si>
    <t>RAM PRATAP</t>
  </si>
  <si>
    <t>OIC/25-26/1064</t>
  </si>
  <si>
    <t>212203/31/2024/688</t>
  </si>
  <si>
    <t>OIC/25-26/1065</t>
  </si>
  <si>
    <t>510000/31/2024/42</t>
  </si>
  <si>
    <t>OIC/25-26/1066</t>
  </si>
  <si>
    <t>212203/31/2024/531</t>
  </si>
  <si>
    <t>PLANNING &amp; DEVELOPMENT DEPARTMENT</t>
  </si>
  <si>
    <t>OIC/25-26/1067</t>
  </si>
  <si>
    <t>212203/31/2024/767</t>
  </si>
  <si>
    <t>OIC/25-26/1068</t>
  </si>
  <si>
    <t>212203/31/2024/699</t>
  </si>
  <si>
    <t>OIC/25-26/1069</t>
  </si>
  <si>
    <t>510000/48/2023/1568</t>
  </si>
  <si>
    <t>WAT MEDIA PRIVATE LIMITED</t>
  </si>
  <si>
    <t>DO 5 PUNE</t>
  </si>
  <si>
    <t>OIC/25-26/1070</t>
  </si>
  <si>
    <t>163900/48/2023/2307</t>
  </si>
  <si>
    <t>AVALARA TECHNOLOGIES PRIVATE LIMITED</t>
  </si>
  <si>
    <t>Sachin Kumar</t>
  </si>
  <si>
    <t>PUN/23-24/50</t>
  </si>
  <si>
    <t>OIC/25-26/1071</t>
  </si>
  <si>
    <t>132000/11/2022/412</t>
  </si>
  <si>
    <t>OIC/25-26/1072</t>
  </si>
  <si>
    <t>163900/48/2024/1036</t>
  </si>
  <si>
    <t>WRITER BUSINESS SERVICES PVT LTD</t>
  </si>
  <si>
    <t>MIST-PRD-049</t>
  </si>
  <si>
    <t>SPECIAL CONTINGENCY - POLICY</t>
  </si>
  <si>
    <t>Amit Rajaram Patkar</t>
  </si>
  <si>
    <t>OIC/25-26/1073</t>
  </si>
  <si>
    <t>272200/31/2024/364</t>
  </si>
  <si>
    <t>OIC/25-26/1074</t>
  </si>
  <si>
    <t>163900/48/2024/922</t>
  </si>
  <si>
    <t>ECA Infrastructure India PvtLtd</t>
  </si>
  <si>
    <t>MIST-PRD-060</t>
  </si>
  <si>
    <t>EMPLOYERS LIABILITY</t>
  </si>
  <si>
    <t>OIC/25-26/1075</t>
  </si>
  <si>
    <t>510000/31/2024/35</t>
  </si>
  <si>
    <t>OIC/25-26/1076</t>
  </si>
  <si>
    <t>212203/31/2024/592</t>
  </si>
  <si>
    <t>OIC/25-26/1077</t>
  </si>
  <si>
    <t>442600/11/2023/137</t>
  </si>
  <si>
    <t xml:space="preserve"> AMTRADE</t>
  </si>
  <si>
    <t>Shakuntala Jewani</t>
  </si>
  <si>
    <t>Avinash C.Rane</t>
  </si>
  <si>
    <t>OIC/25-26/1078</t>
  </si>
  <si>
    <t>163600/21/2024/3/0003</t>
  </si>
  <si>
    <t>DO RAJPURA</t>
  </si>
  <si>
    <t>OIC/25-26/1079</t>
  </si>
  <si>
    <t>233600/48/2023/1973</t>
  </si>
  <si>
    <t>HUDL INDIA PRIVATE LIMITED</t>
  </si>
  <si>
    <t>Manpreet Kaur Gill</t>
  </si>
  <si>
    <t>LUD/23-24/47</t>
  </si>
  <si>
    <t>OIC/25-26/1080</t>
  </si>
  <si>
    <t>510000/48/2024/230</t>
  </si>
  <si>
    <t>NUCLEUS SOFTWARE EXPORT LIMITED</t>
  </si>
  <si>
    <t>OIC/25-26/1081</t>
  </si>
  <si>
    <t>510000/48/2023/634</t>
  </si>
  <si>
    <t>OIC/25-26/1082</t>
  </si>
  <si>
    <t>112400/43/2024/44</t>
  </si>
  <si>
    <t>AVI-PRD-037</t>
  </si>
  <si>
    <t>HULL ALL RISK</t>
  </si>
  <si>
    <t>OIC/25-26/1083</t>
  </si>
  <si>
    <t>272200/31/2024/427</t>
  </si>
  <si>
    <t xml:space="preserve"> Humboldt Wedag India Pvt Ltd</t>
  </si>
  <si>
    <t>DO2 BANGALORE</t>
  </si>
  <si>
    <t>OIC/25-26/1084</t>
  </si>
  <si>
    <t>421200/48/2023/4443</t>
  </si>
  <si>
    <t>Mobileum Technologies Private Limited</t>
  </si>
  <si>
    <t>Saraswati Shetty</t>
  </si>
  <si>
    <t>Pravin Arun Jagtap</t>
  </si>
  <si>
    <t>BLR/C/23-24/07</t>
  </si>
  <si>
    <t>OIC/25-26/1085</t>
  </si>
  <si>
    <t>510000/48/2023/1174</t>
  </si>
  <si>
    <t>TRUEBLUE INDIA LLP</t>
  </si>
  <si>
    <t>Rakesh Kumar Singh</t>
  </si>
  <si>
    <t>OIC/25-26/1086</t>
  </si>
  <si>
    <t>222105/48/2024/582</t>
  </si>
  <si>
    <t xml:space="preserve"> SURENDER SINGH BHANDARI,</t>
  </si>
  <si>
    <t>OIC/25-26/1087</t>
  </si>
  <si>
    <t>212203/31/2024/760</t>
  </si>
  <si>
    <t>OIC/25-26/1088</t>
  </si>
  <si>
    <t>OIC/25-26/1089</t>
  </si>
  <si>
    <t>212203/31/2024/689</t>
  </si>
  <si>
    <t>OIC/25-26/1090</t>
  </si>
  <si>
    <t>212203/31/2024/712</t>
  </si>
  <si>
    <t>OIC/25-26/1091</t>
  </si>
  <si>
    <t>212203/31/2024/697</t>
  </si>
  <si>
    <t>OIC/25-26/1092</t>
  </si>
  <si>
    <t>OIC/25-26/1093</t>
  </si>
  <si>
    <t>212203/31/2024/686</t>
  </si>
  <si>
    <t>CBU-3 MUMBAI</t>
  </si>
  <si>
    <t>OIC/25-26/1094</t>
  </si>
  <si>
    <t>111200/48/2024/424</t>
  </si>
  <si>
    <t>KABIR SEHGAL</t>
  </si>
  <si>
    <t>MUM/23-24/567</t>
  </si>
  <si>
    <t>OIC/25-26/1095</t>
  </si>
  <si>
    <t>215600/31/2024/256</t>
  </si>
  <si>
    <t>OIC/25-26/1096</t>
  </si>
  <si>
    <t>212200/48/2024/266</t>
  </si>
  <si>
    <t>OIC/25-26/1097</t>
  </si>
  <si>
    <t>215600/48/2024/663</t>
  </si>
  <si>
    <t>Lumax Auto Technologies Ltd</t>
  </si>
  <si>
    <t>OIC/25-26/1098</t>
  </si>
  <si>
    <t>212203/31/2024/575</t>
  </si>
  <si>
    <t>OIC/25-26/1099</t>
  </si>
  <si>
    <t>212203/31/2024/528</t>
  </si>
  <si>
    <t>OIC/25-26/1100</t>
  </si>
  <si>
    <t>OIC/25-26/1036</t>
  </si>
  <si>
    <t>421300/48/2023/928</t>
  </si>
  <si>
    <t>OIC/25-26/1102</t>
  </si>
  <si>
    <t>212203/31/2024/663</t>
  </si>
  <si>
    <t>OIC/25-26/1103</t>
  </si>
  <si>
    <t>510000/31/2024/43</t>
  </si>
  <si>
    <t>OIC/25-26/1104</t>
  </si>
  <si>
    <t>212203/31/2024/734</t>
  </si>
  <si>
    <t>OIC/25-26/1105</t>
  </si>
  <si>
    <t>510000/48/2023/1618</t>
  </si>
  <si>
    <t>OIC/25-26/1106</t>
  </si>
  <si>
    <t>510000/48/2024/426</t>
  </si>
  <si>
    <t>OIC/25-26/1107</t>
  </si>
  <si>
    <t>412300/48/2023/1362</t>
  </si>
  <si>
    <t>OIC/25-26/1108</t>
  </si>
  <si>
    <t>510000/48/2023/678</t>
  </si>
  <si>
    <t>OIC/25-26/1109</t>
  </si>
  <si>
    <t>212203/31/2024/535</t>
  </si>
  <si>
    <t>OIC/25-26/1110</t>
  </si>
  <si>
    <t>442600/48/2024/231</t>
  </si>
  <si>
    <t>OIC/25-26/1111</t>
  </si>
  <si>
    <t>222105/48/2024/401</t>
  </si>
  <si>
    <t>Sheela Rani</t>
  </si>
  <si>
    <t>OIC/25-26/1112</t>
  </si>
  <si>
    <t>CBO 3 LUDHIANA</t>
  </si>
  <si>
    <t>OIC/25-26/1113</t>
  </si>
  <si>
    <t>233406/11/2024/209</t>
  </si>
  <si>
    <t>Shri Gopal Ji Dyeing House</t>
  </si>
  <si>
    <t>LUD/23-24/46</t>
  </si>
  <si>
    <t>OIC/25-26/1114</t>
  </si>
  <si>
    <t>212203/31/2024/595</t>
  </si>
  <si>
    <t>OIC/25-26/1115</t>
  </si>
  <si>
    <t>OIC/25-26/1116</t>
  </si>
  <si>
    <t>212203/31/2024/552</t>
  </si>
  <si>
    <t>OIC/25-26/1117</t>
  </si>
  <si>
    <t>272200/31/2024/311</t>
  </si>
  <si>
    <t>GAURAV GUPTA</t>
  </si>
  <si>
    <t>OIC/25-26/1118</t>
  </si>
  <si>
    <t>212203/31/2024/731</t>
  </si>
  <si>
    <t>OIC/25-26/1119</t>
  </si>
  <si>
    <t>212203/31/2024/735</t>
  </si>
  <si>
    <t>OIC/25-26/1120</t>
  </si>
  <si>
    <t>212203/31/2024/568</t>
  </si>
  <si>
    <t>OIC/25-26/1121</t>
  </si>
  <si>
    <t>212203/31/2024/570</t>
  </si>
  <si>
    <t>OIC/25-26/1122</t>
  </si>
  <si>
    <t>212203/31/2024/529</t>
  </si>
  <si>
    <t>OIC/25-26/1123</t>
  </si>
  <si>
    <t>510000/31/2024/30</t>
  </si>
  <si>
    <t>OIC/25-26/1124</t>
  </si>
  <si>
    <t>272200/31/2024/292</t>
  </si>
  <si>
    <t>OIC/25-26/1125</t>
  </si>
  <si>
    <t>215600/48/2023/1308</t>
  </si>
  <si>
    <t xml:space="preserve"> TIMEX GROUP PRECISION ENGINEERING LTD</t>
  </si>
  <si>
    <t>Raju Kumar</t>
  </si>
  <si>
    <t>OIC/25-26/1126</t>
  </si>
  <si>
    <t>510000/48/2023/1611</t>
  </si>
  <si>
    <t>OIC/25-26/1127</t>
  </si>
  <si>
    <t>431500/48/2023/3635</t>
  </si>
  <si>
    <t>OIC/25-26/1128</t>
  </si>
  <si>
    <t>OIC/25-26/1129</t>
  </si>
  <si>
    <t>233600/48/2023/1976</t>
  </si>
  <si>
    <t>MIST-PRD-010</t>
  </si>
  <si>
    <t>GROUP MEDICLAIM -TAILORMADE</t>
  </si>
  <si>
    <t>OIC/25-26/1130</t>
  </si>
  <si>
    <t>510000/11/2024/128</t>
  </si>
  <si>
    <t>Updation done in Saiba</t>
  </si>
  <si>
    <t>OIC/25-26/1131</t>
  </si>
  <si>
    <t>272200/31/2024/345</t>
  </si>
  <si>
    <t>DO 11 BANGALORE</t>
  </si>
  <si>
    <t>OIC/25-26/1132</t>
  </si>
  <si>
    <t>423100/48/2024/534</t>
  </si>
  <si>
    <t>SANGEETHS</t>
  </si>
  <si>
    <t>BLR/23-24/174</t>
  </si>
  <si>
    <t>OIC/25-26/1133</t>
  </si>
  <si>
    <t>421300/48/2023/818</t>
  </si>
  <si>
    <t>OIC/25-26/1134</t>
  </si>
  <si>
    <t>272300/48/2024/890</t>
  </si>
  <si>
    <t>OIC/25-26/1135</t>
  </si>
  <si>
    <t>510000/48/2024/155</t>
  </si>
  <si>
    <t>OIC/25-26/1136</t>
  </si>
  <si>
    <t>OIC/25-26/1137</t>
  </si>
  <si>
    <t>510000/48/2023/1567</t>
  </si>
  <si>
    <t>ULTIMEDIA E-SOLUTIONS PRIVATE LIMITED</t>
  </si>
  <si>
    <t>OIC/25-26/1138</t>
  </si>
  <si>
    <t>222105/48/2024/581</t>
  </si>
  <si>
    <t xml:space="preserve"> ABHISHEK BHATIA,</t>
  </si>
  <si>
    <t>OIC/25-26/1101</t>
  </si>
  <si>
    <t>421300/48/2023/1317</t>
  </si>
  <si>
    <t>OIC/25-26/1140</t>
  </si>
  <si>
    <t>212203/31/2024/698</t>
  </si>
  <si>
    <t>OIC/25-26/1141</t>
  </si>
  <si>
    <t>510000/48/2023/633</t>
  </si>
  <si>
    <t>OIC/25-26/1142</t>
  </si>
  <si>
    <t>510000/48/2023/719</t>
  </si>
  <si>
    <t>OIC/25-26/1143</t>
  </si>
  <si>
    <t>212203/31/2024/684</t>
  </si>
  <si>
    <t>OIC/25-26/1144</t>
  </si>
  <si>
    <t>132000/11/2022/405</t>
  </si>
  <si>
    <t>OIC/25-26/1145</t>
  </si>
  <si>
    <t>132000/11/2022/410</t>
  </si>
  <si>
    <t>OIC/25-26/1146</t>
  </si>
  <si>
    <t>132000/11/2022/407</t>
  </si>
  <si>
    <t>OIC/25-26/1147</t>
  </si>
  <si>
    <t>212203/31/2024/639</t>
  </si>
  <si>
    <t>Ananthapuram Muncipal corporation</t>
  </si>
  <si>
    <t>OIC/25-26/1148</t>
  </si>
  <si>
    <t>421300/48/2023/840</t>
  </si>
  <si>
    <t>QRG MEDICARE LIMITED</t>
  </si>
  <si>
    <t>OIC/25-26/1149</t>
  </si>
  <si>
    <t>215600/48/2024/665</t>
  </si>
  <si>
    <t>OIC/25-26/1150</t>
  </si>
  <si>
    <t>212203/31/2024/573</t>
  </si>
  <si>
    <t>OIC/25-26/1151</t>
  </si>
  <si>
    <t>212203/31/2024/553</t>
  </si>
  <si>
    <t>OIC/25-26/1152</t>
  </si>
  <si>
    <t>212203/31/2024/558</t>
  </si>
  <si>
    <t>OIC/25-26/1153</t>
  </si>
  <si>
    <t>212203/31/2024/576</t>
  </si>
  <si>
    <t>OIC/25-26/1154</t>
  </si>
  <si>
    <t>212203/31/2024/554</t>
  </si>
  <si>
    <t>OIC/25-26/1155</t>
  </si>
  <si>
    <t>510000/48/2024/413</t>
  </si>
  <si>
    <t>MIST-PRD-055</t>
  </si>
  <si>
    <t>BAGGAGE INSURANCE</t>
  </si>
  <si>
    <t>OIC/25-26/1156</t>
  </si>
  <si>
    <t>510000/31/2024/40</t>
  </si>
  <si>
    <t>OIC/25-26/1157</t>
  </si>
  <si>
    <t>510000/31/2024/39</t>
  </si>
  <si>
    <t>OIC/25-26/1158</t>
  </si>
  <si>
    <t>421300/48/2023/284</t>
  </si>
  <si>
    <t>OIC/25-26/1159</t>
  </si>
  <si>
    <t>510000/11/2024/104</t>
  </si>
  <si>
    <t>OIC/25-26/1160</t>
  </si>
  <si>
    <t>510000/48/2023/353</t>
  </si>
  <si>
    <t>OIC/25-26/1161</t>
  </si>
  <si>
    <t>421300/48/2023/1355</t>
  </si>
  <si>
    <t>OIC/25-26/1162</t>
  </si>
  <si>
    <t>510000/48/2024/418</t>
  </si>
  <si>
    <t>OIC/25-26/1163</t>
  </si>
  <si>
    <t>421300/48/2023/451</t>
  </si>
  <si>
    <t>OIC/25-26/1164</t>
  </si>
  <si>
    <t>212203/31/2024/685</t>
  </si>
  <si>
    <t>OIC/25-26/1165</t>
  </si>
  <si>
    <t>510000/48/2023/619</t>
  </si>
  <si>
    <t>OIC/25-26/1166</t>
  </si>
  <si>
    <t>510000/48/2023/1078</t>
  </si>
  <si>
    <t>HITACHI METALS INDIA PRIVATE LIMITED</t>
  </si>
  <si>
    <t>Amit kumar Sharma</t>
  </si>
  <si>
    <t>OIC/25-26/1167</t>
  </si>
  <si>
    <t>510000/48/2023/1613</t>
  </si>
  <si>
    <t>OIC/25-26/1168</t>
  </si>
  <si>
    <t>212203/31/2024/701</t>
  </si>
  <si>
    <t>OIC/25-26/1169</t>
  </si>
  <si>
    <t>212203/31/2024/616</t>
  </si>
  <si>
    <t>OIC/25-26/1170</t>
  </si>
  <si>
    <t>212203/31/2024/561</t>
  </si>
  <si>
    <t>OIC/25-26/1171</t>
  </si>
  <si>
    <t>510000/48/2023/1658</t>
  </si>
  <si>
    <t>ELECTRIFAI TECHNOLOGY SOLUTIONS PRIVATE LIMITED</t>
  </si>
  <si>
    <t>OIC/25-26/1172</t>
  </si>
  <si>
    <t>510000/11/2024/118</t>
  </si>
  <si>
    <t>OIC/25-26/1173</t>
  </si>
  <si>
    <t>540000/48/2024/12</t>
  </si>
  <si>
    <t>GWASF QUALITY CASTINGS PVT LTD</t>
  </si>
  <si>
    <t>Lakshmi M</t>
  </si>
  <si>
    <t>Prabhakara Venkatesh</t>
  </si>
  <si>
    <t>OIC/25-26/1174</t>
  </si>
  <si>
    <t>510000/48/2024/392</t>
  </si>
  <si>
    <t>OIC/25-26/1175</t>
  </si>
  <si>
    <t>510000/48/2023/618</t>
  </si>
  <si>
    <t>OIC/25-26/1176</t>
  </si>
  <si>
    <t>510000/31/2024/32</t>
  </si>
  <si>
    <t>OIC/25-26/1177</t>
  </si>
  <si>
    <t>212203/31/2024/593</t>
  </si>
  <si>
    <t>OIC/25-26/1178</t>
  </si>
  <si>
    <t>510000/48/2023/620</t>
  </si>
  <si>
    <t>OIC/25-26/1179</t>
  </si>
  <si>
    <t>222105/48/2024/614</t>
  </si>
  <si>
    <t xml:space="preserve"> VINNI ARORA</t>
  </si>
  <si>
    <t>OIC/25-26/1180</t>
  </si>
  <si>
    <t>222105/48/2024/515</t>
  </si>
  <si>
    <t>SUSHILA RAI CHHETRI</t>
  </si>
  <si>
    <t>OIC/25-26/1181</t>
  </si>
  <si>
    <t>212203/31/2024/670</t>
  </si>
  <si>
    <t>UNDER SECRETARY DAHD</t>
  </si>
  <si>
    <t>OIC/25-26/1182</t>
  </si>
  <si>
    <t>OIC/25-26/1183</t>
  </si>
  <si>
    <t>222105/48/2024/579</t>
  </si>
  <si>
    <t xml:space="preserve"> ROHAN SHAH</t>
  </si>
  <si>
    <t>OIC/25-26/1184</t>
  </si>
  <si>
    <t>111900/22/2024/263</t>
  </si>
  <si>
    <t>SADHAV OFFSHORE ENGINEERING PRIVATE LIMITED</t>
  </si>
  <si>
    <t>MH-PRD-006</t>
  </si>
  <si>
    <t>BUILDERS RISKS</t>
  </si>
  <si>
    <t>Inderjit singh Khurana</t>
  </si>
  <si>
    <t>Ashish R Mishra</t>
  </si>
  <si>
    <t>OIC/25-26/1185</t>
  </si>
  <si>
    <t>222105/48/2024/638</t>
  </si>
  <si>
    <t>Meenu Chopra</t>
  </si>
  <si>
    <t>OIC/25-26/1186</t>
  </si>
  <si>
    <t>421300/48/2023/521</t>
  </si>
  <si>
    <t>OIC/25-26/1139</t>
  </si>
  <si>
    <t>421300/48/2023/789</t>
  </si>
  <si>
    <t>ETC MANAGEMENT SERVICES INDIA PRIVATE LIMITED</t>
  </si>
  <si>
    <t>Shashikala Ganesh Rao</t>
  </si>
  <si>
    <t>Poorvi Kullegowda</t>
  </si>
  <si>
    <t>OIC/25-26/1188</t>
  </si>
  <si>
    <t>421100/48/2023/286</t>
  </si>
  <si>
    <t>Vinod Pulawale</t>
  </si>
  <si>
    <t>OIC/25-26/1189</t>
  </si>
  <si>
    <t>212203/31/2024/594</t>
  </si>
  <si>
    <t>OIC/25-26/1190</t>
  </si>
  <si>
    <t>510000/31/2024/45</t>
  </si>
  <si>
    <t>OIC/25-26/1191</t>
  </si>
  <si>
    <t>510000/48/2023/718</t>
  </si>
  <si>
    <t>OIC/25-26/1192</t>
  </si>
  <si>
    <t>510000/11/2024/125</t>
  </si>
  <si>
    <t>FIR-PRD-004</t>
  </si>
  <si>
    <t>MEGA RISK</t>
  </si>
  <si>
    <t>OIC/25-26/1193</t>
  </si>
  <si>
    <t>212203/31/2024/617</t>
  </si>
  <si>
    <t>OIC/25-26/1194</t>
  </si>
  <si>
    <t>212200/48/2024/268</t>
  </si>
  <si>
    <t>OIC/25-26/1195</t>
  </si>
  <si>
    <t>215600/48/2024/667</t>
  </si>
  <si>
    <t>OIC/25-26/1196</t>
  </si>
  <si>
    <t>212203/31/2024/551</t>
  </si>
  <si>
    <t>AC (HQ) SOUTH DELHI MUNICIPAL CORP</t>
  </si>
  <si>
    <t>OIC/25-26/1197</t>
  </si>
  <si>
    <t>212203/31/2024/563</t>
  </si>
  <si>
    <t>OIC/25-26/1198</t>
  </si>
  <si>
    <t>212203/48/2024/430</t>
  </si>
  <si>
    <t>Energy Efficiency Services Ltd</t>
  </si>
  <si>
    <t>Kamal Singh Kathait</t>
  </si>
  <si>
    <t>OIC/25-26/1199</t>
  </si>
  <si>
    <t>510000/48/2023/1607</t>
  </si>
  <si>
    <t>DENTSU COMMUNICATIONS INDIA PRIVATE LIMITED</t>
  </si>
  <si>
    <t>OIC/25-26/1200</t>
  </si>
  <si>
    <t>414890/31/2024/492</t>
  </si>
  <si>
    <t>BRSUMATHI</t>
  </si>
  <si>
    <t>OIC/25-26/1201</t>
  </si>
  <si>
    <t>212200/11/2024/34</t>
  </si>
  <si>
    <t>OIC/25-26/1202</t>
  </si>
  <si>
    <t>442600/11/2024/27</t>
  </si>
  <si>
    <t>IQ Minerals &amp; Metals</t>
  </si>
  <si>
    <t>Bennett Cheenath</t>
  </si>
  <si>
    <t>OIC/25-26/1203</t>
  </si>
  <si>
    <t>OIC/25-26/1204</t>
  </si>
  <si>
    <t>510000/31/2024/31</t>
  </si>
  <si>
    <t>OIC/25-26/1205</t>
  </si>
  <si>
    <t>212203/31/2024/748</t>
  </si>
  <si>
    <t>OIC/25-26/1206</t>
  </si>
  <si>
    <t>421300/48/2023/1215</t>
  </si>
  <si>
    <t>MOVIUS SOFTWARE PRIVATE LIMITED</t>
  </si>
  <si>
    <t>OIC/25-26/1207</t>
  </si>
  <si>
    <t>510000/48/2023/1407</t>
  </si>
  <si>
    <t>Bharat Stars Services (Delhi) Private Limited</t>
  </si>
  <si>
    <t>OIC/25-26/1208</t>
  </si>
  <si>
    <t>215600/48/2024/477</t>
  </si>
  <si>
    <t xml:space="preserve"> LUMAX MANNOH ALLIED TECHNOLOGIES LTD</t>
  </si>
  <si>
    <t>OIC/25-26/1209</t>
  </si>
  <si>
    <t>421300/48/2023/1243</t>
  </si>
  <si>
    <t>FRESHTOHOME FOODS PRIVATE LIMITED</t>
  </si>
  <si>
    <t>OIC/25-26/1210</t>
  </si>
  <si>
    <t>OIC/25-26/1211</t>
  </si>
  <si>
    <t>132000/11/2022/411</t>
  </si>
  <si>
    <t>OIC/25-26/1212</t>
  </si>
  <si>
    <t>510000/48/2023/716</t>
  </si>
  <si>
    <t>OIC/25-26/1213</t>
  </si>
  <si>
    <t>510000/31/2024/46</t>
  </si>
  <si>
    <t>OIC/25-26/1214</t>
  </si>
  <si>
    <t>510000/48/2023/1614</t>
  </si>
  <si>
    <t>OIC/25-26/1215</t>
  </si>
  <si>
    <t>212200/11/2024/33</t>
  </si>
  <si>
    <t>OIC/25-26/1216</t>
  </si>
  <si>
    <t>215600/48/2024/668</t>
  </si>
  <si>
    <t>OIC/25-26/1217</t>
  </si>
  <si>
    <t>212203/31/2024/527</t>
  </si>
  <si>
    <t>OIC/25-26/1218</t>
  </si>
  <si>
    <t>510000/31/2024/34</t>
  </si>
  <si>
    <t>OIC/25-26/1219</t>
  </si>
  <si>
    <t>510000/44/2024/7</t>
  </si>
  <si>
    <t>ENG-PRD-006</t>
  </si>
  <si>
    <t>ELECTRONIC EQUIPMENT INSURANCE</t>
  </si>
  <si>
    <t>OIC/25-26/1220</t>
  </si>
  <si>
    <t>510000/48/2023/1606</t>
  </si>
  <si>
    <t>OIC/25-26/1221</t>
  </si>
  <si>
    <t>510000/48/2023/1569</t>
  </si>
  <si>
    <t>DWA MEDIA PRIVATE LIMITED</t>
  </si>
  <si>
    <t>OIC/25-26/1222</t>
  </si>
  <si>
    <t>510000/48/2024/398</t>
  </si>
  <si>
    <t>OIC/25-26/1223</t>
  </si>
  <si>
    <t>OIC/25-26/1224</t>
  </si>
  <si>
    <t>212203/31/2024/638</t>
  </si>
  <si>
    <t>OIC/25-26/1225</t>
  </si>
  <si>
    <t>215600/31/2024/254</t>
  </si>
  <si>
    <t>OIC/25-26/1226</t>
  </si>
  <si>
    <t>212203/31/2024/571</t>
  </si>
  <si>
    <t>OIC/25-26/1227</t>
  </si>
  <si>
    <t>212203/31/2024/532</t>
  </si>
  <si>
    <t>OIC/25-26/1228</t>
  </si>
  <si>
    <t>510000/31/2024/33</t>
  </si>
  <si>
    <t>OIC/25-26/1229</t>
  </si>
  <si>
    <t>510000/48/2024/416</t>
  </si>
  <si>
    <t>OIC/25-26/1230</t>
  </si>
  <si>
    <t>510000/11/2024/123</t>
  </si>
  <si>
    <t>FIR-PRD-002</t>
  </si>
  <si>
    <t>FIRE - LOSS OF PROFIT</t>
  </si>
  <si>
    <t>OIC/25-26/1231</t>
  </si>
  <si>
    <t>411700/48/2023/2106</t>
  </si>
  <si>
    <t>OIC/25-26/1232</t>
  </si>
  <si>
    <t>163900/48/2023/2375</t>
  </si>
  <si>
    <t>AVALARA TECHNOLOGIES PVT LTD</t>
  </si>
  <si>
    <t>OIC/25-26/1233</t>
  </si>
  <si>
    <t>212203/31/2024/526</t>
  </si>
  <si>
    <t>POWER GRID CORPORATION OF INDIA</t>
  </si>
  <si>
    <t>OIC/25-26/1234</t>
  </si>
  <si>
    <t>212203/31/2024/700</t>
  </si>
  <si>
    <t>OIC/25-26/1235</t>
  </si>
  <si>
    <t>212203/31/2024/566</t>
  </si>
  <si>
    <t>OIC/25-26/1236</t>
  </si>
  <si>
    <t>442600/48/2024/250</t>
  </si>
  <si>
    <t>OIC/25-26/1237</t>
  </si>
  <si>
    <t>510000/48/2023/621</t>
  </si>
  <si>
    <t>OIC/25-26/1238</t>
  </si>
  <si>
    <t>212203/31/2024/768</t>
  </si>
  <si>
    <t>OIC/25-26/1239</t>
  </si>
  <si>
    <t>E10</t>
  </si>
  <si>
    <t>OIC/25-26/1240</t>
  </si>
  <si>
    <t>163600/48/2024/347</t>
  </si>
  <si>
    <t>OIC/25-26/1241</t>
  </si>
  <si>
    <t>222105/48/2024/637</t>
  </si>
  <si>
    <t>UTTAM KUMAR KHANDELWAL</t>
  </si>
  <si>
    <t>OIC/25-26/1242</t>
  </si>
  <si>
    <t>E9</t>
  </si>
  <si>
    <t>OIC/25-26/1243</t>
  </si>
  <si>
    <t>OIC/25-26/1244</t>
  </si>
  <si>
    <t>510000/48/2023/640</t>
  </si>
  <si>
    <t>CBO 1 KANPUR</t>
  </si>
  <si>
    <t>OIC/25-26/1245</t>
  </si>
  <si>
    <t>222104/48/2023/900</t>
  </si>
  <si>
    <t>NIVA BUPA HEALTH INSURANCE COMPANY LIMITED</t>
  </si>
  <si>
    <t>Naresh Joshi</t>
  </si>
  <si>
    <t>OIC/25-26/1246</t>
  </si>
  <si>
    <t>421200/48/2023/4442</t>
  </si>
  <si>
    <t>Mobileum (India) Private Limited</t>
  </si>
  <si>
    <t>OIC/25-26/1247</t>
  </si>
  <si>
    <t>272200/31/2024/314</t>
  </si>
  <si>
    <t>OIC/25-26/1248</t>
  </si>
  <si>
    <t>212203/31/2024/761</t>
  </si>
  <si>
    <t>OIC/25-26/1249</t>
  </si>
  <si>
    <t>272300/48/2024/860</t>
  </si>
  <si>
    <t>Pipavav Railway Corporation Limited</t>
  </si>
  <si>
    <t>NA</t>
  </si>
  <si>
    <t>Manish Gaur</t>
  </si>
  <si>
    <t>OIC/25-26/1250</t>
  </si>
  <si>
    <t>411700/48/2023/2419</t>
  </si>
  <si>
    <t>OIC/25-26/1251</t>
  </si>
  <si>
    <t>510000/11/2024/116</t>
  </si>
  <si>
    <t>OIC/25-26/1252</t>
  </si>
  <si>
    <t>421300/48/2023/1095</t>
  </si>
  <si>
    <t>CELONA NETWORKS PRIVATE LIMITED</t>
  </si>
  <si>
    <t>Harish Manjunath</t>
  </si>
  <si>
    <t>OIC/25-26/1253</t>
  </si>
  <si>
    <t>212203/31/2024/591</t>
  </si>
  <si>
    <t>NATIONAL INSTITUTE OF SOLAR ENERGY</t>
  </si>
  <si>
    <t>OIC/25-26/1254</t>
  </si>
  <si>
    <t>OIC/25-26/1255</t>
  </si>
  <si>
    <t>272300/48/2024/859</t>
  </si>
  <si>
    <t>OIC/25-26/1256</t>
  </si>
  <si>
    <t>212203/31/2024/703</t>
  </si>
  <si>
    <t>OIC/25-26/1257</t>
  </si>
  <si>
    <t>212203/31/2024/640</t>
  </si>
  <si>
    <t>OIC/25-26/1258</t>
  </si>
  <si>
    <t>OIC/25-26/1259</t>
  </si>
  <si>
    <t>510000/48/2024/322</t>
  </si>
  <si>
    <t>NXP INDIA PRIVATE LIMITED</t>
  </si>
  <si>
    <t>Surender Banga</t>
  </si>
  <si>
    <t>OIC/25-26/1260</t>
  </si>
  <si>
    <t>233406/48/2024/578</t>
  </si>
  <si>
    <t>OIC/25-26/1261</t>
  </si>
  <si>
    <t>163600/21/2024/3/0002</t>
  </si>
  <si>
    <t>DO 6 CHENNAI</t>
  </si>
  <si>
    <t>OIC/25-26/1262</t>
  </si>
  <si>
    <t>411600/48/2024/515</t>
  </si>
  <si>
    <t>JOYSON ANAND ABHISHEK SAFETY SYSTEMS PRIVATE LIMITED</t>
  </si>
  <si>
    <t>Muthahara Khan</t>
  </si>
  <si>
    <t>CHN/23-24/122</t>
  </si>
  <si>
    <t>OIC/25-26/1263</t>
  </si>
  <si>
    <t>OIC/25-26/1264</t>
  </si>
  <si>
    <t>510000/48/2024/204</t>
  </si>
  <si>
    <t>OIC/25-26/1265</t>
  </si>
  <si>
    <t>212203/31/2024/665</t>
  </si>
  <si>
    <t>OIC/25-26/1266</t>
  </si>
  <si>
    <t>212203/31/2024/732</t>
  </si>
  <si>
    <t>OIC/25-26/1267</t>
  </si>
  <si>
    <t>OIC/25-26/1268</t>
  </si>
  <si>
    <t>510000/48/2023/766</t>
  </si>
  <si>
    <t>OIC/25-26/1269</t>
  </si>
  <si>
    <t>510000/48/2023/746</t>
  </si>
  <si>
    <t>JETSYNTHESYS PRIVATE LIMITED</t>
  </si>
  <si>
    <t>OIC/25-26/1270</t>
  </si>
  <si>
    <t>414890/31/2024/432</t>
  </si>
  <si>
    <t xml:space="preserve"> OBOBETTERMANN INDIA PVT LTD</t>
  </si>
  <si>
    <t>MOT-PRD-002</t>
  </si>
  <si>
    <t>MOTORISED-TWO WHEELERS</t>
  </si>
  <si>
    <t>Hemalatha Ravichandran</t>
  </si>
  <si>
    <t>OIC/25-26/1271</t>
  </si>
  <si>
    <t>510000/48/2024/419</t>
  </si>
  <si>
    <t>OIC/25-26/1272</t>
  </si>
  <si>
    <t>272200/31/2024/391</t>
  </si>
  <si>
    <t xml:space="preserve"> ORIENT PACKER</t>
  </si>
  <si>
    <t>OIC/25-26/1273</t>
  </si>
  <si>
    <t>OIC/25-26/1274</t>
  </si>
  <si>
    <t>215600/11/2024/64</t>
  </si>
  <si>
    <t>OIC/25-26/1275</t>
  </si>
  <si>
    <t>510000/48/2023/1566</t>
  </si>
  <si>
    <t>OIC/25-26/1276</t>
  </si>
  <si>
    <t>OIC/25-26/1277</t>
  </si>
  <si>
    <t>OIC/25-26/1278</t>
  </si>
  <si>
    <t>212203/31/2024/715</t>
  </si>
  <si>
    <t>OFFICE OF THE MANAGER, GOVT PRESS,</t>
  </si>
  <si>
    <t>OIC/25-26/1279</t>
  </si>
  <si>
    <t>OIC/25-26/1280</t>
  </si>
  <si>
    <t>212203/31/2024/714</t>
  </si>
  <si>
    <t>OIC/25-26/1281</t>
  </si>
  <si>
    <t>510000/48/2024/412</t>
  </si>
  <si>
    <t>OIC/25-26/1282</t>
  </si>
  <si>
    <t>212203/31/2024/614</t>
  </si>
  <si>
    <t>REC LIMITED</t>
  </si>
  <si>
    <t>OIC/25-26/1283</t>
  </si>
  <si>
    <t>510000/48/2024/346</t>
  </si>
  <si>
    <t>OIC/25-26/1284</t>
  </si>
  <si>
    <t>212203/31/2024/716</t>
  </si>
  <si>
    <t>TAGORE GOVT COLLEGE OF EDUCATION</t>
  </si>
  <si>
    <t>OIC/25-26/1285</t>
  </si>
  <si>
    <t>510000/48/2023/1582</t>
  </si>
  <si>
    <t>OIC/25-26/1286</t>
  </si>
  <si>
    <t>510000/11/2024/126</t>
  </si>
  <si>
    <t>OIC/25-26/1287</t>
  </si>
  <si>
    <t>510000/11/2024/127</t>
  </si>
  <si>
    <t>FIR-PRD-008</t>
  </si>
  <si>
    <t>STAND ALONE TERRORISM - FIRE</t>
  </si>
  <si>
    <t>Updation done in saiba</t>
  </si>
  <si>
    <t>OIC/25-26/1288</t>
  </si>
  <si>
    <t>222105/48/2024/583</t>
  </si>
  <si>
    <t xml:space="preserve"> NARENDRA SINGH BISHT,</t>
  </si>
  <si>
    <t>OIC/25-26/1289</t>
  </si>
  <si>
    <t>421100/48/2024/142</t>
  </si>
  <si>
    <t>PRECISION PRECAST SOLUTIONS PRIVATE LIMITED</t>
  </si>
  <si>
    <t>Shraddha Verma</t>
  </si>
  <si>
    <t>Sanket Surve</t>
  </si>
  <si>
    <t>OIC/25-26/1290</t>
  </si>
  <si>
    <t>510000/31/2024/36</t>
  </si>
  <si>
    <t>OIC/25-26/1291</t>
  </si>
  <si>
    <t>212203/31/2024/615</t>
  </si>
  <si>
    <t>OIC/25-26/1292</t>
  </si>
  <si>
    <t>215600/48/2024/547</t>
  </si>
  <si>
    <t>LUMAX INDUSTRIES LTD</t>
  </si>
  <si>
    <t>OIC/25-26/1293</t>
  </si>
  <si>
    <t>421300/48/2023/731</t>
  </si>
  <si>
    <t>ZYNGA GAME NETWORK INDIA PVT LTD</t>
  </si>
  <si>
    <t>Satyaki Mukherjee</t>
  </si>
  <si>
    <t>Akhilesh Singh</t>
  </si>
  <si>
    <t>OIC/25-26/1294</t>
  </si>
  <si>
    <t>212203/31/2024/671</t>
  </si>
  <si>
    <t>OIC/25-26/1187</t>
  </si>
  <si>
    <t>421300/48/2023/460</t>
  </si>
  <si>
    <t>OIC/25-26/1296</t>
  </si>
  <si>
    <t>510000/48/2024/425</t>
  </si>
  <si>
    <t>MIST-PRD-034</t>
  </si>
  <si>
    <t>ERROR  and OMISSION -MEDICAL ESTABLISHMENT</t>
  </si>
  <si>
    <t>OIC/25-26/1297</t>
  </si>
  <si>
    <t>OIC/25-26/1298</t>
  </si>
  <si>
    <t>OIC/25-26/1299</t>
  </si>
  <si>
    <t>OIC/25-26/1300</t>
  </si>
  <si>
    <t>272200/31/2024/429</t>
  </si>
  <si>
    <t xml:space="preserve"> NEW SWAN ENTERPRISES</t>
  </si>
  <si>
    <t>Jatin Mago</t>
  </si>
  <si>
    <t>OIC/25-26/1301</t>
  </si>
  <si>
    <t>222105/48/2024/636</t>
  </si>
  <si>
    <t xml:space="preserve"> Dhruv Chopra</t>
  </si>
  <si>
    <t>OIC/25-26/1302</t>
  </si>
  <si>
    <t>272200/31/2024/346</t>
  </si>
  <si>
    <t>OIC/25-26/1303</t>
  </si>
  <si>
    <t>OIC/25-26/1304</t>
  </si>
  <si>
    <t>421100/48/2023/482</t>
  </si>
  <si>
    <t>OPUS SOLUTIONS PRIVATE LIMITED</t>
  </si>
  <si>
    <t>Aatish Gaurav</t>
  </si>
  <si>
    <t>OIC/25-26/1305</t>
  </si>
  <si>
    <t>OIC/25-26/1306</t>
  </si>
  <si>
    <t>OIC/25-26/1307</t>
  </si>
  <si>
    <t>163900/48/2024/921</t>
  </si>
  <si>
    <t>OIC/25-26/1308</t>
  </si>
  <si>
    <t>510000/48/2023/1608</t>
  </si>
  <si>
    <t>OIC/25-26/1309</t>
  </si>
  <si>
    <t>212203/31/2024/702</t>
  </si>
  <si>
    <t>OIC/25-26/1310</t>
  </si>
  <si>
    <t>510000/31/2024/44</t>
  </si>
  <si>
    <t>OIC/25-26/1311</t>
  </si>
  <si>
    <t>OIC/25-26/1312</t>
  </si>
  <si>
    <t>OIC/25-26/1313</t>
  </si>
  <si>
    <t>510000/48/2023/721</t>
  </si>
  <si>
    <t>OIC/25-26/1314</t>
  </si>
  <si>
    <t>212203/31/2024/618</t>
  </si>
  <si>
    <t>OIC/25-26/1315</t>
  </si>
  <si>
    <t>212203/31/2024/637</t>
  </si>
  <si>
    <t>DEPARTMENT OF HEAVY INDUSTRIES</t>
  </si>
  <si>
    <t>OIC/25-26/1316</t>
  </si>
  <si>
    <t>212203/31/2024/635</t>
  </si>
  <si>
    <t>INTERNATIONAL SOLAR ALLIANCE</t>
  </si>
  <si>
    <t>OIC/25-26/1317</t>
  </si>
  <si>
    <t>215600/31/2024/257</t>
  </si>
  <si>
    <t>OIC/25-26/1318</t>
  </si>
  <si>
    <t>212203/31/2024/555</t>
  </si>
  <si>
    <t>OIC/25-26/1319</t>
  </si>
  <si>
    <t>212203/31/2024/567</t>
  </si>
  <si>
    <t>OIC/25-26/1320</t>
  </si>
  <si>
    <t>OIC/25-26/1321</t>
  </si>
  <si>
    <t>510000/48/2023/1558</t>
  </si>
  <si>
    <t>AMNET TRADING INDIA PRIVATE LIMITED</t>
  </si>
  <si>
    <t>OIC/25-26/1322</t>
  </si>
  <si>
    <t>212203/31/2024/661</t>
  </si>
  <si>
    <t>OIC/25-26/1323</t>
  </si>
  <si>
    <t>215600/48/2024/690</t>
  </si>
  <si>
    <t xml:space="preserve"> GAGAN KAPOOR</t>
  </si>
  <si>
    <t>OIC/25-26/1324</t>
  </si>
  <si>
    <t>540000/11/2024/1</t>
  </si>
  <si>
    <t>OIC/25-26/1325</t>
  </si>
  <si>
    <t>421300/48/2023/967</t>
  </si>
  <si>
    <t>CIMS HOSPITAL PRIVATE LIMITED</t>
  </si>
  <si>
    <t>OIC/25-26/1326</t>
  </si>
  <si>
    <t>212203/48/2024/262</t>
  </si>
  <si>
    <t>HAVELLS INDIA LTD</t>
  </si>
  <si>
    <t>MIST-PRD-032</t>
  </si>
  <si>
    <t>PUBLIC LIABILITY NON INDUSTRIAL</t>
  </si>
  <si>
    <t>Malika Umrail Khanna</t>
  </si>
  <si>
    <t>Nisha Sethi</t>
  </si>
  <si>
    <t>OIC/25-26/1327</t>
  </si>
  <si>
    <t>OIC/25-26/1328</t>
  </si>
  <si>
    <t>OIC/25-26/1329</t>
  </si>
  <si>
    <t>OIC/25-26/1330</t>
  </si>
  <si>
    <t>111200/48/2024/423</t>
  </si>
  <si>
    <t>KARAN SEHGAL</t>
  </si>
  <si>
    <t>OIC/25-26/1331</t>
  </si>
  <si>
    <t>510000/11/2024/102</t>
  </si>
  <si>
    <t>OIC/25-26/1332</t>
  </si>
  <si>
    <t>OIC/25-26/1333</t>
  </si>
  <si>
    <t>510000/48/2023/1581</t>
  </si>
  <si>
    <t>OIC/25-26/1334</t>
  </si>
  <si>
    <t>132000/11/2022/406</t>
  </si>
  <si>
    <t>OIC/25-26/1335</t>
  </si>
  <si>
    <t>510000/11/2024/103</t>
  </si>
  <si>
    <t>OIC/25-26/1336</t>
  </si>
  <si>
    <t>212203/31/2024/664</t>
  </si>
  <si>
    <t>OIC/25-26/1337</t>
  </si>
  <si>
    <t>212203/31/2024/537</t>
  </si>
  <si>
    <t>OIC/25-26/1338</t>
  </si>
  <si>
    <t>OIC/25-26/1339</t>
  </si>
  <si>
    <t>510000/48/2024/345</t>
  </si>
  <si>
    <t>OIC/25-26/1340</t>
  </si>
  <si>
    <t>OIC/25-26/1341</t>
  </si>
  <si>
    <t>132000/11/2022/416</t>
  </si>
  <si>
    <t>OIC/25-26/1342</t>
  </si>
  <si>
    <t>222105/48/2024/385</t>
  </si>
  <si>
    <t>AMIT AGARWAL</t>
  </si>
  <si>
    <t>OIC/25-26/1343</t>
  </si>
  <si>
    <t>112400/43/2024/46</t>
  </si>
  <si>
    <t>AVI-PRD-014</t>
  </si>
  <si>
    <t>AVIATION - GROUP PA (UN-NAMED)</t>
  </si>
  <si>
    <t>OIC/25-26/1344</t>
  </si>
  <si>
    <t>510000/48/2024/185</t>
  </si>
  <si>
    <t>OIC/25-26/1345</t>
  </si>
  <si>
    <t>510000/48/2023/797</t>
  </si>
  <si>
    <t>INNOVAPTIVE GLOBAL SOLUTIONS PRIVATE LIMITED</t>
  </si>
  <si>
    <t>OIC/25-26/1346</t>
  </si>
  <si>
    <t>222105/48/2024/654</t>
  </si>
  <si>
    <t>VINAY KUMAR JAISWAL</t>
  </si>
  <si>
    <t>OIC/25-26/1347</t>
  </si>
  <si>
    <t>540000/48/2024/39</t>
  </si>
  <si>
    <t>OIC/25-26/1348</t>
  </si>
  <si>
    <t>421300/48/2024/393</t>
  </si>
  <si>
    <t>OIC/25-26/1349</t>
  </si>
  <si>
    <t>421300/48/2023/1155</t>
  </si>
  <si>
    <t>MISTRAL SOLUTIONS PVT LTD</t>
  </si>
  <si>
    <t>OIC/25-26/1350</t>
  </si>
  <si>
    <t>414890/31/2024/433</t>
  </si>
  <si>
    <t>OIC/25-26/1351</t>
  </si>
  <si>
    <t>272200/31/2024/300</t>
  </si>
  <si>
    <t>GOLDEN AERO LOGISTICS &amp; CONCIERGE SERVICES PVT LTD</t>
  </si>
  <si>
    <t>OIC/25-26/1352</t>
  </si>
  <si>
    <t>222105/48/2024/618</t>
  </si>
  <si>
    <t>CYNTHIA MATHIAS</t>
  </si>
  <si>
    <t>OIC/25-26/1353</t>
  </si>
  <si>
    <t>272200/31/2024/351</t>
  </si>
  <si>
    <t>OIC/25-26/1354</t>
  </si>
  <si>
    <t>OIC/25-26/1355</t>
  </si>
  <si>
    <t>431500/48/2024/677</t>
  </si>
  <si>
    <t>SILABS INDIA PRIVATE LIMITED</t>
  </si>
  <si>
    <t>Rani Sudhakar Ranipeta</t>
  </si>
  <si>
    <t>OIC/25-26/1356</t>
  </si>
  <si>
    <t>163600/21/2024/3/0004</t>
  </si>
  <si>
    <t>Jun'23 161100</t>
  </si>
  <si>
    <t xml:space="preserve"> OIC/25-26/1357</t>
  </si>
  <si>
    <t>161100/48/2023/4823</t>
  </si>
  <si>
    <t>PUN/23-24/34</t>
  </si>
  <si>
    <t>Updation Done in saiba</t>
  </si>
  <si>
    <t xml:space="preserve"> OIC/25-26/1358</t>
  </si>
  <si>
    <t>161100/48/2023/4824</t>
  </si>
  <si>
    <t xml:space="preserve"> OIC/25-26/1359</t>
  </si>
  <si>
    <t>161100/48/2023/4825</t>
  </si>
  <si>
    <t xml:space="preserve"> OIC/25-26/1360</t>
  </si>
  <si>
    <t>161100/11/2023/335</t>
  </si>
  <si>
    <t xml:space="preserve"> OIC/25-26/1361</t>
  </si>
  <si>
    <t>161100/11/2023/336</t>
  </si>
  <si>
    <t>Jun'23 SHREEJI 111900</t>
  </si>
  <si>
    <t>Office :    - MCDO 14</t>
  </si>
  <si>
    <t xml:space="preserve"> OIC/25-26/1362</t>
  </si>
  <si>
    <t>111900/48/2023/119</t>
  </si>
  <si>
    <t>1 SHREEJI</t>
  </si>
  <si>
    <t>MIST-PRD-051 - KIDNAP &amp;</t>
  </si>
  <si>
    <t>MUM/23-24/632</t>
  </si>
  <si>
    <t>(All)</t>
  </si>
  <si>
    <t>Row Labels</t>
  </si>
  <si>
    <t>Sum of Commission</t>
  </si>
  <si>
    <t>Remarks</t>
  </si>
  <si>
    <t>BLR/23-24/100</t>
  </si>
  <si>
    <t>Done</t>
  </si>
  <si>
    <t>BLR/23-24/101</t>
  </si>
  <si>
    <t>BLR/23-24/102</t>
  </si>
  <si>
    <t>BLR/23-24/103</t>
  </si>
  <si>
    <t>BLR/23-24/104</t>
  </si>
  <si>
    <t>BLR/23-24/204</t>
  </si>
  <si>
    <t>BLR/23-24/205</t>
  </si>
  <si>
    <t>BLR/23-24/206</t>
  </si>
  <si>
    <t>BLR/23-24/62</t>
  </si>
  <si>
    <t>BLR/23-24/63</t>
  </si>
  <si>
    <t>BLR/23-24/64</t>
  </si>
  <si>
    <t>BLR/23-24/65</t>
  </si>
  <si>
    <t>BLR/C/23-24/04</t>
  </si>
  <si>
    <t>BLR/C/23-24/13</t>
  </si>
  <si>
    <t>CHN/23-24/148</t>
  </si>
  <si>
    <t>CHN/23-24/44</t>
  </si>
  <si>
    <t>CHN/23-24/45</t>
  </si>
  <si>
    <t>CHN/23-24/46</t>
  </si>
  <si>
    <t>CHN/23-24/47</t>
  </si>
  <si>
    <t>CHN/23-24/48</t>
  </si>
  <si>
    <t>CHN/23-24/49</t>
  </si>
  <si>
    <t>CHN/23-24/63</t>
  </si>
  <si>
    <t>CHN/23-24/64</t>
  </si>
  <si>
    <t>CHN/23-24/65</t>
  </si>
  <si>
    <t>CHN/23-24/66</t>
  </si>
  <si>
    <t>CHN/23-24/67</t>
  </si>
  <si>
    <t>CHN/C/23-24/11</t>
  </si>
  <si>
    <t>CHN/C/23-24/14</t>
  </si>
  <si>
    <t>CHN/C/23-24/30</t>
  </si>
  <si>
    <t>CHN/C/23-24/31</t>
  </si>
  <si>
    <t>GGN/23-24/128</t>
  </si>
  <si>
    <t>GGN/23-24/129</t>
  </si>
  <si>
    <t>GGN/23-24/130</t>
  </si>
  <si>
    <t>GGN/23-24/131</t>
  </si>
  <si>
    <t>GGN/23-24/132</t>
  </si>
  <si>
    <t>GGN/23-24/133</t>
  </si>
  <si>
    <t>GGN/23-24/134</t>
  </si>
  <si>
    <t>GGN/23-24/135</t>
  </si>
  <si>
    <t>GGN/23-24/136</t>
  </si>
  <si>
    <t>GGN/23-24/137</t>
  </si>
  <si>
    <t>GGN/23-24/172</t>
  </si>
  <si>
    <t>tally with 15% share</t>
  </si>
  <si>
    <t>GGN/23-24/216</t>
  </si>
  <si>
    <t>GGN/23-24/217</t>
  </si>
  <si>
    <t>GGN/23-24/218</t>
  </si>
  <si>
    <t>Revised statement _not woking( invoice cancelled)</t>
  </si>
  <si>
    <t>GGN/23-24/219</t>
  </si>
  <si>
    <t>GGN/23-24/220</t>
  </si>
  <si>
    <t>GGN/23-24/221</t>
  </si>
  <si>
    <t>GGN/23-24/222</t>
  </si>
  <si>
    <t>GGN/23-24/223</t>
  </si>
  <si>
    <t>GGN/23-24/224</t>
  </si>
  <si>
    <t>GGN/23-24/225</t>
  </si>
  <si>
    <t>GGN/23-24/226</t>
  </si>
  <si>
    <t>GGN/23-24/227</t>
  </si>
  <si>
    <t>GGN/23-24/431</t>
  </si>
  <si>
    <t>GGN/23-24/432</t>
  </si>
  <si>
    <t>GGN/23-24/433</t>
  </si>
  <si>
    <t>GGN/23-24/434</t>
  </si>
  <si>
    <t>GGN/23-24/436</t>
  </si>
  <si>
    <t>GGN/C/23-24/57</t>
  </si>
  <si>
    <t>HYD/23-24/39</t>
  </si>
  <si>
    <t>HYD/23-24/40</t>
  </si>
  <si>
    <t>HYD/23-24/84</t>
  </si>
  <si>
    <t>HYD/C/23-24/06</t>
  </si>
  <si>
    <t>Invoice not raise, 0 commission</t>
  </si>
  <si>
    <t>LUD/23-24/16</t>
  </si>
  <si>
    <t>LUD/23-24/17</t>
  </si>
  <si>
    <t>LUD/23-24/18</t>
  </si>
  <si>
    <t>LUD/23-24/28</t>
  </si>
  <si>
    <t>LUD/23-24/29</t>
  </si>
  <si>
    <t>LUD/23-24/30</t>
  </si>
  <si>
    <t>LUD/C/23-24/01</t>
  </si>
  <si>
    <t>MUM/23-24/179</t>
  </si>
  <si>
    <t>MUM/23-24/180</t>
  </si>
  <si>
    <t>MUM/23-24/181</t>
  </si>
  <si>
    <t>MUM/23-24/182</t>
  </si>
  <si>
    <t>MUM/23-24/183</t>
  </si>
  <si>
    <t>MUM/23-24/184</t>
  </si>
  <si>
    <t>MUM/23-24/185</t>
  </si>
  <si>
    <t>MUM/23-24/186</t>
  </si>
  <si>
    <t>MUM/23-24/187</t>
  </si>
  <si>
    <t>MUM/23-24/317</t>
  </si>
  <si>
    <t>MUM/23-24/318</t>
  </si>
  <si>
    <t>MUM/23-24/319</t>
  </si>
  <si>
    <t>MUM/23-24/320</t>
  </si>
  <si>
    <t>MUM/23-24/321</t>
  </si>
  <si>
    <t>MUM/23-24/708</t>
  </si>
  <si>
    <t>MUM/23-24/709</t>
  </si>
  <si>
    <t>MUM/23-24/713</t>
  </si>
  <si>
    <t>PUN/23-24/17</t>
  </si>
  <si>
    <t>PUN/23-24/18</t>
  </si>
  <si>
    <t>PUN/23-24/19</t>
  </si>
  <si>
    <t>PUN/23-24/20</t>
  </si>
  <si>
    <t>PUN/23-24/27</t>
  </si>
  <si>
    <t>PUN/23-24/57</t>
  </si>
  <si>
    <t>PUN/23-24/58</t>
  </si>
  <si>
    <t>PUN/23-24/59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</si>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</sst>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5" fillId="7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5" fontId="3" fillId="0" borderId="1" xfId="0" applyNumberFormat="1" applyFont="1" applyBorder="1"/>
    <xf numFmtId="164" fontId="3" fillId="7" borderId="1" xfId="1" applyFont="1" applyFill="1" applyBorder="1"/>
    <xf numFmtId="164" fontId="3" fillId="0" borderId="1" xfId="1" applyFont="1" applyBorder="1"/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8" fillId="0" borderId="1" xfId="0" applyFont="1" applyBorder="1" applyAlignment="1">
      <alignment vertical="top"/>
    </xf>
    <xf numFmtId="0" fontId="3" fillId="7" borderId="1" xfId="0" applyFont="1" applyFill="1" applyBorder="1"/>
    <xf numFmtId="2" fontId="3" fillId="0" borderId="1" xfId="0" applyNumberFormat="1" applyFont="1" applyBorder="1"/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rushiraj.sawant\Desktop\Copy%20of%20Sales%20invoice%20register%20as%20per%20tally%20Apr'23%20to%20Aug'23.xlsx" TargetMode="External"/><Relationship Id="rId2" Type="http://schemas.microsoft.com/office/2019/04/relationships/externalLinkLongPath" Target="Reconciliation/Data%20received%20from%20Client/combined%20brk/Copy%20of%20Sales%20invoice%20register%20as%20per%20tally%20Apr'23%20to%20Aug'23.xlsx?556504F7" TargetMode="External"/><Relationship Id="rId1" Type="http://schemas.openxmlformats.org/officeDocument/2006/relationships/externalLinkPath" Target="file:///\\556504F7\Copy%20of%20Sales%20invoice%20register%20as%20per%20tally%20Apr'23%20to%20Aug'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ales Register"/>
      <sheetName val="Credit Note Register"/>
    </sheetNames>
    <sheetDataSet>
      <sheetData sheetId="0">
        <row r="1">
          <cell r="E1" t="str">
            <v>Voucher No.</v>
          </cell>
          <cell r="F1" t="str">
            <v>Narration</v>
          </cell>
          <cell r="G1" t="str">
            <v>Gross Total</v>
          </cell>
          <cell r="H1" t="str">
            <v>GST Collections</v>
          </cell>
          <cell r="I1" t="str">
            <v>Related Items</v>
          </cell>
        </row>
        <row r="2">
          <cell r="E2" t="str">
            <v>HYD/23-24/01</v>
          </cell>
          <cell r="F2" t="str">
            <v>being reward booked on insurance policies placed in Q4 20-21.</v>
          </cell>
          <cell r="G2">
            <v>8676.66</v>
          </cell>
          <cell r="H2">
            <v>1323.56</v>
          </cell>
          <cell r="I2">
            <v>7353.1</v>
          </cell>
        </row>
        <row r="3">
          <cell r="E3" t="str">
            <v>MUM/23-24/01</v>
          </cell>
          <cell r="F3" t="str">
            <v>being brokerage booked on insurance poliices placed in Feb-23.</v>
          </cell>
          <cell r="G3">
            <v>518922.53</v>
          </cell>
          <cell r="H3">
            <v>79157.679999999993</v>
          </cell>
          <cell r="I3">
            <v>439764.85</v>
          </cell>
        </row>
        <row r="4">
          <cell r="E4" t="str">
            <v>MUM/23-24/02</v>
          </cell>
          <cell r="F4" t="str">
            <v>being reward booked on insurance poliices placed in Feb-23.</v>
          </cell>
          <cell r="G4">
            <v>155676.76</v>
          </cell>
          <cell r="H4">
            <v>23747.3</v>
          </cell>
          <cell r="I4">
            <v>131929.46</v>
          </cell>
        </row>
        <row r="5">
          <cell r="E5" t="str">
            <v>MUM/23-24/03</v>
          </cell>
          <cell r="F5" t="str">
            <v>being brokerage booked on insurance policies placed in Mar-23.</v>
          </cell>
          <cell r="G5">
            <v>57176.74</v>
          </cell>
          <cell r="H5">
            <v>8721.8799999999992</v>
          </cell>
          <cell r="I5">
            <v>48454.86</v>
          </cell>
        </row>
        <row r="6">
          <cell r="E6" t="str">
            <v>MUM/23-24/04</v>
          </cell>
          <cell r="F6" t="str">
            <v>being reward booked on insurance policies placed in Jan'23 &amp; Feb'23.</v>
          </cell>
          <cell r="G6">
            <v>127112.1</v>
          </cell>
          <cell r="H6">
            <v>19389.98</v>
          </cell>
          <cell r="I6">
            <v>107722.12</v>
          </cell>
        </row>
        <row r="7">
          <cell r="E7" t="str">
            <v>BLR/23-24/01</v>
          </cell>
          <cell r="F7" t="str">
            <v>being brokerage booked on insurance policies placed in Mar-23.</v>
          </cell>
          <cell r="G7">
            <v>1936.78</v>
          </cell>
          <cell r="H7">
            <v>295.44</v>
          </cell>
          <cell r="I7">
            <v>1641.34</v>
          </cell>
        </row>
        <row r="8">
          <cell r="E8" t="str">
            <v>BLR/23-24/02</v>
          </cell>
          <cell r="F8" t="str">
            <v>being brokerage booked on insurance policies placed in Mar-23.</v>
          </cell>
          <cell r="G8">
            <v>27.62</v>
          </cell>
          <cell r="H8">
            <v>4.22</v>
          </cell>
          <cell r="I8">
            <v>23.4</v>
          </cell>
        </row>
        <row r="9">
          <cell r="E9" t="str">
            <v>BLR/23-24/03</v>
          </cell>
          <cell r="F9" t="str">
            <v>being brokerage booked on insurance policies placed in Mar-23.</v>
          </cell>
          <cell r="G9">
            <v>70062.5</v>
          </cell>
          <cell r="H9">
            <v>10687.5</v>
          </cell>
          <cell r="I9">
            <v>59375</v>
          </cell>
        </row>
        <row r="10">
          <cell r="E10" t="str">
            <v>BLR/23-24/04</v>
          </cell>
          <cell r="F10" t="str">
            <v>being brokerage booked on insurance policies placed in Mar-23.</v>
          </cell>
          <cell r="G10">
            <v>5809.5</v>
          </cell>
          <cell r="H10">
            <v>886.2</v>
          </cell>
          <cell r="I10">
            <v>4923.3</v>
          </cell>
        </row>
        <row r="11">
          <cell r="E11" t="str">
            <v>BLR/23-24/05</v>
          </cell>
          <cell r="F11" t="str">
            <v>being brokerage booked on insurance policies placed in Mar-23.</v>
          </cell>
          <cell r="G11">
            <v>47200</v>
          </cell>
          <cell r="H11">
            <v>7200</v>
          </cell>
          <cell r="I11">
            <v>40000</v>
          </cell>
        </row>
        <row r="12">
          <cell r="E12" t="str">
            <v>BLR/23-24/06</v>
          </cell>
          <cell r="F12" t="str">
            <v>being brokerage booked on insurance policies placed in Mar-23.</v>
          </cell>
          <cell r="G12">
            <v>17470.939999999999</v>
          </cell>
          <cell r="H12">
            <v>2665.06</v>
          </cell>
          <cell r="I12">
            <v>14805.88</v>
          </cell>
        </row>
        <row r="13">
          <cell r="E13" t="str">
            <v>BLR/23-24/07</v>
          </cell>
          <cell r="F13" t="str">
            <v>being brokerage booked on insurance policies placed in Mar-23.</v>
          </cell>
          <cell r="G13">
            <v>3933.47</v>
          </cell>
          <cell r="H13">
            <v>600.02</v>
          </cell>
          <cell r="I13">
            <v>3333.45</v>
          </cell>
        </row>
        <row r="14">
          <cell r="E14" t="str">
            <v>BLR/23-24/08</v>
          </cell>
          <cell r="F14" t="str">
            <v>being brokerage booked on insurance policies placed in Mar-23.</v>
          </cell>
          <cell r="G14">
            <v>15941.06</v>
          </cell>
          <cell r="H14">
            <v>2431.6799999999998</v>
          </cell>
          <cell r="I14">
            <v>13509.38</v>
          </cell>
        </row>
        <row r="15">
          <cell r="E15" t="str">
            <v>BLR/23-24/09</v>
          </cell>
          <cell r="F15" t="str">
            <v>being brokerage booked on insurance policies placed in Mar-23.</v>
          </cell>
          <cell r="G15">
            <v>25541.07</v>
          </cell>
          <cell r="H15">
            <v>3896.1</v>
          </cell>
          <cell r="I15">
            <v>21644.97</v>
          </cell>
        </row>
        <row r="16">
          <cell r="E16" t="str">
            <v>CHN/23-24/01</v>
          </cell>
          <cell r="F16" t="str">
            <v>being brokerage booked on insurance policies placed in month of Mar-23.</v>
          </cell>
          <cell r="G16">
            <v>1446.97</v>
          </cell>
          <cell r="H16">
            <v>220.72</v>
          </cell>
          <cell r="I16">
            <v>1226.25</v>
          </cell>
        </row>
        <row r="17">
          <cell r="E17" t="str">
            <v>CHN/23-24/02</v>
          </cell>
          <cell r="F17" t="str">
            <v>being brokerage booked on insurance policies placed in Mar-23.</v>
          </cell>
          <cell r="G17">
            <v>16511.84</v>
          </cell>
          <cell r="H17">
            <v>2518.7600000000002</v>
          </cell>
          <cell r="I17">
            <v>13993.08</v>
          </cell>
        </row>
        <row r="18">
          <cell r="E18" t="str">
            <v>CHN/23-24/03</v>
          </cell>
          <cell r="F18" t="str">
            <v>being brokerage booked on insurance policies placed in Mar-23.</v>
          </cell>
          <cell r="G18">
            <v>10807.38</v>
          </cell>
          <cell r="H18">
            <v>1648.58</v>
          </cell>
          <cell r="I18">
            <v>9158.7999999999993</v>
          </cell>
        </row>
        <row r="19">
          <cell r="E19" t="str">
            <v>CHN/23-24/04</v>
          </cell>
          <cell r="F19" t="str">
            <v>being brokerage booked on insurance policies placed in Mar-23.</v>
          </cell>
          <cell r="G19">
            <v>19659.14</v>
          </cell>
          <cell r="H19">
            <v>2998.86</v>
          </cell>
          <cell r="I19">
            <v>16660.28</v>
          </cell>
        </row>
        <row r="20">
          <cell r="E20" t="str">
            <v>CHN/23-24/05</v>
          </cell>
          <cell r="F20" t="str">
            <v>being brokerage booked on insurance policies placed in Mar-23.</v>
          </cell>
          <cell r="G20">
            <v>6765.3</v>
          </cell>
          <cell r="H20">
            <v>1032</v>
          </cell>
          <cell r="I20">
            <v>5733.3</v>
          </cell>
        </row>
        <row r="21">
          <cell r="E21" t="str">
            <v>CHN/23-24/06</v>
          </cell>
          <cell r="F21" t="str">
            <v>being brokerage booked on insurance policies placed in Mar-23.</v>
          </cell>
          <cell r="G21">
            <v>311740.32</v>
          </cell>
          <cell r="H21">
            <v>47553.599999999999</v>
          </cell>
          <cell r="I21">
            <v>264186.71999999997</v>
          </cell>
        </row>
        <row r="22">
          <cell r="E22" t="str">
            <v>CHN/23-24/07</v>
          </cell>
          <cell r="F22" t="str">
            <v>being brokerage booked on insurance policies placed in Mar-23.</v>
          </cell>
          <cell r="G22">
            <v>412054.72</v>
          </cell>
          <cell r="H22">
            <v>62855.8</v>
          </cell>
          <cell r="I22">
            <v>349198.92</v>
          </cell>
        </row>
        <row r="23">
          <cell r="E23" t="str">
            <v>GGN/23-24/01</v>
          </cell>
          <cell r="F23" t="str">
            <v>being brokerage booked on insurance policies placed in Mar-23.</v>
          </cell>
          <cell r="G23">
            <v>27631.21</v>
          </cell>
          <cell r="H23">
            <v>4214.93</v>
          </cell>
          <cell r="I23">
            <v>23416.28</v>
          </cell>
        </row>
        <row r="24">
          <cell r="E24" t="str">
            <v>GGN/23-24/02</v>
          </cell>
          <cell r="F24" t="str">
            <v>being brokerage booked on insurance policies placed in Mar-23.</v>
          </cell>
          <cell r="G24">
            <v>162208.95999999999</v>
          </cell>
          <cell r="H24">
            <v>24743.74</v>
          </cell>
          <cell r="I24">
            <v>137465.22</v>
          </cell>
        </row>
        <row r="25">
          <cell r="E25" t="str">
            <v>GGN/23-24/03</v>
          </cell>
          <cell r="F25" t="str">
            <v>being brokerage booked on insurance policies placed in Mar-23.</v>
          </cell>
          <cell r="G25">
            <v>89222.05</v>
          </cell>
          <cell r="H25">
            <v>13610.14</v>
          </cell>
          <cell r="I25">
            <v>75611.91</v>
          </cell>
        </row>
        <row r="26">
          <cell r="E26" t="str">
            <v>GGN/23-24/04</v>
          </cell>
          <cell r="F26" t="str">
            <v>being brokerage booked on insurance policies placed in Mar-23.</v>
          </cell>
          <cell r="G26">
            <v>3901.79</v>
          </cell>
          <cell r="H26">
            <v>595.19000000000005</v>
          </cell>
          <cell r="I26">
            <v>3306.6</v>
          </cell>
        </row>
        <row r="27">
          <cell r="E27" t="str">
            <v>GGN/23-24/05</v>
          </cell>
          <cell r="F27" t="str">
            <v>being brokerage booked on insurance policies placed in Mar-23.</v>
          </cell>
          <cell r="G27">
            <v>16941.41</v>
          </cell>
          <cell r="H27">
            <v>2584.2800000000002</v>
          </cell>
          <cell r="I27">
            <v>14357.13</v>
          </cell>
        </row>
        <row r="28">
          <cell r="E28" t="str">
            <v>GGN/23-24/06</v>
          </cell>
          <cell r="F28" t="str">
            <v>being brokerage booked on insurance policies placed in Mar-23.</v>
          </cell>
          <cell r="G28">
            <v>28467.5</v>
          </cell>
          <cell r="H28">
            <v>4342.5</v>
          </cell>
          <cell r="I28">
            <v>24125</v>
          </cell>
        </row>
        <row r="29">
          <cell r="E29" t="str">
            <v>GGN/23-24/07</v>
          </cell>
          <cell r="F29" t="str">
            <v>being brokerage booked on insurance policies placed in Mar-23.</v>
          </cell>
          <cell r="G29">
            <v>24004.66</v>
          </cell>
          <cell r="H29">
            <v>3661.73</v>
          </cell>
          <cell r="I29">
            <v>20342.93</v>
          </cell>
        </row>
        <row r="30">
          <cell r="E30" t="str">
            <v>GGN/23-24/08</v>
          </cell>
          <cell r="F30" t="str">
            <v>being brokerage booked on insurance policies placed in Mar-23.</v>
          </cell>
          <cell r="G30">
            <v>140297.82</v>
          </cell>
          <cell r="H30">
            <v>21401.360000000001</v>
          </cell>
          <cell r="I30">
            <v>118896.46</v>
          </cell>
        </row>
        <row r="31">
          <cell r="E31" t="str">
            <v>GGN/23-24/09</v>
          </cell>
          <cell r="F31" t="str">
            <v>being brokerage booked on insurance policies placed in Mar-23.</v>
          </cell>
          <cell r="G31">
            <v>22903.360000000001</v>
          </cell>
          <cell r="H31">
            <v>3493.73</v>
          </cell>
          <cell r="I31">
            <v>19409.63</v>
          </cell>
        </row>
        <row r="32">
          <cell r="E32" t="str">
            <v>GGN/23-24/10</v>
          </cell>
          <cell r="F32" t="str">
            <v>being brokerage booked on insurance policies placed in Mar-23.</v>
          </cell>
          <cell r="G32">
            <v>4836.6099999999997</v>
          </cell>
          <cell r="H32">
            <v>737.79</v>
          </cell>
          <cell r="I32">
            <v>4098.82</v>
          </cell>
        </row>
        <row r="33">
          <cell r="E33" t="str">
            <v>GGN/23-24/11</v>
          </cell>
          <cell r="F33" t="str">
            <v>being brokerage booked on insurance policies placed in Mar-23.</v>
          </cell>
          <cell r="G33">
            <v>57726.32</v>
          </cell>
          <cell r="H33">
            <v>8805.7099999999991</v>
          </cell>
          <cell r="I33">
            <v>48920.61</v>
          </cell>
        </row>
        <row r="34">
          <cell r="E34" t="str">
            <v>GGN/23-24/12</v>
          </cell>
          <cell r="F34" t="str">
            <v>being brokerage booked on insurance policies placed in Mar-23.</v>
          </cell>
          <cell r="G34">
            <v>116588.54</v>
          </cell>
          <cell r="H34">
            <v>17784.689999999999</v>
          </cell>
          <cell r="I34">
            <v>98803.85</v>
          </cell>
        </row>
        <row r="35">
          <cell r="E35" t="str">
            <v>HYD/23-24/02</v>
          </cell>
          <cell r="F35" t="str">
            <v>being brokerage booked on insurance policies placed in Mar-23.</v>
          </cell>
          <cell r="G35">
            <v>486860.48</v>
          </cell>
          <cell r="H35">
            <v>74266.86</v>
          </cell>
          <cell r="I35">
            <v>412593.62</v>
          </cell>
        </row>
        <row r="36">
          <cell r="E36" t="str">
            <v>LUD/23-24/01</v>
          </cell>
          <cell r="F36" t="str">
            <v>being brokerage booked on insurance policies placed in Mar-23.</v>
          </cell>
          <cell r="G36">
            <v>28003.91</v>
          </cell>
          <cell r="H36">
            <v>4271.78</v>
          </cell>
          <cell r="I36">
            <v>23732.13</v>
          </cell>
        </row>
        <row r="37">
          <cell r="E37" t="str">
            <v>MUM/23-24/05</v>
          </cell>
          <cell r="F37" t="str">
            <v>being reward booked on insurance policies placed in month Feb-23.</v>
          </cell>
          <cell r="G37">
            <v>403996.12</v>
          </cell>
          <cell r="H37">
            <v>61626.52</v>
          </cell>
          <cell r="I37">
            <v>342369.6</v>
          </cell>
        </row>
        <row r="38">
          <cell r="E38" t="str">
            <v>MUM/23-24/06</v>
          </cell>
          <cell r="F38" t="str">
            <v>being brokerage booked on insurance policies placed in month of Mar-23.</v>
          </cell>
          <cell r="G38">
            <v>4896.3</v>
          </cell>
          <cell r="H38">
            <v>746.9</v>
          </cell>
          <cell r="I38">
            <v>4149.3999999999996</v>
          </cell>
        </row>
        <row r="39">
          <cell r="E39" t="str">
            <v>MUM/23-24/07</v>
          </cell>
          <cell r="F39" t="str">
            <v>being brokerage booked on insurance policies placed in month of Mar-23.</v>
          </cell>
          <cell r="G39">
            <v>152109.38</v>
          </cell>
          <cell r="H39">
            <v>23203.13</v>
          </cell>
          <cell r="I39">
            <v>128906.25</v>
          </cell>
        </row>
        <row r="40">
          <cell r="E40" t="str">
            <v>MUM/23-24/08</v>
          </cell>
          <cell r="F40" t="str">
            <v>being brokerage booked on insurance policies placed in month of Mar-23.</v>
          </cell>
          <cell r="G40">
            <v>21234.23</v>
          </cell>
          <cell r="H40">
            <v>3239.12</v>
          </cell>
          <cell r="I40">
            <v>17995.11</v>
          </cell>
        </row>
        <row r="41">
          <cell r="E41" t="str">
            <v>MUM/23-24/09</v>
          </cell>
          <cell r="F41" t="str">
            <v>being brokerage booked on insurance policies placed in Mar-23.</v>
          </cell>
          <cell r="G41">
            <v>1537289.92</v>
          </cell>
          <cell r="H41">
            <v>234501.86</v>
          </cell>
          <cell r="I41">
            <v>1302788.06</v>
          </cell>
        </row>
        <row r="42">
          <cell r="E42" t="str">
            <v>MUM/23-24/10</v>
          </cell>
          <cell r="F42" t="str">
            <v>being brokerage booked on insurance policies placed in Mar-23.</v>
          </cell>
          <cell r="G42">
            <v>2513754.61</v>
          </cell>
          <cell r="H42">
            <v>383454.1</v>
          </cell>
          <cell r="I42">
            <v>2130300.5099999998</v>
          </cell>
        </row>
        <row r="43">
          <cell r="E43" t="str">
            <v>MUM/23-24/11</v>
          </cell>
          <cell r="F43" t="str">
            <v>being brokerage booked on insurance policies placed in Mar-23.</v>
          </cell>
          <cell r="G43">
            <v>536794.55000000005</v>
          </cell>
          <cell r="H43">
            <v>81883.92</v>
          </cell>
          <cell r="I43">
            <v>454910.63</v>
          </cell>
        </row>
        <row r="44">
          <cell r="E44" t="str">
            <v>MUM/23-24/12</v>
          </cell>
          <cell r="F44" t="str">
            <v>being brokerage booked on insurance policies placed in Mar-23.</v>
          </cell>
          <cell r="G44">
            <v>4876.47</v>
          </cell>
          <cell r="H44">
            <v>743.86</v>
          </cell>
          <cell r="I44">
            <v>4132.6099999999997</v>
          </cell>
        </row>
        <row r="45">
          <cell r="E45" t="str">
            <v>MUM/23-24/13</v>
          </cell>
          <cell r="F45" t="str">
            <v>being brokerage booked on insurance policies placed in Mar-23.</v>
          </cell>
          <cell r="G45">
            <v>674590.79</v>
          </cell>
          <cell r="H45">
            <v>102903.67999999999</v>
          </cell>
          <cell r="I45">
            <v>571687.11</v>
          </cell>
        </row>
        <row r="46">
          <cell r="E46" t="str">
            <v>MUM/23-24/14</v>
          </cell>
          <cell r="F46" t="str">
            <v>being brokerage booked on insurance policies placed in Mar-23.</v>
          </cell>
          <cell r="G46">
            <v>10134.34</v>
          </cell>
          <cell r="H46">
            <v>1545.92</v>
          </cell>
          <cell r="I46">
            <v>8588.42</v>
          </cell>
        </row>
        <row r="47">
          <cell r="E47" t="str">
            <v>MUM/23-24/15</v>
          </cell>
          <cell r="F47" t="str">
            <v>being brokerage booked on insurance policies placed in Mar-23.</v>
          </cell>
          <cell r="G47">
            <v>130193.95</v>
          </cell>
          <cell r="H47">
            <v>19860.099999999999</v>
          </cell>
          <cell r="I47">
            <v>110333.85</v>
          </cell>
        </row>
        <row r="48">
          <cell r="E48" t="str">
            <v>MUM/23-24/16</v>
          </cell>
          <cell r="F48" t="str">
            <v>being brokerage booked on insurance policies placed in Mar-23.</v>
          </cell>
          <cell r="G48">
            <v>3621.42</v>
          </cell>
          <cell r="H48">
            <v>552.41999999999996</v>
          </cell>
          <cell r="I48">
            <v>3069</v>
          </cell>
        </row>
        <row r="49">
          <cell r="E49" t="str">
            <v>MUM/23-24/17</v>
          </cell>
          <cell r="F49" t="str">
            <v>being brokerage booked on insurance policies placed in Mar-23.</v>
          </cell>
          <cell r="G49">
            <v>36032.199999999997</v>
          </cell>
          <cell r="H49">
            <v>5496.44</v>
          </cell>
          <cell r="I49">
            <v>30535.759999999998</v>
          </cell>
        </row>
        <row r="50">
          <cell r="E50" t="str">
            <v>PUN/23-24/01</v>
          </cell>
          <cell r="F50" t="str">
            <v>being brokerage booked on insurance policies placed in Mar-23.</v>
          </cell>
          <cell r="G50">
            <v>478864.45</v>
          </cell>
          <cell r="H50">
            <v>73047.12</v>
          </cell>
          <cell r="I50">
            <v>405817.33</v>
          </cell>
        </row>
        <row r="51">
          <cell r="E51" t="str">
            <v>PUN/23-24/02</v>
          </cell>
          <cell r="F51" t="str">
            <v>being brokerage booked on insurance policies placed in Mar-23.</v>
          </cell>
          <cell r="G51">
            <v>254.45</v>
          </cell>
          <cell r="H51">
            <v>38.82</v>
          </cell>
          <cell r="I51">
            <v>215.63</v>
          </cell>
        </row>
        <row r="52">
          <cell r="E52" t="str">
            <v>BLR/23-24/10</v>
          </cell>
          <cell r="F52" t="str">
            <v>being brokerage booked on insurance policies placed in Mar-23.</v>
          </cell>
          <cell r="G52">
            <v>10036.43</v>
          </cell>
          <cell r="H52">
            <v>1530.98</v>
          </cell>
          <cell r="I52">
            <v>8505.4500000000007</v>
          </cell>
        </row>
        <row r="53">
          <cell r="E53" t="str">
            <v>BLR/23-24/11</v>
          </cell>
          <cell r="F53" t="str">
            <v>being brokerage booked on insurance policies placed in Mar-23.</v>
          </cell>
          <cell r="G53">
            <v>56634.41</v>
          </cell>
          <cell r="H53">
            <v>8639.14</v>
          </cell>
          <cell r="I53">
            <v>47995.27</v>
          </cell>
        </row>
        <row r="54">
          <cell r="E54" t="str">
            <v>BLR/23-24/12</v>
          </cell>
          <cell r="F54" t="str">
            <v>being brokerage booked on insurance policies placed in Mar-23.</v>
          </cell>
          <cell r="G54">
            <v>177653.1</v>
          </cell>
          <cell r="H54">
            <v>27099.62</v>
          </cell>
          <cell r="I54">
            <v>150553.48000000001</v>
          </cell>
        </row>
        <row r="55">
          <cell r="E55" t="str">
            <v>BLR/23-24/13</v>
          </cell>
          <cell r="F55" t="str">
            <v>being brokerage booked on insurance policies placed in Mar-23.</v>
          </cell>
          <cell r="G55">
            <v>439479.96</v>
          </cell>
          <cell r="H55">
            <v>67039.320000000007</v>
          </cell>
          <cell r="I55">
            <v>372440.64</v>
          </cell>
        </row>
        <row r="56">
          <cell r="E56" t="str">
            <v>CHN/23-24/08</v>
          </cell>
          <cell r="F56" t="str">
            <v>being brokerage booked on insurance policies placed in Mar-23.</v>
          </cell>
          <cell r="G56">
            <v>26954.62</v>
          </cell>
          <cell r="H56">
            <v>4111.72</v>
          </cell>
          <cell r="I56">
            <v>22842.9</v>
          </cell>
        </row>
        <row r="57">
          <cell r="E57" t="str">
            <v>CHN/23-24/09</v>
          </cell>
          <cell r="F57" t="str">
            <v>being brokerage booked on insurance policies placed in Mar-23.</v>
          </cell>
          <cell r="G57">
            <v>4878.5600000000004</v>
          </cell>
          <cell r="H57">
            <v>744.18</v>
          </cell>
          <cell r="I57">
            <v>4134.38</v>
          </cell>
        </row>
        <row r="58">
          <cell r="E58" t="str">
            <v>GGN/23-24/13</v>
          </cell>
          <cell r="F58" t="str">
            <v>being brokerage booked on insurance policies placed in Q4 22-23.</v>
          </cell>
          <cell r="G58">
            <v>50687.18</v>
          </cell>
          <cell r="H58">
            <v>7731.94</v>
          </cell>
          <cell r="I58">
            <v>42955.24</v>
          </cell>
        </row>
        <row r="59">
          <cell r="E59" t="str">
            <v>GGN/23-24/14</v>
          </cell>
          <cell r="F59" t="str">
            <v>being brokerage booked on insurance policies placed in Mar-23.</v>
          </cell>
          <cell r="G59">
            <v>14395.88</v>
          </cell>
          <cell r="H59">
            <v>2195.98</v>
          </cell>
          <cell r="I59">
            <v>12199.9</v>
          </cell>
        </row>
        <row r="60">
          <cell r="E60" t="str">
            <v>GGN/23-24/15</v>
          </cell>
          <cell r="F60" t="str">
            <v>being brokerage booked on insurance policies placed in Mar-23.</v>
          </cell>
          <cell r="G60">
            <v>237664.84</v>
          </cell>
          <cell r="H60">
            <v>36253.96</v>
          </cell>
          <cell r="I60">
            <v>201410.88</v>
          </cell>
        </row>
        <row r="61">
          <cell r="E61" t="str">
            <v>GGN/23-24/16</v>
          </cell>
          <cell r="F61" t="str">
            <v>being brokerage booked on insurance policies placed in Mar-23.</v>
          </cell>
          <cell r="G61">
            <v>28793.69</v>
          </cell>
          <cell r="H61">
            <v>4392.26</v>
          </cell>
          <cell r="I61">
            <v>24401.43</v>
          </cell>
        </row>
        <row r="62">
          <cell r="E62" t="str">
            <v>GGN/23-24/17</v>
          </cell>
          <cell r="F62" t="str">
            <v>being brokerage booked on insurance policies placed in Mar-23.</v>
          </cell>
          <cell r="G62">
            <v>30005.45</v>
          </cell>
          <cell r="H62">
            <v>4577.1000000000004</v>
          </cell>
          <cell r="I62">
            <v>25428.35</v>
          </cell>
        </row>
        <row r="63">
          <cell r="E63" t="str">
            <v>GGN/23-24/18</v>
          </cell>
          <cell r="F63" t="str">
            <v>being brokerage booked on insurance policies placed in Mar-23.</v>
          </cell>
          <cell r="G63">
            <v>110355.6</v>
          </cell>
          <cell r="H63">
            <v>16833.900000000001</v>
          </cell>
          <cell r="I63">
            <v>93521.7</v>
          </cell>
        </row>
        <row r="64">
          <cell r="E64" t="str">
            <v>GGN/23-24/19</v>
          </cell>
          <cell r="F64" t="str">
            <v>being brokerage booked on insurance policies placed in Mar-23.</v>
          </cell>
          <cell r="G64">
            <v>100849.64</v>
          </cell>
          <cell r="H64">
            <v>15383.84</v>
          </cell>
          <cell r="I64">
            <v>85465.8</v>
          </cell>
        </row>
        <row r="65">
          <cell r="E65" t="str">
            <v>LUD/23-24/02</v>
          </cell>
          <cell r="F65" t="str">
            <v>being brokerage booked on insurance policies placed in Mar-23.</v>
          </cell>
          <cell r="G65">
            <v>969.43</v>
          </cell>
          <cell r="H65">
            <v>147.88</v>
          </cell>
          <cell r="I65">
            <v>821.55</v>
          </cell>
        </row>
        <row r="66">
          <cell r="E66" t="str">
            <v>MUM/23-24/18</v>
          </cell>
          <cell r="F66" t="str">
            <v>being brokerage booked on insurance policies placed in Mar-23.</v>
          </cell>
          <cell r="G66">
            <v>25351.16</v>
          </cell>
          <cell r="H66">
            <v>3867.13</v>
          </cell>
          <cell r="I66">
            <v>21484.03</v>
          </cell>
        </row>
        <row r="67">
          <cell r="E67" t="str">
            <v>MUM/23-24/19</v>
          </cell>
          <cell r="F67" t="str">
            <v>being brokerage booked on insurance policies placed in Mar-23.</v>
          </cell>
          <cell r="G67">
            <v>194.71</v>
          </cell>
          <cell r="H67">
            <v>29.7</v>
          </cell>
          <cell r="I67">
            <v>165.01</v>
          </cell>
        </row>
        <row r="68">
          <cell r="E68" t="str">
            <v>MUM/23-24/20</v>
          </cell>
          <cell r="F68" t="str">
            <v>being brokerage booked on insurance policies placed in Mar-23.</v>
          </cell>
          <cell r="G68">
            <v>2002588.66</v>
          </cell>
          <cell r="H68">
            <v>305479.63</v>
          </cell>
          <cell r="I68">
            <v>1697109.03</v>
          </cell>
        </row>
        <row r="69">
          <cell r="E69" t="str">
            <v>MUM/23-24/21</v>
          </cell>
          <cell r="F69" t="str">
            <v>being brokerage booked on insurance policies placed in Mar-23.</v>
          </cell>
          <cell r="G69">
            <v>43749.97</v>
          </cell>
          <cell r="H69">
            <v>6673.72</v>
          </cell>
          <cell r="I69">
            <v>37076.25</v>
          </cell>
        </row>
        <row r="70">
          <cell r="E70" t="str">
            <v>MUM/23-24/22</v>
          </cell>
          <cell r="F70" t="str">
            <v>being brokerage booked on insurance policies placed in Mar-23.</v>
          </cell>
          <cell r="G70">
            <v>1814179.2</v>
          </cell>
          <cell r="H70">
            <v>276739.20000000001</v>
          </cell>
          <cell r="I70">
            <v>1537440</v>
          </cell>
        </row>
        <row r="71">
          <cell r="E71" t="str">
            <v>MUM/23-24/23</v>
          </cell>
          <cell r="F71" t="str">
            <v>being brokerage booked on insurance policies placed in Mar-23.</v>
          </cell>
          <cell r="G71">
            <v>14900.53</v>
          </cell>
          <cell r="H71">
            <v>2272.96</v>
          </cell>
          <cell r="I71">
            <v>12627.57</v>
          </cell>
        </row>
        <row r="72">
          <cell r="E72" t="str">
            <v>MUM/23-24/24</v>
          </cell>
          <cell r="F72" t="str">
            <v>being brokerage booked on insurance policies placed in Mar-23.</v>
          </cell>
          <cell r="G72">
            <v>597.09</v>
          </cell>
          <cell r="H72">
            <v>91.08</v>
          </cell>
          <cell r="I72">
            <v>506.01</v>
          </cell>
        </row>
        <row r="73">
          <cell r="E73" t="str">
            <v>MUM/23-24/25</v>
          </cell>
          <cell r="F73" t="str">
            <v>being brokerage booked on insurance policies placed in Mar-23.</v>
          </cell>
          <cell r="G73">
            <v>191689.5</v>
          </cell>
          <cell r="H73">
            <v>29240.77</v>
          </cell>
          <cell r="I73">
            <v>162448.73000000001</v>
          </cell>
        </row>
        <row r="74">
          <cell r="E74" t="str">
            <v>MUM/23-24/26</v>
          </cell>
          <cell r="F74" t="str">
            <v>being reward booked on insurance policies placed in month Feb-23 &amp; Mar-23.</v>
          </cell>
          <cell r="G74">
            <v>714018.5</v>
          </cell>
          <cell r="H74">
            <v>108918.08</v>
          </cell>
          <cell r="I74">
            <v>605100.42000000004</v>
          </cell>
        </row>
        <row r="75">
          <cell r="E75" t="str">
            <v>MUM/23-24/27</v>
          </cell>
          <cell r="F75" t="str">
            <v>being reward booked on insurance policies placed in Mar-23.</v>
          </cell>
          <cell r="G75">
            <v>10065071.49</v>
          </cell>
          <cell r="H75">
            <v>1535349.88</v>
          </cell>
          <cell r="I75">
            <v>8529721.6099999994</v>
          </cell>
        </row>
        <row r="76">
          <cell r="E76" t="str">
            <v>MUM/23-24/28</v>
          </cell>
          <cell r="F76" t="str">
            <v>being brokerage booked on insurance policies placed in Mar-23.</v>
          </cell>
          <cell r="G76">
            <v>3779.66</v>
          </cell>
          <cell r="H76">
            <v>576.55999999999995</v>
          </cell>
          <cell r="I76">
            <v>3203.1</v>
          </cell>
        </row>
        <row r="77">
          <cell r="E77" t="str">
            <v>MUM/23-24/29</v>
          </cell>
          <cell r="F77" t="str">
            <v>being brokerage booked on insurance policies placed in Mar-23.</v>
          </cell>
          <cell r="G77">
            <v>218443.48</v>
          </cell>
          <cell r="H77">
            <v>33321.879999999997</v>
          </cell>
          <cell r="I77">
            <v>185121.6</v>
          </cell>
        </row>
        <row r="78">
          <cell r="E78" t="str">
            <v>MUM/23-24/30</v>
          </cell>
          <cell r="F78" t="str">
            <v>being brokerage booked on insurance policies placed in Q4 22-23.</v>
          </cell>
          <cell r="G78">
            <v>1026221.86</v>
          </cell>
          <cell r="H78">
            <v>156542.32</v>
          </cell>
          <cell r="I78">
            <v>869679.54</v>
          </cell>
        </row>
        <row r="79">
          <cell r="E79" t="str">
            <v>PUN/23-24/03</v>
          </cell>
          <cell r="F79" t="str">
            <v>being brokerage booked on insurance policies placed in Mar-23.</v>
          </cell>
          <cell r="G79">
            <v>4352.78</v>
          </cell>
          <cell r="H79">
            <v>663.98</v>
          </cell>
          <cell r="I79">
            <v>3688.8</v>
          </cell>
        </row>
        <row r="80">
          <cell r="E80" t="str">
            <v>PUN/23-24/04</v>
          </cell>
          <cell r="F80" t="str">
            <v>being brokerage booked on insurance policies placed in Mar-23.</v>
          </cell>
          <cell r="G80">
            <v>9451.26</v>
          </cell>
          <cell r="H80">
            <v>1441.72</v>
          </cell>
          <cell r="I80">
            <v>8009.54</v>
          </cell>
        </row>
        <row r="81">
          <cell r="E81" t="str">
            <v>PUN/23-24/05</v>
          </cell>
          <cell r="F81" t="str">
            <v>being brokerage booked on insurance policies placed in Mar-23.</v>
          </cell>
          <cell r="G81">
            <v>6344.51</v>
          </cell>
          <cell r="H81">
            <v>967.8</v>
          </cell>
          <cell r="I81">
            <v>5376.71</v>
          </cell>
        </row>
        <row r="82">
          <cell r="E82" t="str">
            <v>BLR/23-24/14</v>
          </cell>
          <cell r="F82" t="str">
            <v>being brokerage booked on insurance policies placed in  Mar-23.</v>
          </cell>
          <cell r="G82">
            <v>12810.37</v>
          </cell>
          <cell r="H82">
            <v>1954.12</v>
          </cell>
          <cell r="I82">
            <v>10856.25</v>
          </cell>
        </row>
        <row r="83">
          <cell r="E83" t="str">
            <v>BLR/23-24/15</v>
          </cell>
          <cell r="F83" t="str">
            <v>being brokerage booked on insurance policies placed in  Mar-23.</v>
          </cell>
          <cell r="G83">
            <v>1814543.82</v>
          </cell>
          <cell r="H83">
            <v>276794.82</v>
          </cell>
          <cell r="I83">
            <v>1537749</v>
          </cell>
        </row>
        <row r="84">
          <cell r="E84" t="str">
            <v>BLR/23-24/16</v>
          </cell>
          <cell r="F84" t="str">
            <v>being brokerage booked on insurance policies placed in  Mar-23.</v>
          </cell>
          <cell r="G84">
            <v>929612.75</v>
          </cell>
          <cell r="H84">
            <v>141805.34</v>
          </cell>
          <cell r="I84">
            <v>787807.41</v>
          </cell>
        </row>
        <row r="85">
          <cell r="E85" t="str">
            <v>BLR/23-24/17</v>
          </cell>
          <cell r="F85" t="str">
            <v>being brokerage booked on insurance policies placed in  Mar-23.</v>
          </cell>
          <cell r="G85">
            <v>468.46</v>
          </cell>
          <cell r="H85">
            <v>71.459999999999994</v>
          </cell>
          <cell r="I85">
            <v>397</v>
          </cell>
        </row>
        <row r="86">
          <cell r="E86" t="str">
            <v>CHN/23-24/10</v>
          </cell>
        </row>
        <row r="87">
          <cell r="E87" t="str">
            <v>CHN/23-24/11</v>
          </cell>
        </row>
        <row r="88">
          <cell r="E88" t="str">
            <v>CHN/23-24/12</v>
          </cell>
          <cell r="F88" t="str">
            <v>being brokerage booked on insurance policies placed in  Mar-23.</v>
          </cell>
          <cell r="G88">
            <v>1235.46</v>
          </cell>
          <cell r="H88">
            <v>188.46</v>
          </cell>
          <cell r="I88">
            <v>1047</v>
          </cell>
        </row>
        <row r="89">
          <cell r="E89" t="str">
            <v>CHN/23-24/13</v>
          </cell>
          <cell r="F89" t="str">
            <v>being brokerage booked on insurance policies placed in  Mar-23.</v>
          </cell>
          <cell r="G89">
            <v>1122.19</v>
          </cell>
          <cell r="H89">
            <v>171.18</v>
          </cell>
          <cell r="I89">
            <v>951.01</v>
          </cell>
        </row>
        <row r="90">
          <cell r="E90" t="str">
            <v>CHN/23-24/14</v>
          </cell>
          <cell r="F90" t="str">
            <v>being brokerage booked on insurance policies placed in  Mar-23.</v>
          </cell>
          <cell r="G90">
            <v>2365.9</v>
          </cell>
          <cell r="H90">
            <v>360.9</v>
          </cell>
          <cell r="I90">
            <v>2005</v>
          </cell>
        </row>
        <row r="91">
          <cell r="E91" t="str">
            <v>CHN/23-24/15</v>
          </cell>
          <cell r="F91" t="str">
            <v>being brokerage booked on insurance policies placed in  Mar-23.</v>
          </cell>
          <cell r="G91">
            <v>3456.22</v>
          </cell>
          <cell r="H91">
            <v>527.22</v>
          </cell>
          <cell r="I91">
            <v>2929</v>
          </cell>
        </row>
        <row r="92">
          <cell r="E92" t="str">
            <v>CHN/23-24/16</v>
          </cell>
          <cell r="F92" t="str">
            <v>being brokerage booked on insurance policies placed in  Mar-23.</v>
          </cell>
          <cell r="G92">
            <v>5173.12</v>
          </cell>
          <cell r="H92">
            <v>789.12</v>
          </cell>
          <cell r="I92">
            <v>4384</v>
          </cell>
        </row>
        <row r="93">
          <cell r="E93" t="str">
            <v>CHN/23-24/17</v>
          </cell>
          <cell r="F93" t="str">
            <v>being brokerage booked on insurance policies placed in  Mar-23.</v>
          </cell>
          <cell r="G93">
            <v>104.99</v>
          </cell>
          <cell r="H93">
            <v>16.02</v>
          </cell>
          <cell r="I93">
            <v>88.97</v>
          </cell>
        </row>
        <row r="94">
          <cell r="E94" t="str">
            <v>CHN/23-24/18</v>
          </cell>
          <cell r="F94" t="str">
            <v>being brokerage booked on insurance policies placed in  Mar-23.</v>
          </cell>
          <cell r="G94">
            <v>2864.83</v>
          </cell>
          <cell r="H94">
            <v>437</v>
          </cell>
          <cell r="I94">
            <v>2427.83</v>
          </cell>
        </row>
        <row r="95">
          <cell r="E95" t="str">
            <v>CHN/23-24/19</v>
          </cell>
          <cell r="F95" t="str">
            <v>being brokerage booked on insurance policies placed in  Mar-23.</v>
          </cell>
          <cell r="G95">
            <v>2983.6</v>
          </cell>
          <cell r="H95">
            <v>455.12</v>
          </cell>
          <cell r="I95">
            <v>2528.48</v>
          </cell>
        </row>
        <row r="96">
          <cell r="E96" t="str">
            <v>GGN/23-24/20</v>
          </cell>
          <cell r="F96" t="str">
            <v>being brokerage booked on insurance policies placed in  Mar-23.</v>
          </cell>
          <cell r="G96">
            <v>264640.96000000002</v>
          </cell>
          <cell r="H96">
            <v>40368.959999999999</v>
          </cell>
          <cell r="I96">
            <v>224272</v>
          </cell>
        </row>
        <row r="97">
          <cell r="E97" t="str">
            <v>GGN/23-24/21</v>
          </cell>
          <cell r="F97" t="str">
            <v>being brokerage booked on insurance policies placed in  Mar-23.</v>
          </cell>
          <cell r="G97">
            <v>105081.36</v>
          </cell>
          <cell r="H97">
            <v>16029.36</v>
          </cell>
          <cell r="I97">
            <v>89052</v>
          </cell>
        </row>
        <row r="98">
          <cell r="E98" t="str">
            <v>GGN/23-24/22</v>
          </cell>
          <cell r="F98" t="str">
            <v>being brokerage booked on insurance policies placed in  Mar-23.</v>
          </cell>
          <cell r="G98">
            <v>1857.82</v>
          </cell>
          <cell r="H98">
            <v>283.39999999999998</v>
          </cell>
          <cell r="I98">
            <v>1574.42</v>
          </cell>
        </row>
        <row r="99">
          <cell r="E99" t="str">
            <v>GGN/23-24/23</v>
          </cell>
          <cell r="F99" t="str">
            <v>being brokerage booked on insurance policies placed in  Mar-23.</v>
          </cell>
          <cell r="G99">
            <v>78158.48</v>
          </cell>
          <cell r="H99">
            <v>11922.48</v>
          </cell>
          <cell r="I99">
            <v>66236</v>
          </cell>
        </row>
        <row r="100">
          <cell r="E100" t="str">
            <v>GGN/23-24/24</v>
          </cell>
          <cell r="F100" t="str">
            <v>being brokerage booked on insurance policies placed in  Mar-23.</v>
          </cell>
          <cell r="G100">
            <v>3903.44</v>
          </cell>
          <cell r="H100">
            <v>595.44000000000005</v>
          </cell>
          <cell r="I100">
            <v>3308</v>
          </cell>
        </row>
        <row r="101">
          <cell r="E101" t="str">
            <v>GGN/23-24/25</v>
          </cell>
          <cell r="F101" t="str">
            <v>being brokerage booked on insurance policies placed in  Mar-23.</v>
          </cell>
          <cell r="G101">
            <v>76489.960000000006</v>
          </cell>
          <cell r="H101">
            <v>11667.96</v>
          </cell>
          <cell r="I101">
            <v>64822</v>
          </cell>
        </row>
        <row r="102">
          <cell r="E102" t="str">
            <v>GGN/23-24/26</v>
          </cell>
          <cell r="F102" t="str">
            <v>being brokerage booked on insurance policies placed in  Mar-23.</v>
          </cell>
          <cell r="G102">
            <v>1694473.76</v>
          </cell>
          <cell r="H102">
            <v>258479.05</v>
          </cell>
          <cell r="I102">
            <v>1435994.71</v>
          </cell>
        </row>
        <row r="103">
          <cell r="E103" t="str">
            <v>GGN/23-24/27</v>
          </cell>
          <cell r="F103" t="str">
            <v>being brokerage booked on insurance policies placed in Mar-23.</v>
          </cell>
          <cell r="G103">
            <v>4758200.42</v>
          </cell>
          <cell r="H103">
            <v>725827.18</v>
          </cell>
          <cell r="I103">
            <v>4032373.24</v>
          </cell>
        </row>
        <row r="104">
          <cell r="E104" t="str">
            <v>GGN/23-24/28</v>
          </cell>
          <cell r="F104" t="str">
            <v>being brokerage booked on insurance policies placed in month of Mar-23</v>
          </cell>
          <cell r="G104">
            <v>454492.34</v>
          </cell>
          <cell r="H104">
            <v>69329.34</v>
          </cell>
          <cell r="I104">
            <v>385163</v>
          </cell>
        </row>
        <row r="105">
          <cell r="E105" t="str">
            <v>HYD/23-24/03</v>
          </cell>
          <cell r="F105" t="str">
            <v>being brokerage booked on insurance policies placed in  Mar-23.</v>
          </cell>
          <cell r="G105">
            <v>311797.98</v>
          </cell>
          <cell r="H105">
            <v>47562.400000000001</v>
          </cell>
          <cell r="I105">
            <v>264235.58</v>
          </cell>
        </row>
        <row r="106">
          <cell r="E106" t="str">
            <v>LUD/23-24/03</v>
          </cell>
          <cell r="F106" t="str">
            <v>being brokerage booked on insurance policies placed in  Mar-23.</v>
          </cell>
          <cell r="G106">
            <v>242316.83</v>
          </cell>
          <cell r="H106">
            <v>36963.58</v>
          </cell>
          <cell r="I106">
            <v>205353.25</v>
          </cell>
        </row>
        <row r="107">
          <cell r="E107" t="str">
            <v>MUM/23-24/31</v>
          </cell>
          <cell r="F107" t="str">
            <v>being brokerage booked on insurance policies placed in  Mar-23.</v>
          </cell>
          <cell r="G107">
            <v>11296.14</v>
          </cell>
          <cell r="H107">
            <v>1723.14</v>
          </cell>
          <cell r="I107">
            <v>9573</v>
          </cell>
        </row>
        <row r="108">
          <cell r="E108" t="str">
            <v>MUM/23-24/32</v>
          </cell>
          <cell r="F108" t="str">
            <v>being brokerage booked on insurance policies placed in  Mar-23.</v>
          </cell>
          <cell r="G108">
            <v>32260.02</v>
          </cell>
          <cell r="H108">
            <v>4921.0200000000004</v>
          </cell>
          <cell r="I108">
            <v>27339</v>
          </cell>
        </row>
        <row r="109">
          <cell r="E109" t="str">
            <v>MUM/23-24/33</v>
          </cell>
          <cell r="F109" t="str">
            <v>being brokerage booked on insurance policies placed in  Mar-23.</v>
          </cell>
          <cell r="G109">
            <v>7820.3</v>
          </cell>
          <cell r="H109">
            <v>1192.92</v>
          </cell>
          <cell r="I109">
            <v>6627.38</v>
          </cell>
        </row>
        <row r="110">
          <cell r="E110" t="str">
            <v>MUM/23-24/34</v>
          </cell>
          <cell r="F110" t="str">
            <v>being brokerage booked on insurance policies placed in  Mar-23.</v>
          </cell>
          <cell r="G110">
            <v>7471.76</v>
          </cell>
          <cell r="H110">
            <v>1139.76</v>
          </cell>
          <cell r="I110">
            <v>6332</v>
          </cell>
        </row>
        <row r="111">
          <cell r="E111" t="str">
            <v>MUM/23-24/35</v>
          </cell>
          <cell r="F111" t="str">
            <v>being brokerage booked on insurance policies placed in  Mar-23.</v>
          </cell>
          <cell r="G111">
            <v>4033.24</v>
          </cell>
          <cell r="H111">
            <v>615.24</v>
          </cell>
          <cell r="I111">
            <v>3418</v>
          </cell>
        </row>
        <row r="112">
          <cell r="E112" t="str">
            <v>MUM/23-24/36</v>
          </cell>
          <cell r="F112" t="str">
            <v>being brokerage booked on insurance policies placed in  Mar-23.</v>
          </cell>
          <cell r="G112">
            <v>560.5</v>
          </cell>
          <cell r="H112">
            <v>85.5</v>
          </cell>
          <cell r="I112">
            <v>475</v>
          </cell>
        </row>
        <row r="113">
          <cell r="E113" t="str">
            <v>MUM/23-24/37</v>
          </cell>
          <cell r="F113" t="str">
            <v>being brokerage booked on insurance policies placed in  Mar-23.</v>
          </cell>
          <cell r="G113">
            <v>22588.74</v>
          </cell>
          <cell r="H113">
            <v>3445.74</v>
          </cell>
          <cell r="I113">
            <v>19143</v>
          </cell>
        </row>
        <row r="114">
          <cell r="E114" t="str">
            <v>MUM/23-24/38</v>
          </cell>
          <cell r="F114" t="str">
            <v>being brokerage booked on insurance policies placed in  Mar-23.</v>
          </cell>
          <cell r="G114">
            <v>226695.7</v>
          </cell>
          <cell r="H114">
            <v>34580.699999999997</v>
          </cell>
          <cell r="I114">
            <v>192115</v>
          </cell>
        </row>
        <row r="115">
          <cell r="E115" t="str">
            <v>MUM/23-24/39</v>
          </cell>
          <cell r="F115" t="str">
            <v>being reward booked on insurance policies placed in Apr'22 to Jan'23.</v>
          </cell>
          <cell r="G115">
            <v>2050147.35</v>
          </cell>
          <cell r="H115">
            <v>312734.34000000003</v>
          </cell>
          <cell r="I115">
            <v>1737413.01</v>
          </cell>
        </row>
        <row r="116">
          <cell r="E116" t="str">
            <v>PUN/23-24/06</v>
          </cell>
          <cell r="F116" t="str">
            <v>being brokerage booked on insurance policies placed in  Mar-23.</v>
          </cell>
          <cell r="G116">
            <v>8272.4599999999991</v>
          </cell>
          <cell r="H116">
            <v>1261.9000000000001</v>
          </cell>
          <cell r="I116">
            <v>7010.56</v>
          </cell>
        </row>
        <row r="117">
          <cell r="E117" t="str">
            <v>PUN/23-24/07</v>
          </cell>
          <cell r="F117" t="str">
            <v>being brokerage booked on insurance policies placed in  Mar-23.</v>
          </cell>
          <cell r="G117">
            <v>805.94</v>
          </cell>
          <cell r="H117">
            <v>122.94</v>
          </cell>
          <cell r="I117">
            <v>683</v>
          </cell>
        </row>
        <row r="118">
          <cell r="E118" t="str">
            <v>PUN/23-24/08</v>
          </cell>
          <cell r="F118" t="str">
            <v>being brokerage booked on insurance policies placed in  Mar-23.</v>
          </cell>
          <cell r="G118">
            <v>40441.99</v>
          </cell>
          <cell r="H118">
            <v>6169.12</v>
          </cell>
          <cell r="I118">
            <v>34272.870000000003</v>
          </cell>
        </row>
        <row r="119">
          <cell r="E119" t="str">
            <v>BLR/23-24/18</v>
          </cell>
          <cell r="F119" t="str">
            <v>being brokerage booked on insurance policies placed in Mar-23. ( Whether the Tax is payable on reverse charge basis: NO).</v>
          </cell>
          <cell r="G119">
            <v>1871893.93</v>
          </cell>
          <cell r="H119">
            <v>285543.14</v>
          </cell>
          <cell r="I119">
            <v>1586350.79</v>
          </cell>
        </row>
        <row r="120">
          <cell r="E120" t="str">
            <v>BLR/23-24/19</v>
          </cell>
          <cell r="F120" t="str">
            <v>being brokerage booked on insurance policies placed in Mar-23. GST is not payable under reverse charge  on these services. The invoice is issued as per Section 31 of the CGST Act.</v>
          </cell>
          <cell r="G120">
            <v>3179776.68</v>
          </cell>
          <cell r="H120">
            <v>485050.68</v>
          </cell>
          <cell r="I120">
            <v>2694726</v>
          </cell>
        </row>
        <row r="121">
          <cell r="E121" t="str">
            <v>CHN/23-24/20</v>
          </cell>
          <cell r="F121" t="str">
            <v>being brokerage booked on insurance policies placed in Mar-23. GST is not payable under reverse charge  on these services. The invoice is issued as per Section 31 of the CGST Act.</v>
          </cell>
          <cell r="G121">
            <v>183402.68</v>
          </cell>
          <cell r="H121">
            <v>27976.68</v>
          </cell>
          <cell r="I121">
            <v>155426</v>
          </cell>
        </row>
        <row r="122">
          <cell r="E122" t="str">
            <v>GGN/23-24/29</v>
          </cell>
          <cell r="F122" t="str">
            <v>being brokerage booked on insurance policies placed in Mar-23. ( Whether the Tax is payable on reverse charge basis: NO).</v>
          </cell>
          <cell r="G122">
            <v>2480471.9500000002</v>
          </cell>
          <cell r="H122">
            <v>378377.08</v>
          </cell>
          <cell r="I122">
            <v>2102094.87</v>
          </cell>
        </row>
        <row r="123">
          <cell r="E123" t="str">
            <v>GGN/23-24/30</v>
          </cell>
          <cell r="F123" t="str">
            <v>being brokerage booked on insurance policies placed in Mar-23. ( Whether the Tax is payable on reverse charge basis: NO).</v>
          </cell>
          <cell r="G123">
            <v>52557.25</v>
          </cell>
          <cell r="H123">
            <v>8017.21</v>
          </cell>
          <cell r="I123">
            <v>44540.04</v>
          </cell>
        </row>
        <row r="124">
          <cell r="E124" t="str">
            <v>GGN/23-24/31</v>
          </cell>
          <cell r="F124" t="str">
            <v>being brokerage booked on insurance policies placed in Mar-23.</v>
          </cell>
          <cell r="G124">
            <v>615494.96</v>
          </cell>
          <cell r="H124">
            <v>93889.06</v>
          </cell>
          <cell r="I124">
            <v>521605.9</v>
          </cell>
        </row>
        <row r="125">
          <cell r="E125" t="str">
            <v>HYD/23-24/04</v>
          </cell>
          <cell r="F125" t="str">
            <v>being brokerage booked on insurance policies placed in Q4 22-23.</v>
          </cell>
          <cell r="G125">
            <v>6623.44</v>
          </cell>
          <cell r="H125">
            <v>1010.36</v>
          </cell>
          <cell r="I125">
            <v>5613.08</v>
          </cell>
        </row>
        <row r="126">
          <cell r="E126" t="str">
            <v>HYD/23-24/05</v>
          </cell>
          <cell r="F126" t="str">
            <v>being brokerage booked on insurance policies placed in Mar-23. ( Whether the Tax is payable on reverse charge basis: NO).</v>
          </cell>
          <cell r="G126">
            <v>5039.4399999999996</v>
          </cell>
          <cell r="H126">
            <v>768.72</v>
          </cell>
          <cell r="I126">
            <v>4270.72</v>
          </cell>
        </row>
        <row r="127">
          <cell r="E127" t="str">
            <v>HYD/23-24/06</v>
          </cell>
          <cell r="F127" t="str">
            <v>being brokerage booked on insurance policies placed in Mar-23. GST is not payable under reverse charge  on these services. The invoice is issued as per Section 31 of the CGST Act.</v>
          </cell>
          <cell r="G127">
            <v>422287.78</v>
          </cell>
          <cell r="H127">
            <v>64416.78</v>
          </cell>
          <cell r="I127">
            <v>357871</v>
          </cell>
        </row>
        <row r="128">
          <cell r="E128" t="str">
            <v>LUD/23-24/04</v>
          </cell>
          <cell r="F128" t="str">
            <v>being brokerage booked on insurance policies placed in Mar-23. GST is not payable under reverse charge  on these services. The invoice is issued as per Section 31 of the CGST Act.</v>
          </cell>
          <cell r="G128">
            <v>713.9</v>
          </cell>
          <cell r="H128">
            <v>108.9</v>
          </cell>
          <cell r="I128">
            <v>605</v>
          </cell>
        </row>
        <row r="129">
          <cell r="E129" t="str">
            <v>MUM/23-24/40</v>
          </cell>
          <cell r="F129" t="str">
            <v>being brokerage booked on insurance policies placed in Mar-23.</v>
          </cell>
          <cell r="G129">
            <v>88661.42</v>
          </cell>
          <cell r="H129">
            <v>13524.62</v>
          </cell>
          <cell r="I129">
            <v>75136.800000000003</v>
          </cell>
        </row>
        <row r="130">
          <cell r="E130" t="str">
            <v>MUM/23-24/41</v>
          </cell>
          <cell r="F130" t="str">
            <v>being brokerage booked on insurance policies placed in Mar-23. ( Whether the Tax is payable on reverse charge basis: NO).</v>
          </cell>
          <cell r="G130">
            <v>2309790.69</v>
          </cell>
          <cell r="H130">
            <v>352340.96</v>
          </cell>
          <cell r="I130">
            <v>1957449.73</v>
          </cell>
        </row>
        <row r="131">
          <cell r="E131" t="str">
            <v>MUM/23-24/42</v>
          </cell>
          <cell r="F131" t="str">
            <v>being brokerage booked on insurance policies placed in month Mar-23.</v>
          </cell>
          <cell r="G131">
            <v>1650469.26</v>
          </cell>
          <cell r="H131">
            <v>251766.5</v>
          </cell>
          <cell r="I131">
            <v>1398702.76</v>
          </cell>
        </row>
        <row r="132">
          <cell r="E132" t="str">
            <v>MUM/23-24/43</v>
          </cell>
          <cell r="F132" t="str">
            <v>being  brokerage booked on insurance policies placed in Mar-23.</v>
          </cell>
          <cell r="G132">
            <v>62856258.880000003</v>
          </cell>
          <cell r="H132">
            <v>9588242.8800000008</v>
          </cell>
          <cell r="I132">
            <v>53268016</v>
          </cell>
        </row>
        <row r="133">
          <cell r="E133" t="str">
            <v>MUM/23-24/44</v>
          </cell>
          <cell r="F133" t="str">
            <v>being brokerage booked on insurance poliices placed in Mar-23.</v>
          </cell>
          <cell r="G133">
            <v>65692.38</v>
          </cell>
          <cell r="H133">
            <v>10020.879999999999</v>
          </cell>
          <cell r="I133">
            <v>55671.5</v>
          </cell>
        </row>
        <row r="134">
          <cell r="E134" t="str">
            <v>MUM/23-24/45</v>
          </cell>
          <cell r="F134" t="str">
            <v>being brokerage booked on insurance poliices placed in Mar-23.</v>
          </cell>
          <cell r="G134">
            <v>1327.53</v>
          </cell>
          <cell r="H134">
            <v>202.5</v>
          </cell>
          <cell r="I134">
            <v>1125.03</v>
          </cell>
        </row>
        <row r="135">
          <cell r="E135" t="str">
            <v>MUM/23-24/46</v>
          </cell>
          <cell r="F135" t="str">
            <v>being reward booked on insurance poliices placed in Mar-23.</v>
          </cell>
          <cell r="G135">
            <v>19957.96</v>
          </cell>
          <cell r="H135">
            <v>3044.44</v>
          </cell>
          <cell r="I135">
            <v>16913.52</v>
          </cell>
        </row>
        <row r="136">
          <cell r="E136" t="str">
            <v>MUM/23-24/47</v>
          </cell>
          <cell r="F136" t="str">
            <v>being reward booked on insurance policies placed in Mar-23. GST is not payable under reverse charge  on these services. The invoice is issued as per Section 31 of the CGST Act.</v>
          </cell>
          <cell r="G136">
            <v>1424065.3</v>
          </cell>
          <cell r="H136">
            <v>217230.3</v>
          </cell>
          <cell r="I136">
            <v>1206835</v>
          </cell>
        </row>
        <row r="137">
          <cell r="E137" t="str">
            <v>MUM/23-24/48</v>
          </cell>
          <cell r="F137" t="str">
            <v>being brokerage booked on insurance policies placed in Mar-23.</v>
          </cell>
          <cell r="G137">
            <v>2603882.25</v>
          </cell>
          <cell r="H137">
            <v>397202.38</v>
          </cell>
          <cell r="I137">
            <v>2206679.87</v>
          </cell>
        </row>
        <row r="138">
          <cell r="E138" t="str">
            <v>MUM/23-24/49</v>
          </cell>
          <cell r="F138" t="str">
            <v>being brokerage booked on insurance policies placed in Mar-23.</v>
          </cell>
          <cell r="G138">
            <v>30581.3</v>
          </cell>
          <cell r="H138">
            <v>4664.9399999999996</v>
          </cell>
          <cell r="I138">
            <v>25916.36</v>
          </cell>
        </row>
        <row r="139">
          <cell r="E139" t="str">
            <v>MUM/23-24/50</v>
          </cell>
          <cell r="F139" t="str">
            <v>being brokerage booked on insurance policies placed in Mar-23. GST is not payable under reverse charge  on these services. The invoice is issued as per Section 31 of the CGST Act.</v>
          </cell>
          <cell r="G139">
            <v>10072.48</v>
          </cell>
          <cell r="H139">
            <v>1536.48</v>
          </cell>
          <cell r="I139">
            <v>8536</v>
          </cell>
        </row>
        <row r="140">
          <cell r="E140" t="str">
            <v>MUM/23-24/51</v>
          </cell>
          <cell r="F140" t="str">
            <v>being brokerage booked on insurance policies placed in Mar-23. GST is not payable under reverse charge  on these services. The invoice is issued as per Section 31 of the CGST Act.</v>
          </cell>
          <cell r="G140">
            <v>2565.3200000000002</v>
          </cell>
          <cell r="H140">
            <v>391.32</v>
          </cell>
          <cell r="I140">
            <v>2174</v>
          </cell>
        </row>
        <row r="141">
          <cell r="E141" t="str">
            <v>PUN/23-24/09</v>
          </cell>
          <cell r="F141" t="str">
            <v>being brokerage booked on insurance policies placed in Mar-23. GST is not payable under reverse charge  on these services. The invoice is issued as per Section 31 of the CGST Act.</v>
          </cell>
          <cell r="G141">
            <v>64765.48</v>
          </cell>
          <cell r="H141">
            <v>9879.48</v>
          </cell>
          <cell r="I141">
            <v>54886</v>
          </cell>
        </row>
        <row r="142">
          <cell r="E142" t="str">
            <v>BLR/23-24/20</v>
          </cell>
          <cell r="F142" t="str">
            <v>being brokerage booked on insurance policies placed in Mar-23.</v>
          </cell>
          <cell r="G142">
            <v>139712</v>
          </cell>
          <cell r="H142">
            <v>21312</v>
          </cell>
          <cell r="I142">
            <v>118400</v>
          </cell>
        </row>
        <row r="143">
          <cell r="E143" t="str">
            <v>GGN/23-24/32</v>
          </cell>
          <cell r="F143" t="str">
            <v>Being fees invoice raised for Broking Services for period 01-04-22 to 31-03-23. (RM Maneesh Golchha).</v>
          </cell>
          <cell r="G143">
            <v>590000</v>
          </cell>
          <cell r="H143">
            <v>90000</v>
          </cell>
          <cell r="I143">
            <v>500000</v>
          </cell>
        </row>
        <row r="144">
          <cell r="E144" t="str">
            <v>GGN/23-24/33</v>
          </cell>
          <cell r="F144" t="str">
            <v>being brokerage booked on insurance policies placed in Mar-23.</v>
          </cell>
          <cell r="G144">
            <v>376515.3</v>
          </cell>
          <cell r="H144">
            <v>57434.54</v>
          </cell>
          <cell r="I144">
            <v>319080.76</v>
          </cell>
        </row>
        <row r="145">
          <cell r="E145" t="str">
            <v>BLR/23-24/21</v>
          </cell>
          <cell r="F145" t="str">
            <v>being brokerage booked on insurance policies placed in Mar-23.</v>
          </cell>
          <cell r="G145">
            <v>227207.82</v>
          </cell>
          <cell r="H145">
            <v>34658.82</v>
          </cell>
          <cell r="I145">
            <v>192549</v>
          </cell>
        </row>
        <row r="146">
          <cell r="E146" t="str">
            <v>BLR/23-24/22</v>
          </cell>
          <cell r="F146" t="str">
            <v>being brokerage booked on insurance policies placed in Mar-23.</v>
          </cell>
          <cell r="G146">
            <v>520.38</v>
          </cell>
          <cell r="H146">
            <v>79.38</v>
          </cell>
          <cell r="I146">
            <v>441</v>
          </cell>
        </row>
        <row r="147">
          <cell r="E147" t="str">
            <v>CHN/23-24/21</v>
          </cell>
          <cell r="F147" t="str">
            <v>being brokerage booked on insurance policies placed in Mar-23.</v>
          </cell>
          <cell r="G147">
            <v>32807.54</v>
          </cell>
          <cell r="H147">
            <v>5004.54</v>
          </cell>
          <cell r="I147">
            <v>27803</v>
          </cell>
        </row>
        <row r="148">
          <cell r="E148" t="str">
            <v>GGN/23-24/34</v>
          </cell>
          <cell r="F148" t="str">
            <v>being brokerage booked on insurance policies placed in Mar-23.</v>
          </cell>
          <cell r="G148">
            <v>145367.74</v>
          </cell>
          <cell r="H148">
            <v>22174.74</v>
          </cell>
          <cell r="I148">
            <v>123193</v>
          </cell>
        </row>
        <row r="149">
          <cell r="E149" t="str">
            <v>GGN/23-24/35</v>
          </cell>
        </row>
        <row r="150">
          <cell r="E150" t="str">
            <v>HYD/23-24/07</v>
          </cell>
          <cell r="F150" t="str">
            <v>being brokerage booked on insurance policies placed in Mar-23.</v>
          </cell>
          <cell r="G150">
            <v>47720.38</v>
          </cell>
          <cell r="H150">
            <v>7279.38</v>
          </cell>
          <cell r="I150">
            <v>40441</v>
          </cell>
        </row>
        <row r="151">
          <cell r="E151" t="str">
            <v>MUM/23-24/52</v>
          </cell>
          <cell r="F151" t="str">
            <v>being brokerage booked on insurance policies placed in Mar-23.</v>
          </cell>
          <cell r="G151">
            <v>142140.43</v>
          </cell>
          <cell r="H151">
            <v>21682.44</v>
          </cell>
          <cell r="I151">
            <v>120457.99</v>
          </cell>
        </row>
        <row r="152">
          <cell r="E152" t="str">
            <v>MUM/23-24/53</v>
          </cell>
          <cell r="F152" t="str">
            <v>being brokerage booked on insurance policies placed in Mar-23.</v>
          </cell>
          <cell r="G152">
            <v>19327.22</v>
          </cell>
          <cell r="H152">
            <v>2948.22</v>
          </cell>
          <cell r="I152">
            <v>16379</v>
          </cell>
        </row>
        <row r="153">
          <cell r="E153" t="str">
            <v>CHN/23-24/22</v>
          </cell>
          <cell r="F153" t="str">
            <v>being brokerage booked on insurance policies placed in Mar-23.</v>
          </cell>
          <cell r="G153">
            <v>107.28</v>
          </cell>
          <cell r="H153">
            <v>16.36</v>
          </cell>
          <cell r="I153">
            <v>90.92</v>
          </cell>
        </row>
        <row r="154">
          <cell r="E154" t="str">
            <v>GGN/23-24/36</v>
          </cell>
        </row>
        <row r="155">
          <cell r="E155" t="str">
            <v>GGN/23-24/37</v>
          </cell>
          <cell r="F155" t="str">
            <v>being brokerage booked on insurance policies placed in Mar-23. GST is not payable under reverse charge  on these services. The invoice is issued as per Section 31 of the CGST Act.</v>
          </cell>
          <cell r="G155">
            <v>8850252.5199999996</v>
          </cell>
          <cell r="H155">
            <v>1350038.52</v>
          </cell>
          <cell r="I155">
            <v>7500214</v>
          </cell>
        </row>
        <row r="156">
          <cell r="E156" t="str">
            <v>GGN/23-24/38</v>
          </cell>
          <cell r="F156" t="str">
            <v>being brokerage booked on insurance policies placed in Mar-23.</v>
          </cell>
          <cell r="G156">
            <v>23102.04</v>
          </cell>
          <cell r="H156">
            <v>3524.04</v>
          </cell>
          <cell r="I156">
            <v>19578</v>
          </cell>
        </row>
        <row r="157">
          <cell r="E157" t="str">
            <v>HYD/23-24/08</v>
          </cell>
          <cell r="F157" t="str">
            <v>being brokerage booked on insurance poliices placed in Mar-23.</v>
          </cell>
          <cell r="G157">
            <v>25631.32</v>
          </cell>
          <cell r="H157">
            <v>3909.88</v>
          </cell>
          <cell r="I157">
            <v>21721.439999999999</v>
          </cell>
        </row>
        <row r="158">
          <cell r="E158" t="str">
            <v>MUM/23-24/54</v>
          </cell>
          <cell r="F158" t="str">
            <v>being reward booked on insurance policies placed for Mar-23.</v>
          </cell>
          <cell r="G158">
            <v>65299.53</v>
          </cell>
          <cell r="H158">
            <v>9960.94</v>
          </cell>
          <cell r="I158">
            <v>55338.59</v>
          </cell>
        </row>
        <row r="159">
          <cell r="E159" t="str">
            <v>MUM/23-24/55</v>
          </cell>
          <cell r="F159" t="str">
            <v>being brokerage booked on insurance policies placed in Mar-23.</v>
          </cell>
          <cell r="G159">
            <v>102069.06</v>
          </cell>
          <cell r="H159">
            <v>15569.86</v>
          </cell>
          <cell r="I159">
            <v>86499.199999999997</v>
          </cell>
        </row>
        <row r="160">
          <cell r="E160" t="str">
            <v>MUM/23-24/56</v>
          </cell>
          <cell r="F160" t="str">
            <v>being brokerage booked on insurance policies placed in Mar-23.</v>
          </cell>
          <cell r="G160">
            <v>1234148.28</v>
          </cell>
          <cell r="H160">
            <v>188259.9</v>
          </cell>
          <cell r="I160">
            <v>1045888.38</v>
          </cell>
        </row>
        <row r="161">
          <cell r="E161" t="str">
            <v>MUM/23-24/57</v>
          </cell>
          <cell r="F161" t="str">
            <v>being  reward booked on insurance policies placed in Apr-22 to Mar-23.</v>
          </cell>
          <cell r="G161">
            <v>246829.66</v>
          </cell>
          <cell r="H161">
            <v>37651.980000000003</v>
          </cell>
          <cell r="I161">
            <v>209177.68</v>
          </cell>
        </row>
        <row r="162">
          <cell r="E162" t="str">
            <v>MUM/23-24/58</v>
          </cell>
          <cell r="F162" t="str">
            <v>being reward booked on insurance policies placed in Mar-23.</v>
          </cell>
          <cell r="G162">
            <v>16395.169999999998</v>
          </cell>
          <cell r="H162">
            <v>2500.96</v>
          </cell>
          <cell r="I162">
            <v>13894.21</v>
          </cell>
        </row>
        <row r="163">
          <cell r="E163" t="str">
            <v>BLR/23-24/23</v>
          </cell>
          <cell r="F163" t="str">
            <v>being brokerage booked on insurance policies placed in Q4 22-23.</v>
          </cell>
          <cell r="G163">
            <v>1677688.29</v>
          </cell>
          <cell r="H163">
            <v>255918.56</v>
          </cell>
          <cell r="I163">
            <v>1421769.73</v>
          </cell>
        </row>
        <row r="164">
          <cell r="E164" t="str">
            <v>BLR/23-24/24</v>
          </cell>
          <cell r="F164" t="str">
            <v>being brokerage booked on insurance policies placed in Mar-23.</v>
          </cell>
          <cell r="G164">
            <v>66555.27</v>
          </cell>
          <cell r="H164">
            <v>10152.5</v>
          </cell>
          <cell r="I164">
            <v>56402.77</v>
          </cell>
        </row>
        <row r="165">
          <cell r="E165" t="str">
            <v>BLR/23-24/25</v>
          </cell>
          <cell r="F165" t="str">
            <v>being brokerage on insurance policies placed from Mar-23.</v>
          </cell>
          <cell r="G165">
            <v>655638.24</v>
          </cell>
          <cell r="H165">
            <v>100012.62</v>
          </cell>
          <cell r="I165">
            <v>555625.62</v>
          </cell>
        </row>
        <row r="166">
          <cell r="E166" t="str">
            <v>CHN/23-24/23</v>
          </cell>
          <cell r="F166" t="str">
            <v>being brokerage booked on insurance policies placed in Mar-23.</v>
          </cell>
          <cell r="G166">
            <v>4821</v>
          </cell>
          <cell r="H166">
            <v>735.4</v>
          </cell>
          <cell r="I166">
            <v>4085.6</v>
          </cell>
        </row>
        <row r="167">
          <cell r="E167" t="str">
            <v>CHN/23-24/24</v>
          </cell>
          <cell r="F167" t="str">
            <v>being brokerage booked on insurance policies placed in Mar-23.</v>
          </cell>
          <cell r="G167">
            <v>667.88</v>
          </cell>
          <cell r="H167">
            <v>101.88</v>
          </cell>
          <cell r="I167">
            <v>566</v>
          </cell>
        </row>
        <row r="168">
          <cell r="E168" t="str">
            <v>CHN/23-24/25</v>
          </cell>
          <cell r="F168" t="str">
            <v>being brokerage booked on insurance policies placed in Mar-23.</v>
          </cell>
          <cell r="G168">
            <v>15688.65</v>
          </cell>
          <cell r="H168">
            <v>2393.1799999999998</v>
          </cell>
          <cell r="I168">
            <v>13295.47</v>
          </cell>
        </row>
        <row r="169">
          <cell r="E169" t="str">
            <v>GGN/23-24/39</v>
          </cell>
          <cell r="F169" t="str">
            <v>being brokerage booked on insurance policies placed in Feb-23.</v>
          </cell>
          <cell r="G169">
            <v>5466432.0199999996</v>
          </cell>
          <cell r="H169">
            <v>833862.51</v>
          </cell>
          <cell r="I169">
            <v>4632569.51</v>
          </cell>
        </row>
        <row r="170">
          <cell r="E170" t="str">
            <v>GGN/23-24/40</v>
          </cell>
          <cell r="F170" t="str">
            <v>being brokerage booked on insurance policies placed in Mar-23.</v>
          </cell>
          <cell r="G170">
            <v>441004.57</v>
          </cell>
          <cell r="H170">
            <v>67271.88</v>
          </cell>
          <cell r="I170">
            <v>373732.69</v>
          </cell>
        </row>
        <row r="171">
          <cell r="E171" t="str">
            <v>GGN/23-24/41</v>
          </cell>
          <cell r="F171" t="str">
            <v>being reward booked on insurance policies placed in Mar-23.</v>
          </cell>
          <cell r="G171">
            <v>1811.49</v>
          </cell>
          <cell r="H171">
            <v>276.33</v>
          </cell>
          <cell r="I171">
            <v>1535.16</v>
          </cell>
        </row>
        <row r="172">
          <cell r="E172" t="str">
            <v>GGN/23-24/42</v>
          </cell>
          <cell r="F172" t="str">
            <v>being brokerage booked on insurance policies placed in Mar-23.</v>
          </cell>
          <cell r="G172">
            <v>25425.46</v>
          </cell>
          <cell r="H172">
            <v>3878.46</v>
          </cell>
          <cell r="I172">
            <v>21547</v>
          </cell>
        </row>
        <row r="173">
          <cell r="E173" t="str">
            <v>GGN/23-24/43</v>
          </cell>
          <cell r="F173" t="str">
            <v>being brokerage booked on insurance policies placed in Mar-23.</v>
          </cell>
          <cell r="G173">
            <v>2328.14</v>
          </cell>
          <cell r="H173">
            <v>355.14</v>
          </cell>
          <cell r="I173">
            <v>1973</v>
          </cell>
        </row>
        <row r="174">
          <cell r="E174" t="str">
            <v>GGN/23-24/44</v>
          </cell>
          <cell r="F174" t="str">
            <v>being brokerage booked on insurance policies placed in Mar-23.</v>
          </cell>
          <cell r="G174">
            <v>355.18</v>
          </cell>
          <cell r="H174">
            <v>54.18</v>
          </cell>
          <cell r="I174">
            <v>301</v>
          </cell>
        </row>
        <row r="175">
          <cell r="E175" t="str">
            <v>GGN/23-24/45</v>
          </cell>
          <cell r="F175" t="str">
            <v>being brokerage booked on insurance policies placed in Mar-23.</v>
          </cell>
          <cell r="G175">
            <v>8080.97</v>
          </cell>
          <cell r="H175">
            <v>1232.69</v>
          </cell>
          <cell r="I175">
            <v>6848.28</v>
          </cell>
        </row>
        <row r="176">
          <cell r="E176" t="str">
            <v>HYD/23-24/09</v>
          </cell>
          <cell r="F176" t="str">
            <v>being reward booked on insurance policies placed in Mar-23.</v>
          </cell>
          <cell r="G176">
            <v>192.94</v>
          </cell>
          <cell r="H176">
            <v>29.44</v>
          </cell>
          <cell r="I176">
            <v>163.5</v>
          </cell>
        </row>
        <row r="177">
          <cell r="E177" t="str">
            <v>HYD/23-24/10</v>
          </cell>
          <cell r="F177" t="str">
            <v>being brokerage booked on insurance policies placed in Mar-23.</v>
          </cell>
          <cell r="G177">
            <v>1198.04</v>
          </cell>
          <cell r="H177">
            <v>182.76</v>
          </cell>
          <cell r="I177">
            <v>1015.28</v>
          </cell>
        </row>
        <row r="178">
          <cell r="E178" t="str">
            <v>MUM/23-24/59</v>
          </cell>
          <cell r="F178" t="str">
            <v>being brokerage booked on insurance policies placed in month Mar-23. Reverse Charge Mechanism Applicable - NO.</v>
          </cell>
          <cell r="G178">
            <v>1289011.53</v>
          </cell>
          <cell r="H178">
            <v>196628.88</v>
          </cell>
          <cell r="I178">
            <v>1092382.6499999999</v>
          </cell>
        </row>
        <row r="179">
          <cell r="E179" t="str">
            <v>MUM/23-24/60</v>
          </cell>
          <cell r="F179" t="str">
            <v>being brokerage booked on insurance policies placed in month Mar-23. Reverse Charge Mechanism Applicable - NO.</v>
          </cell>
          <cell r="G179">
            <v>334961.96999999997</v>
          </cell>
          <cell r="H179">
            <v>51095.89</v>
          </cell>
          <cell r="I179">
            <v>283866.08</v>
          </cell>
        </row>
        <row r="180">
          <cell r="E180" t="str">
            <v>MUM/23-24/61</v>
          </cell>
          <cell r="F180" t="str">
            <v>being brokerage booked on insurance policies placed in month Mar-23. Reverse Charge Mechanism Applicable - NO.</v>
          </cell>
          <cell r="G180">
            <v>44174.54</v>
          </cell>
          <cell r="H180">
            <v>6738.49</v>
          </cell>
          <cell r="I180">
            <v>37436.050000000003</v>
          </cell>
        </row>
        <row r="181">
          <cell r="E181" t="str">
            <v>MUM/23-24/62</v>
          </cell>
          <cell r="F181" t="str">
            <v>being brokerage booked on insurance policies placed in month Mar-23. Reverse Charge Mechanism Applicable - NO.</v>
          </cell>
          <cell r="G181">
            <v>6012031.96</v>
          </cell>
          <cell r="H181">
            <v>917089.62</v>
          </cell>
          <cell r="I181">
            <v>5094942.34</v>
          </cell>
        </row>
        <row r="182">
          <cell r="E182" t="str">
            <v>MUM/23-24/63</v>
          </cell>
          <cell r="F182" t="str">
            <v>being brokerage booked on insurance policies placed in month Mar-23. Reverse Charge Mechanism Applicable - NO.</v>
          </cell>
          <cell r="G182">
            <v>1233141.29</v>
          </cell>
          <cell r="H182">
            <v>188106.3</v>
          </cell>
          <cell r="I182">
            <v>1045034.99</v>
          </cell>
        </row>
        <row r="183">
          <cell r="E183" t="str">
            <v>MUM/23-24/64</v>
          </cell>
          <cell r="F183" t="str">
            <v>being brokerage booked on insurance policies placed in month Mar-23. Reverse Charge Mechanism Applicable - NO.</v>
          </cell>
          <cell r="G183">
            <v>3500.1</v>
          </cell>
          <cell r="H183">
            <v>533.91</v>
          </cell>
          <cell r="I183">
            <v>2966.19</v>
          </cell>
        </row>
        <row r="184">
          <cell r="E184" t="str">
            <v>MUM/23-24/65</v>
          </cell>
          <cell r="F184" t="str">
            <v>being brokerage booked on insurance policies placed in month Mar-23. Reverse Charge Mechanism Applicable - NO.</v>
          </cell>
          <cell r="G184">
            <v>134554.17000000001</v>
          </cell>
          <cell r="H184">
            <v>20525.21</v>
          </cell>
          <cell r="I184">
            <v>114028.96</v>
          </cell>
        </row>
        <row r="185">
          <cell r="E185" t="str">
            <v>MUM/23-24/66</v>
          </cell>
          <cell r="F185" t="str">
            <v>being brokerage booked on insurance policies placed in month Mar-23. Reverse Charge Mechanism Applicable - NO.</v>
          </cell>
          <cell r="G185">
            <v>185783.27</v>
          </cell>
          <cell r="H185">
            <v>28339.82</v>
          </cell>
          <cell r="I185">
            <v>157443.45000000001</v>
          </cell>
        </row>
        <row r="186">
          <cell r="E186" t="str">
            <v>MUM/23-24/67</v>
          </cell>
          <cell r="F186" t="str">
            <v>being brokerage booked on insurance policies placed in month Mar-23. Reverse Charge Mechanism Applicable - NO.</v>
          </cell>
          <cell r="G186">
            <v>4085.55</v>
          </cell>
          <cell r="H186">
            <v>623.22</v>
          </cell>
          <cell r="I186">
            <v>3462.33</v>
          </cell>
        </row>
        <row r="187">
          <cell r="E187" t="str">
            <v>MUM/23-24/68</v>
          </cell>
          <cell r="F187" t="str">
            <v>being brokerage booked on insurance policies placed in Q4 22-23.</v>
          </cell>
          <cell r="G187">
            <v>345678.87</v>
          </cell>
          <cell r="H187">
            <v>52730.68</v>
          </cell>
          <cell r="I187">
            <v>292948.19</v>
          </cell>
        </row>
        <row r="188">
          <cell r="E188" t="str">
            <v>MUM/23-24/69</v>
          </cell>
          <cell r="F188" t="str">
            <v>being brokerage booked on insurance policies placed in Mar-23.</v>
          </cell>
          <cell r="G188">
            <v>157650.79</v>
          </cell>
          <cell r="H188">
            <v>24048.42</v>
          </cell>
          <cell r="I188">
            <v>133602.37</v>
          </cell>
        </row>
        <row r="189">
          <cell r="E189" t="str">
            <v>MUM/23-24/70</v>
          </cell>
          <cell r="F189" t="str">
            <v>being RI brokerage booked; Insured: Serum Institute of India Pvt; Cedant: The New India Assurance Co Ltd; policy period : 15.01.23 to 15.01.24</v>
          </cell>
          <cell r="G189">
            <v>4761207.96</v>
          </cell>
          <cell r="H189">
            <v>726285.96</v>
          </cell>
          <cell r="I189">
            <v>4034922</v>
          </cell>
        </row>
        <row r="190">
          <cell r="E190" t="str">
            <v>MUM/23-24/71</v>
          </cell>
          <cell r="F190" t="str">
            <v>being RI brokerage booked ; Treaty : SOA Q1 2022-23 / United India Proportional Treaty Reinsured: United India Insurance Ltd ; Policy preiod: 17.07.2022 to 16.07.2023</v>
          </cell>
          <cell r="G190">
            <v>8803.98</v>
          </cell>
          <cell r="H190">
            <v>1342.98</v>
          </cell>
          <cell r="I190">
            <v>7461</v>
          </cell>
        </row>
        <row r="191">
          <cell r="E191" t="str">
            <v>MUM/23-24/72</v>
          </cell>
          <cell r="F191" t="str">
            <v>being RI brokerage booked; Insured: Serum Institute of India Pvt; Cedant: The New India Assurance Co Ltd; policy period : 01.03.2023 to 28.02.2024</v>
          </cell>
          <cell r="G191">
            <v>1985627.3</v>
          </cell>
          <cell r="H191">
            <v>302892.3</v>
          </cell>
          <cell r="I191">
            <v>1682735</v>
          </cell>
        </row>
        <row r="192">
          <cell r="E192" t="str">
            <v>MUM/23-24/73</v>
          </cell>
          <cell r="F192" t="str">
            <v>being RI brokerage booked ; Treaty: Marine Caargo &amp; Engineering Surplus treaty; Reinsured: Cholamandalam General Insurance Co Ltd; Period 01.04.2022 to 31.03.2023 SOA 3</v>
          </cell>
          <cell r="G192">
            <v>18216.84</v>
          </cell>
          <cell r="H192">
            <v>2778.84</v>
          </cell>
          <cell r="I192">
            <v>15438</v>
          </cell>
        </row>
        <row r="193">
          <cell r="E193" t="str">
            <v>MUM/23-24/74</v>
          </cell>
          <cell r="F193" t="str">
            <v>being RI brokerage booked : Insured :PT. Kaltim Parna Industries (6th installment out of 6) ; Cedant : Apire Reinsurance Brokers PT. Adonai Pialang Reasuransi ; Policy Period : 01.07.22 to 30.06.22</v>
          </cell>
          <cell r="G193">
            <v>3128.18</v>
          </cell>
          <cell r="H193">
            <v>477.18</v>
          </cell>
          <cell r="I193">
            <v>2651</v>
          </cell>
        </row>
        <row r="194">
          <cell r="E194" t="str">
            <v>MUM/23-24/75</v>
          </cell>
          <cell r="F194" t="str">
            <v>being RI brokerage booked : Insured :PT. Kaltim Parna Industries (6th installment out of 6) ; Cedant : Apire Reinsurance Brokers PT. Adonai Pialang Reasuransi ; Policy Period : 01.07.22 to 30.06.22</v>
          </cell>
          <cell r="G194">
            <v>31278.26</v>
          </cell>
          <cell r="H194">
            <v>4771.26</v>
          </cell>
          <cell r="I194">
            <v>26507</v>
          </cell>
        </row>
        <row r="195">
          <cell r="E195" t="str">
            <v>MUM/23-24/76</v>
          </cell>
          <cell r="F195" t="str">
            <v>being RI brokerage booked ; Insured: Pradhan Air Express Pvt Ltd ( 2nd installment out of 4)  ; Reinsured :The New India Assurance Co Ltd  Policy Period :01.11.2022 to 31.10.2023</v>
          </cell>
          <cell r="G195">
            <v>423813.52</v>
          </cell>
          <cell r="H195">
            <v>64649.52</v>
          </cell>
          <cell r="I195">
            <v>359164</v>
          </cell>
        </row>
        <row r="196">
          <cell r="E196" t="str">
            <v>MUM/23-24/77</v>
          </cell>
          <cell r="F196" t="str">
            <v>being brokerage booked on insurance policies placed in Mar-23.</v>
          </cell>
          <cell r="G196">
            <v>815765.1</v>
          </cell>
          <cell r="H196">
            <v>124438.74</v>
          </cell>
          <cell r="I196">
            <v>691326.36</v>
          </cell>
        </row>
        <row r="197">
          <cell r="E197" t="str">
            <v>MUM/23-24/78</v>
          </cell>
          <cell r="F197" t="str">
            <v>being brokerage booked on insurance policies placed in Mar-23.</v>
          </cell>
          <cell r="G197">
            <v>85145.52</v>
          </cell>
          <cell r="H197">
            <v>12988.3</v>
          </cell>
          <cell r="I197">
            <v>72157.22</v>
          </cell>
        </row>
        <row r="198">
          <cell r="E198" t="str">
            <v>MUM/23-24/79</v>
          </cell>
          <cell r="F198" t="str">
            <v>being brokerage booked on insurance policies placed in Mar-23.</v>
          </cell>
          <cell r="G198">
            <v>245913.35</v>
          </cell>
          <cell r="H198">
            <v>37512.199999999997</v>
          </cell>
          <cell r="I198">
            <v>208401.15</v>
          </cell>
        </row>
        <row r="199">
          <cell r="E199" t="str">
            <v>MUM/23-24/80</v>
          </cell>
          <cell r="F199" t="str">
            <v>being brokerage booked on insurance policies placed in Mar-23.</v>
          </cell>
          <cell r="G199">
            <v>4243.3599999999997</v>
          </cell>
          <cell r="H199">
            <v>647.29</v>
          </cell>
          <cell r="I199">
            <v>3596.07</v>
          </cell>
        </row>
        <row r="200">
          <cell r="E200" t="str">
            <v>MUM/23-24/81</v>
          </cell>
          <cell r="F200" t="str">
            <v>being reward booked on insurance policies placed in Mar-23.</v>
          </cell>
          <cell r="G200">
            <v>440.18</v>
          </cell>
          <cell r="H200">
            <v>67.14</v>
          </cell>
          <cell r="I200">
            <v>373.04</v>
          </cell>
        </row>
        <row r="201">
          <cell r="E201" t="str">
            <v>MUM/23-24/82</v>
          </cell>
          <cell r="F201" t="str">
            <v>being brokerage on insurance policies placed from Mar-23.</v>
          </cell>
          <cell r="G201">
            <v>708.62</v>
          </cell>
          <cell r="H201">
            <v>108.1</v>
          </cell>
          <cell r="I201">
            <v>600.52</v>
          </cell>
        </row>
        <row r="202">
          <cell r="E202" t="str">
            <v>MUM/23-24/83</v>
          </cell>
          <cell r="F202" t="str">
            <v>being brokerage booked on insurance policies placed in Mar-23. GST is not payable under reverse charge  on these services. The invoice is issued as per Section 31 of the CGST Act.</v>
          </cell>
          <cell r="G202">
            <v>1571.76</v>
          </cell>
          <cell r="H202">
            <v>239.76</v>
          </cell>
          <cell r="I202">
            <v>1332</v>
          </cell>
        </row>
        <row r="203">
          <cell r="E203" t="str">
            <v>MUM/23-24/84</v>
          </cell>
          <cell r="F203" t="str">
            <v>being brokerage booked on insurance policies placed in Mar-23.</v>
          </cell>
          <cell r="G203">
            <v>4319.2</v>
          </cell>
          <cell r="H203">
            <v>658.86</v>
          </cell>
          <cell r="I203">
            <v>3660.34</v>
          </cell>
        </row>
        <row r="204">
          <cell r="E204" t="str">
            <v>BLR/23-24/26</v>
          </cell>
          <cell r="F204" t="str">
            <v>being reward booked on insurance policies placed in month Jan-23.</v>
          </cell>
          <cell r="G204">
            <v>279698.94</v>
          </cell>
          <cell r="H204">
            <v>42665.94</v>
          </cell>
          <cell r="I204">
            <v>237033</v>
          </cell>
        </row>
        <row r="205">
          <cell r="E205" t="str">
            <v>BLR/23-24/27</v>
          </cell>
          <cell r="F205" t="str">
            <v>being brokerage booked on insurance policies placed in Mar-23.</v>
          </cell>
          <cell r="G205">
            <v>8112.5</v>
          </cell>
          <cell r="H205">
            <v>1237.5</v>
          </cell>
          <cell r="I205">
            <v>6875</v>
          </cell>
        </row>
        <row r="206">
          <cell r="E206" t="str">
            <v>BLR/23-24/28</v>
          </cell>
          <cell r="F206" t="str">
            <v>being brokerage booked on insurance policies placed in month Mar-23.</v>
          </cell>
          <cell r="G206">
            <v>87053.11</v>
          </cell>
          <cell r="H206">
            <v>13279.28</v>
          </cell>
          <cell r="I206">
            <v>73773.83</v>
          </cell>
        </row>
        <row r="207">
          <cell r="E207" t="str">
            <v>CHN/23-24/26</v>
          </cell>
          <cell r="F207" t="str">
            <v>being brokerage booked on insurance policies placed in month Mar-23.</v>
          </cell>
          <cell r="G207">
            <v>87189.93</v>
          </cell>
          <cell r="H207">
            <v>13300.16</v>
          </cell>
          <cell r="I207">
            <v>73889.77</v>
          </cell>
        </row>
        <row r="208">
          <cell r="E208" t="str">
            <v>GGN/23-24/46</v>
          </cell>
          <cell r="F208" t="str">
            <v>being reward booked on insurance policies placed in month Jan-23.</v>
          </cell>
          <cell r="G208">
            <v>2847.49</v>
          </cell>
          <cell r="H208">
            <v>434.36</v>
          </cell>
          <cell r="I208">
            <v>2413.13</v>
          </cell>
        </row>
        <row r="209">
          <cell r="E209" t="str">
            <v>GGN/23-24/47</v>
          </cell>
          <cell r="F209" t="str">
            <v>being reward booked on insurance policies placed in month Jan-23.</v>
          </cell>
          <cell r="G209">
            <v>2847.49</v>
          </cell>
          <cell r="H209">
            <v>434.36</v>
          </cell>
          <cell r="I209">
            <v>2413.13</v>
          </cell>
        </row>
        <row r="210">
          <cell r="E210" t="str">
            <v>GGN/23-24/48</v>
          </cell>
          <cell r="F210" t="str">
            <v>being reward booked on insurance policies placed in month Jan-23.</v>
          </cell>
          <cell r="G210">
            <v>23879.96</v>
          </cell>
          <cell r="H210">
            <v>3642.71</v>
          </cell>
          <cell r="I210">
            <v>20237.25</v>
          </cell>
        </row>
        <row r="211">
          <cell r="E211" t="str">
            <v>GGN/23-24/49</v>
          </cell>
          <cell r="F211" t="str">
            <v>being brokerage booked on insurance policies placed in Mar-23.</v>
          </cell>
          <cell r="G211">
            <v>51389</v>
          </cell>
          <cell r="H211">
            <v>7839</v>
          </cell>
          <cell r="I211">
            <v>43550</v>
          </cell>
        </row>
        <row r="212">
          <cell r="E212" t="str">
            <v>GGN/23-24/50</v>
          </cell>
          <cell r="F212" t="str">
            <v>being brokerage booked on insurance policies placed in Sep-22.</v>
          </cell>
          <cell r="G212">
            <v>68935.600000000006</v>
          </cell>
          <cell r="H212">
            <v>10515.6</v>
          </cell>
          <cell r="I212">
            <v>58420</v>
          </cell>
        </row>
        <row r="213">
          <cell r="E213" t="str">
            <v>GGN/23-24/51</v>
          </cell>
          <cell r="F213" t="str">
            <v>being brokerage booked on insurance poliices placed in Mar-23.</v>
          </cell>
          <cell r="G213">
            <v>8504.2999999999993</v>
          </cell>
          <cell r="H213">
            <v>1297.26</v>
          </cell>
          <cell r="I213">
            <v>7207.04</v>
          </cell>
        </row>
        <row r="214">
          <cell r="E214" t="str">
            <v>GGN/23-24/52</v>
          </cell>
          <cell r="F214" t="str">
            <v>being brokerage booked on insurance policies placed in month Mar-23.</v>
          </cell>
          <cell r="G214">
            <v>531000</v>
          </cell>
          <cell r="H214">
            <v>81000</v>
          </cell>
          <cell r="I214">
            <v>450000</v>
          </cell>
        </row>
        <row r="215">
          <cell r="E215" t="str">
            <v>GGN/23-24/53</v>
          </cell>
          <cell r="F215" t="str">
            <v>being brokerage booked on insurance policies placed in month Mar-23.</v>
          </cell>
          <cell r="G215">
            <v>853429.24</v>
          </cell>
          <cell r="H215">
            <v>130184.12</v>
          </cell>
          <cell r="I215">
            <v>723245.12</v>
          </cell>
        </row>
        <row r="216">
          <cell r="E216" t="str">
            <v>GGN/23-24/54</v>
          </cell>
          <cell r="F216" t="str">
            <v>being brokerage booked on insurance policies placed in month Mar-23.</v>
          </cell>
          <cell r="G216">
            <v>26791.33</v>
          </cell>
          <cell r="H216">
            <v>4086.81</v>
          </cell>
          <cell r="I216">
            <v>22704.52</v>
          </cell>
        </row>
        <row r="217">
          <cell r="E217" t="str">
            <v>HYD/23-24/11</v>
          </cell>
          <cell r="F217" t="str">
            <v>being brokerage booked on insurance poliices placed in Mar-23.</v>
          </cell>
          <cell r="G217">
            <v>9068</v>
          </cell>
          <cell r="H217">
            <v>1383.26</v>
          </cell>
          <cell r="I217">
            <v>7684.74</v>
          </cell>
        </row>
        <row r="218">
          <cell r="E218" t="str">
            <v>LUD/23-24/05</v>
          </cell>
          <cell r="F218" t="str">
            <v>being reward booked on insurance policies placed in month Jan-23.</v>
          </cell>
          <cell r="G218">
            <v>61909.34</v>
          </cell>
          <cell r="H218">
            <v>9443.7999999999993</v>
          </cell>
          <cell r="I218">
            <v>52465.54</v>
          </cell>
        </row>
        <row r="219">
          <cell r="E219" t="str">
            <v>LUD/23-24/06</v>
          </cell>
          <cell r="F219" t="str">
            <v>being brokerage booked on insurance policies placed in month Mar-23.</v>
          </cell>
          <cell r="G219">
            <v>133741.57</v>
          </cell>
          <cell r="H219">
            <v>20401.259999999998</v>
          </cell>
          <cell r="I219">
            <v>113340.31</v>
          </cell>
        </row>
        <row r="220">
          <cell r="E220" t="str">
            <v>MUM/23-24/85</v>
          </cell>
          <cell r="F220" t="str">
            <v>being reward booked on insurance policies placed in month Jan-23.</v>
          </cell>
          <cell r="G220">
            <v>784214.06</v>
          </cell>
          <cell r="H220">
            <v>119625.88</v>
          </cell>
          <cell r="I220">
            <v>664588.18000000005</v>
          </cell>
        </row>
        <row r="221">
          <cell r="E221" t="str">
            <v>MUM/23-24/86</v>
          </cell>
          <cell r="F221" t="str">
            <v>being reward booked on insurance policies placed in month Jan-23.</v>
          </cell>
          <cell r="G221">
            <v>7301.27</v>
          </cell>
          <cell r="H221">
            <v>1113.75</v>
          </cell>
          <cell r="I221">
            <v>6187.52</v>
          </cell>
        </row>
        <row r="222">
          <cell r="E222" t="str">
            <v>MUM/23-24/87</v>
          </cell>
          <cell r="F222" t="str">
            <v>being brokerage booked on insurance policies placed in Mar-23.</v>
          </cell>
          <cell r="G222">
            <v>55646.43</v>
          </cell>
          <cell r="H222">
            <v>8488.44</v>
          </cell>
          <cell r="I222">
            <v>47157.99</v>
          </cell>
        </row>
        <row r="223">
          <cell r="E223" t="str">
            <v>MUM/23-24/88</v>
          </cell>
          <cell r="F223" t="str">
            <v>being brokerage booked on insurance poliices placed in Mar-23.</v>
          </cell>
          <cell r="G223">
            <v>31371</v>
          </cell>
          <cell r="H223">
            <v>4785.3999999999996</v>
          </cell>
          <cell r="I223">
            <v>26585.599999999999</v>
          </cell>
        </row>
        <row r="224">
          <cell r="E224" t="str">
            <v>MUM/23-24/89</v>
          </cell>
          <cell r="F224" t="str">
            <v>being brokerage booked on insurance policies placed in month Mar-23.</v>
          </cell>
          <cell r="G224">
            <v>215591.67</v>
          </cell>
          <cell r="H224">
            <v>32886.86</v>
          </cell>
          <cell r="I224">
            <v>182704.81</v>
          </cell>
        </row>
        <row r="225">
          <cell r="E225" t="str">
            <v>MUM/23-24/90</v>
          </cell>
          <cell r="F225" t="str">
            <v>being brokerage booked on insurance policies placed in month Mar-23.</v>
          </cell>
          <cell r="G225">
            <v>310.55</v>
          </cell>
          <cell r="H225">
            <v>47.37</v>
          </cell>
          <cell r="I225">
            <v>263.18</v>
          </cell>
        </row>
        <row r="226">
          <cell r="E226" t="str">
            <v>PUN/23-24/10</v>
          </cell>
          <cell r="F226" t="str">
            <v>being brokerage booked on insurance policies placed in Mar-23.</v>
          </cell>
          <cell r="G226">
            <v>87500</v>
          </cell>
          <cell r="H226">
            <v>13347.46</v>
          </cell>
          <cell r="I226">
            <v>74152.539999999994</v>
          </cell>
        </row>
        <row r="227">
          <cell r="E227" t="str">
            <v>GGN/23-24/55</v>
          </cell>
          <cell r="F227" t="str">
            <v>being reward booked on insurance policies placed in month Jan-23.</v>
          </cell>
          <cell r="G227">
            <v>109034.96</v>
          </cell>
          <cell r="H227">
            <v>16632.45</v>
          </cell>
          <cell r="I227">
            <v>92402.51</v>
          </cell>
        </row>
        <row r="228">
          <cell r="E228" t="str">
            <v>BLR/23-24/29</v>
          </cell>
          <cell r="F228" t="str">
            <v>being brokerage booked on insurance policies placed in Mar-23.</v>
          </cell>
          <cell r="G228">
            <v>1806024.09</v>
          </cell>
          <cell r="H228">
            <v>275495.2</v>
          </cell>
          <cell r="I228">
            <v>1530528.89</v>
          </cell>
        </row>
        <row r="229">
          <cell r="E229" t="str">
            <v>BLR/23-24/30</v>
          </cell>
          <cell r="F229" t="str">
            <v>being brokerage booked on insurance policies placed in Mar-23.</v>
          </cell>
          <cell r="G229">
            <v>10237.040000000001</v>
          </cell>
          <cell r="H229">
            <v>1561.58</v>
          </cell>
          <cell r="I229">
            <v>8675.4599999999991</v>
          </cell>
        </row>
        <row r="230">
          <cell r="E230" t="str">
            <v>CHN/23-24/27</v>
          </cell>
          <cell r="F230" t="str">
            <v>being brokerage booked on insurance policies placed in Mar-23.</v>
          </cell>
          <cell r="G230">
            <v>47007.39</v>
          </cell>
          <cell r="H230">
            <v>7170.62</v>
          </cell>
          <cell r="I230">
            <v>39836.769999999997</v>
          </cell>
        </row>
        <row r="231">
          <cell r="E231" t="str">
            <v>GGN/23-24/56</v>
          </cell>
          <cell r="F231" t="str">
            <v>being brokerage booked on insurance policies placed in Mar-23.</v>
          </cell>
          <cell r="G231">
            <v>68586.42</v>
          </cell>
          <cell r="H231">
            <v>10462.34</v>
          </cell>
          <cell r="I231">
            <v>58124.08</v>
          </cell>
        </row>
        <row r="232">
          <cell r="E232" t="str">
            <v>GGN/23-24/57</v>
          </cell>
          <cell r="F232" t="str">
            <v>being brokerage booked on insurance policies placed in Mar-23.</v>
          </cell>
          <cell r="G232">
            <v>9678.43</v>
          </cell>
          <cell r="H232">
            <v>1476.37</v>
          </cell>
          <cell r="I232">
            <v>8202.06</v>
          </cell>
        </row>
        <row r="233">
          <cell r="E233" t="str">
            <v>GGN/23-24/58</v>
          </cell>
          <cell r="F233" t="str">
            <v>being brokerage booked on insurance policies placed in Mar-23.</v>
          </cell>
          <cell r="G233">
            <v>17441332.260000002</v>
          </cell>
          <cell r="H233">
            <v>2660542.21</v>
          </cell>
          <cell r="I233">
            <v>14780790.050000001</v>
          </cell>
        </row>
        <row r="234">
          <cell r="E234" t="str">
            <v>HYD/23-24/12</v>
          </cell>
          <cell r="F234" t="str">
            <v>being brokerage booked on insurance policies placed in Mar-23.</v>
          </cell>
          <cell r="G234">
            <v>39010.51</v>
          </cell>
          <cell r="H234">
            <v>5950.76</v>
          </cell>
          <cell r="I234">
            <v>33059.75</v>
          </cell>
        </row>
        <row r="235">
          <cell r="E235" t="str">
            <v>LUD/23-24/07</v>
          </cell>
          <cell r="F235" t="str">
            <v>being brokerage booked on insurance policies placed in Mar-23.</v>
          </cell>
          <cell r="G235">
            <v>537.87</v>
          </cell>
          <cell r="H235">
            <v>82.04</v>
          </cell>
          <cell r="I235">
            <v>455.83</v>
          </cell>
        </row>
        <row r="236">
          <cell r="E236" t="str">
            <v>MUM/23-24/91</v>
          </cell>
          <cell r="F236" t="str">
            <v>being brokerage booked on insurance policies placed in Mar-23.</v>
          </cell>
          <cell r="G236">
            <v>4562838.5999999996</v>
          </cell>
          <cell r="H236">
            <v>696026.22</v>
          </cell>
          <cell r="I236">
            <v>3866812.38</v>
          </cell>
        </row>
        <row r="237">
          <cell r="E237" t="str">
            <v>MUM/23-24/92</v>
          </cell>
          <cell r="F237" t="str">
            <v>being brokerage booked on insurance policies placed in Mar-23.</v>
          </cell>
          <cell r="G237">
            <v>162250</v>
          </cell>
          <cell r="H237">
            <v>24750</v>
          </cell>
          <cell r="I237">
            <v>137500</v>
          </cell>
        </row>
        <row r="238">
          <cell r="E238" t="str">
            <v>BLR/23-24/31</v>
          </cell>
          <cell r="F238" t="str">
            <v>being brokerage booked on insurance policies placed in Mar-23.</v>
          </cell>
          <cell r="G238">
            <v>133653.14000000001</v>
          </cell>
          <cell r="H238">
            <v>20387.759999999998</v>
          </cell>
          <cell r="I238">
            <v>113265.38</v>
          </cell>
        </row>
        <row r="239">
          <cell r="E239" t="str">
            <v>GGN/23-24/59</v>
          </cell>
          <cell r="F239" t="str">
            <v>being brokerage booked on insurance poliices placed in Mar-23.</v>
          </cell>
          <cell r="G239">
            <v>3140</v>
          </cell>
          <cell r="H239">
            <v>479</v>
          </cell>
          <cell r="I239">
            <v>2661</v>
          </cell>
        </row>
        <row r="240">
          <cell r="E240" t="str">
            <v>GGN/23-24/60</v>
          </cell>
          <cell r="F240" t="str">
            <v>being brokerage booked on insurance poliices placed in Mar-23.</v>
          </cell>
          <cell r="G240">
            <v>28</v>
          </cell>
          <cell r="H240">
            <v>4.28</v>
          </cell>
          <cell r="I240">
            <v>23.72</v>
          </cell>
        </row>
        <row r="241">
          <cell r="E241" t="str">
            <v>GGN/23-24/61</v>
          </cell>
          <cell r="F241" t="str">
            <v>being brokerage booked on insurance policies placed in Mar-23.</v>
          </cell>
          <cell r="G241">
            <v>11257.74</v>
          </cell>
          <cell r="H241">
            <v>1717.28</v>
          </cell>
          <cell r="I241">
            <v>9540.4599999999991</v>
          </cell>
        </row>
        <row r="242">
          <cell r="E242" t="str">
            <v>GGN/23-24/62</v>
          </cell>
          <cell r="F242" t="str">
            <v>being brokerage booked on insurance policies placed in Mar-23.</v>
          </cell>
          <cell r="G242">
            <v>295.41000000000003</v>
          </cell>
          <cell r="H242">
            <v>45.06</v>
          </cell>
          <cell r="I242">
            <v>250.35</v>
          </cell>
        </row>
        <row r="243">
          <cell r="E243" t="str">
            <v>HYD/23-24/13</v>
          </cell>
          <cell r="F243" t="str">
            <v>being brokerage booked on insurance poliices placed in Mar-23.</v>
          </cell>
          <cell r="G243">
            <v>30368</v>
          </cell>
          <cell r="H243">
            <v>4632.4799999999996</v>
          </cell>
          <cell r="I243">
            <v>25735.52</v>
          </cell>
        </row>
        <row r="244">
          <cell r="E244" t="str">
            <v>HYD/23-24/14</v>
          </cell>
          <cell r="F244" t="str">
            <v>being brokerage booked on insurance policies placed in Mar-23.</v>
          </cell>
          <cell r="G244">
            <v>452.54</v>
          </cell>
          <cell r="H244">
            <v>69.040000000000006</v>
          </cell>
          <cell r="I244">
            <v>383.5</v>
          </cell>
        </row>
        <row r="245">
          <cell r="E245" t="str">
            <v>LUD/23-24/08</v>
          </cell>
          <cell r="F245" t="str">
            <v>being brokerage booked on insurance policies placed in Mar-23.</v>
          </cell>
          <cell r="G245">
            <v>3392.5</v>
          </cell>
          <cell r="H245">
            <v>517.5</v>
          </cell>
          <cell r="I245">
            <v>2875</v>
          </cell>
        </row>
        <row r="246">
          <cell r="E246" t="str">
            <v>MUM/23-24/93</v>
          </cell>
          <cell r="F246" t="str">
            <v>being brokerage booked on insurance poliices placed in Mar-23.</v>
          </cell>
          <cell r="G246">
            <v>686</v>
          </cell>
          <cell r="H246">
            <v>104.64</v>
          </cell>
          <cell r="I246">
            <v>581.36</v>
          </cell>
        </row>
        <row r="247">
          <cell r="E247" t="str">
            <v>MUM/23-24/94</v>
          </cell>
          <cell r="F247" t="str">
            <v>being brokerage booked on insurance policies placed in Mar-23.</v>
          </cell>
          <cell r="G247">
            <v>50155.21</v>
          </cell>
          <cell r="H247">
            <v>7650.8</v>
          </cell>
          <cell r="I247">
            <v>42504.41</v>
          </cell>
        </row>
        <row r="248">
          <cell r="E248" t="str">
            <v>BLR/23-24/32</v>
          </cell>
          <cell r="F248" t="str">
            <v>being reward booked on insurance policies placed in Mar-23.</v>
          </cell>
          <cell r="G248">
            <v>63892.160000000003</v>
          </cell>
          <cell r="H248">
            <v>9746.26</v>
          </cell>
          <cell r="I248">
            <v>54145.9</v>
          </cell>
        </row>
        <row r="249">
          <cell r="E249" t="str">
            <v>BLR/23-24/33</v>
          </cell>
        </row>
        <row r="250">
          <cell r="E250" t="str">
            <v>BLR/23-24/34</v>
          </cell>
          <cell r="F250" t="str">
            <v>being reward booked on insurance policies placed in Mar-23.</v>
          </cell>
          <cell r="G250">
            <v>22.66</v>
          </cell>
          <cell r="H250">
            <v>3.46</v>
          </cell>
          <cell r="I250">
            <v>19.2</v>
          </cell>
        </row>
        <row r="251">
          <cell r="E251" t="str">
            <v>BLR/23-24/35</v>
          </cell>
          <cell r="F251" t="str">
            <v>being brokerage booked on insurance policies placed in Mar-23.</v>
          </cell>
          <cell r="G251">
            <v>2885335.7</v>
          </cell>
          <cell r="H251">
            <v>440135.96</v>
          </cell>
          <cell r="I251">
            <v>2445199.7400000002</v>
          </cell>
        </row>
        <row r="252">
          <cell r="E252" t="str">
            <v>BLR/23-24/36</v>
          </cell>
          <cell r="F252" t="str">
            <v>being brokerage booked on insurance poliices placed in Mar-23</v>
          </cell>
          <cell r="G252">
            <v>1857404.69</v>
          </cell>
          <cell r="H252">
            <v>283332.92</v>
          </cell>
          <cell r="I252">
            <v>1574071.77</v>
          </cell>
        </row>
        <row r="253">
          <cell r="E253" t="str">
            <v>BLR/23-24/37</v>
          </cell>
          <cell r="F253" t="str">
            <v>being brokerage booked on insurance poliices placed in Mar-23</v>
          </cell>
          <cell r="G253">
            <v>2290620.67</v>
          </cell>
          <cell r="H253">
            <v>349416.72</v>
          </cell>
          <cell r="I253">
            <v>1941203.95</v>
          </cell>
        </row>
        <row r="254">
          <cell r="E254" t="str">
            <v>BLR/23-24/38</v>
          </cell>
          <cell r="F254" t="str">
            <v>being brokerage booked on insurance poliices placed in Mar-23</v>
          </cell>
          <cell r="G254">
            <v>1021494.66</v>
          </cell>
          <cell r="H254">
            <v>155821.22</v>
          </cell>
          <cell r="I254">
            <v>865673.44</v>
          </cell>
        </row>
        <row r="255">
          <cell r="E255" t="str">
            <v>BLR/23-24/39</v>
          </cell>
          <cell r="F255" t="str">
            <v>being brokerage booked on insurance policies placed in Mar-23.</v>
          </cell>
          <cell r="G255">
            <v>1658.97</v>
          </cell>
          <cell r="H255">
            <v>253.06</v>
          </cell>
          <cell r="I255">
            <v>1405.91</v>
          </cell>
        </row>
        <row r="256">
          <cell r="E256" t="str">
            <v>BLR/23-24/40</v>
          </cell>
          <cell r="F256" t="str">
            <v>being brokerage booked on insurance policies placed in Mar-23.</v>
          </cell>
          <cell r="G256">
            <v>168639.04</v>
          </cell>
          <cell r="H256">
            <v>25724.6</v>
          </cell>
          <cell r="I256">
            <v>142914.44</v>
          </cell>
        </row>
        <row r="257">
          <cell r="E257" t="str">
            <v>CHN/23-24/28</v>
          </cell>
          <cell r="F257" t="str">
            <v>being reward booked on insurance policies placed in Mar-23.</v>
          </cell>
          <cell r="G257">
            <v>990.96</v>
          </cell>
          <cell r="H257">
            <v>151.16</v>
          </cell>
          <cell r="I257">
            <v>839.8</v>
          </cell>
        </row>
        <row r="258">
          <cell r="E258" t="str">
            <v>CHN/23-24/29</v>
          </cell>
          <cell r="F258" t="str">
            <v>being brokerage booked on insurance policies placed in Mar-23.</v>
          </cell>
          <cell r="G258">
            <v>13549.18</v>
          </cell>
          <cell r="H258">
            <v>2066.8200000000002</v>
          </cell>
          <cell r="I258">
            <v>11482.36</v>
          </cell>
        </row>
        <row r="259">
          <cell r="E259" t="str">
            <v>CHN/23-24/30</v>
          </cell>
          <cell r="F259" t="str">
            <v>being brokerage booked on insurance policies placed in Mar-23.</v>
          </cell>
          <cell r="G259">
            <v>11557.48</v>
          </cell>
          <cell r="H259">
            <v>1763</v>
          </cell>
          <cell r="I259">
            <v>9794.48</v>
          </cell>
        </row>
        <row r="260">
          <cell r="E260" t="str">
            <v>GGN/23-24/63</v>
          </cell>
          <cell r="F260" t="str">
            <v>being reward booked on insurance policies placed in Mar-23.</v>
          </cell>
          <cell r="G260">
            <v>16522.240000000002</v>
          </cell>
          <cell r="H260">
            <v>2520.34</v>
          </cell>
          <cell r="I260">
            <v>14001.9</v>
          </cell>
        </row>
        <row r="261">
          <cell r="E261" t="str">
            <v>GGN/23-24/64</v>
          </cell>
          <cell r="F261" t="str">
            <v>being brokerage booked on insurance policies placed in Mar-23.</v>
          </cell>
          <cell r="G261">
            <v>81496.27</v>
          </cell>
          <cell r="H261">
            <v>12431.64</v>
          </cell>
          <cell r="I261">
            <v>69064.63</v>
          </cell>
        </row>
        <row r="262">
          <cell r="E262" t="str">
            <v>GGN/23-24/65</v>
          </cell>
          <cell r="F262" t="str">
            <v>being brokerage booked on insurance policies placed in Mar-23.</v>
          </cell>
          <cell r="G262">
            <v>4187110.75</v>
          </cell>
          <cell r="H262">
            <v>638711.81000000006</v>
          </cell>
          <cell r="I262">
            <v>3548398.94</v>
          </cell>
        </row>
        <row r="263">
          <cell r="E263" t="str">
            <v>GGN/23-24/66</v>
          </cell>
          <cell r="F263" t="str">
            <v>being brokerage booked on insurance policies placed in Mar-23.</v>
          </cell>
          <cell r="G263">
            <v>11243.97</v>
          </cell>
          <cell r="H263">
            <v>1715.18</v>
          </cell>
          <cell r="I263">
            <v>9528.7900000000009</v>
          </cell>
        </row>
        <row r="264">
          <cell r="E264" t="str">
            <v>GGN/23-24/67</v>
          </cell>
          <cell r="F264" t="str">
            <v>being brokerage booked on insurance policies placed in Mar-23.</v>
          </cell>
          <cell r="G264">
            <v>7305.39</v>
          </cell>
          <cell r="H264">
            <v>1114.3800000000001</v>
          </cell>
          <cell r="I264">
            <v>6191.01</v>
          </cell>
        </row>
        <row r="265">
          <cell r="E265" t="str">
            <v>GGN/23-24/68</v>
          </cell>
          <cell r="F265" t="str">
            <v>being brokerage booked on insurance policies placed in Mar-23.</v>
          </cell>
          <cell r="G265">
            <v>95806.21</v>
          </cell>
          <cell r="H265">
            <v>14614.51</v>
          </cell>
          <cell r="I265">
            <v>81191.7</v>
          </cell>
        </row>
        <row r="266">
          <cell r="E266" t="str">
            <v>GGN/23-24/69</v>
          </cell>
          <cell r="F266" t="str">
            <v>being brokerage booked on insurance policies placed in Feb-23.</v>
          </cell>
          <cell r="G266">
            <v>45578.68</v>
          </cell>
          <cell r="H266">
            <v>6952.68</v>
          </cell>
          <cell r="I266">
            <v>38626</v>
          </cell>
        </row>
        <row r="267">
          <cell r="E267" t="str">
            <v>GGN/23-24/70</v>
          </cell>
          <cell r="F267" t="str">
            <v>being brokerage booked on insurance poliices placed in Mar-23.</v>
          </cell>
          <cell r="G267">
            <v>1025.92</v>
          </cell>
          <cell r="H267">
            <v>156.5</v>
          </cell>
          <cell r="I267">
            <v>869.42</v>
          </cell>
        </row>
        <row r="268">
          <cell r="E268" t="str">
            <v>GGN/23-24/71</v>
          </cell>
          <cell r="F268" t="str">
            <v>being brokerage booked on insurance poliices placed in Mar-23.</v>
          </cell>
          <cell r="G268">
            <v>539295.25</v>
          </cell>
          <cell r="H268">
            <v>82265.38</v>
          </cell>
          <cell r="I268">
            <v>457029.87</v>
          </cell>
        </row>
        <row r="269">
          <cell r="E269" t="str">
            <v>GGN/23-24/72</v>
          </cell>
          <cell r="F269" t="str">
            <v>being brokerage booked on insurance policies placed in month Apr-22.</v>
          </cell>
          <cell r="G269">
            <v>10663.87</v>
          </cell>
          <cell r="H269">
            <v>1626.69</v>
          </cell>
          <cell r="I269">
            <v>9037.18</v>
          </cell>
        </row>
        <row r="270">
          <cell r="E270" t="str">
            <v>GGN/23-24/73</v>
          </cell>
          <cell r="F270" t="str">
            <v>being reward booked on insurance policies placed in Mar-23.</v>
          </cell>
          <cell r="G270">
            <v>102833.28</v>
          </cell>
          <cell r="H270">
            <v>15686.43</v>
          </cell>
          <cell r="I270">
            <v>87146.85</v>
          </cell>
        </row>
        <row r="271">
          <cell r="E271" t="str">
            <v>GGN/23-24/74</v>
          </cell>
          <cell r="F271" t="str">
            <v>being brokerage booked on insurance poliices placed in Mar-23</v>
          </cell>
          <cell r="G271">
            <v>2374.71</v>
          </cell>
          <cell r="H271">
            <v>362.24</v>
          </cell>
          <cell r="I271">
            <v>2012.47</v>
          </cell>
        </row>
        <row r="272">
          <cell r="E272" t="str">
            <v>GGN/23-24/75</v>
          </cell>
          <cell r="F272" t="str">
            <v>being brokerage booked on insurance policies placed in Mar-23.</v>
          </cell>
          <cell r="G272">
            <v>100813.77</v>
          </cell>
          <cell r="H272">
            <v>15378.37</v>
          </cell>
          <cell r="I272">
            <v>85435.4</v>
          </cell>
        </row>
        <row r="273">
          <cell r="E273" t="str">
            <v>GGN/23-24/76</v>
          </cell>
          <cell r="F273" t="str">
            <v>being brokerage booked on insurance policies placed in Mar-23.</v>
          </cell>
          <cell r="G273">
            <v>5229.99</v>
          </cell>
          <cell r="H273">
            <v>797.8</v>
          </cell>
          <cell r="I273">
            <v>4432.1899999999996</v>
          </cell>
        </row>
        <row r="274">
          <cell r="E274" t="str">
            <v>GGN/23-24/77</v>
          </cell>
          <cell r="F274" t="str">
            <v>being brokerage booked on insurance policies placed in Mar-23.</v>
          </cell>
          <cell r="G274">
            <v>3529.47</v>
          </cell>
          <cell r="H274">
            <v>538.4</v>
          </cell>
          <cell r="I274">
            <v>2991.07</v>
          </cell>
        </row>
        <row r="275">
          <cell r="E275" t="str">
            <v>GGN/23-24/78</v>
          </cell>
        </row>
        <row r="276">
          <cell r="E276" t="str">
            <v>HYD/23-24/15</v>
          </cell>
          <cell r="F276" t="str">
            <v>being reward booked on insurance policies placed in Mar-23.</v>
          </cell>
          <cell r="G276">
            <v>328.28</v>
          </cell>
          <cell r="H276">
            <v>50.08</v>
          </cell>
          <cell r="I276">
            <v>278.2</v>
          </cell>
        </row>
        <row r="277">
          <cell r="E277" t="str">
            <v>HYD/23-24/16</v>
          </cell>
          <cell r="F277" t="str">
            <v>being brokerage booked on insurance policies placed in Mar-23.</v>
          </cell>
          <cell r="G277">
            <v>2192111.5499999998</v>
          </cell>
          <cell r="H277">
            <v>334389.90000000002</v>
          </cell>
          <cell r="I277">
            <v>1857721.65</v>
          </cell>
        </row>
        <row r="278">
          <cell r="E278" t="str">
            <v>HYD/23-24/17</v>
          </cell>
          <cell r="F278" t="str">
            <v>being brokerage booked on insurance poliices placed in Mar-23</v>
          </cell>
          <cell r="G278">
            <v>103613.72</v>
          </cell>
          <cell r="H278">
            <v>15805.48</v>
          </cell>
          <cell r="I278">
            <v>87808.24</v>
          </cell>
        </row>
        <row r="279">
          <cell r="E279" t="str">
            <v>HYD/23-24/18</v>
          </cell>
          <cell r="F279" t="str">
            <v>being brokerage booked on insurance policies placed in Mar-23.</v>
          </cell>
          <cell r="G279">
            <v>10438.39</v>
          </cell>
          <cell r="H279">
            <v>1592.3</v>
          </cell>
          <cell r="I279">
            <v>8846.09</v>
          </cell>
        </row>
        <row r="280">
          <cell r="E280" t="str">
            <v>HYD/23-24/19</v>
          </cell>
          <cell r="F280" t="str">
            <v>being brokerage booked on insurance policies placed in Mar-23.</v>
          </cell>
          <cell r="G280">
            <v>8049.16</v>
          </cell>
          <cell r="H280">
            <v>1227.8399999999999</v>
          </cell>
          <cell r="I280">
            <v>6821.32</v>
          </cell>
        </row>
        <row r="281">
          <cell r="E281" t="str">
            <v>LUD/23-24/09</v>
          </cell>
          <cell r="F281" t="str">
            <v>being brokerage booked on insurance policies placed in Mar-23.</v>
          </cell>
          <cell r="G281">
            <v>22142.66</v>
          </cell>
          <cell r="H281">
            <v>3377.7</v>
          </cell>
          <cell r="I281">
            <v>18764.96</v>
          </cell>
        </row>
        <row r="282">
          <cell r="E282" t="str">
            <v>MUM/23-24/95</v>
          </cell>
          <cell r="F282" t="str">
            <v>being reward booked on insurance policies placed in Mar-23.</v>
          </cell>
          <cell r="G282">
            <v>96355.09</v>
          </cell>
          <cell r="H282">
            <v>14698.24</v>
          </cell>
          <cell r="I282">
            <v>81656.850000000006</v>
          </cell>
        </row>
        <row r="283">
          <cell r="E283" t="str">
            <v>MUM/23-24/96</v>
          </cell>
          <cell r="F283" t="str">
            <v>being reward booked on insurance policies placed in Mar-23.</v>
          </cell>
          <cell r="G283">
            <v>19327.22</v>
          </cell>
          <cell r="H283">
            <v>2948.22</v>
          </cell>
          <cell r="I283">
            <v>16379</v>
          </cell>
        </row>
        <row r="284">
          <cell r="E284" t="str">
            <v>MUM/23-24/97</v>
          </cell>
          <cell r="F284" t="str">
            <v>being brokerage booked on insurance policies placed in Mar-23.</v>
          </cell>
          <cell r="G284">
            <v>6883990.9800000004</v>
          </cell>
          <cell r="H284">
            <v>1050100.32</v>
          </cell>
          <cell r="I284">
            <v>5833890.6600000001</v>
          </cell>
        </row>
        <row r="285">
          <cell r="E285" t="str">
            <v>MUM/23-24/98</v>
          </cell>
          <cell r="F285" t="str">
            <v>being brokerage booked on insurance poliices placed in Mar-23</v>
          </cell>
          <cell r="G285">
            <v>17789593.039999999</v>
          </cell>
          <cell r="H285">
            <v>2713666.74</v>
          </cell>
          <cell r="I285">
            <v>15075926.300000001</v>
          </cell>
        </row>
        <row r="286">
          <cell r="E286" t="str">
            <v>MUM/23-24/99</v>
          </cell>
          <cell r="F286" t="str">
            <v>being brokerage booked on insurnace polices placed in Mar-23.</v>
          </cell>
          <cell r="G286">
            <v>34006.82</v>
          </cell>
          <cell r="H286">
            <v>5187.4799999999996</v>
          </cell>
          <cell r="I286">
            <v>28819.34</v>
          </cell>
        </row>
        <row r="287">
          <cell r="E287" t="str">
            <v>MUM/23-24/100</v>
          </cell>
          <cell r="F287" t="str">
            <v>being brokerage booked on insurance policy placed in Mar-23</v>
          </cell>
          <cell r="G287">
            <v>38550.6</v>
          </cell>
          <cell r="H287">
            <v>5880.6</v>
          </cell>
          <cell r="I287">
            <v>32670</v>
          </cell>
        </row>
        <row r="288">
          <cell r="E288" t="str">
            <v>MUM/23-24/101</v>
          </cell>
          <cell r="F288" t="str">
            <v>being reward booked on insurance policies placed in Feb-23 &amp; Mar-23.</v>
          </cell>
          <cell r="G288">
            <v>509850.5</v>
          </cell>
          <cell r="H288">
            <v>77773.8</v>
          </cell>
          <cell r="I288">
            <v>432076.7</v>
          </cell>
        </row>
        <row r="289">
          <cell r="E289" t="str">
            <v>MUM/23-24/102</v>
          </cell>
          <cell r="F289" t="str">
            <v>being brokerage booked on insurance policy placed in Mar-23</v>
          </cell>
          <cell r="G289">
            <v>2903105.2</v>
          </cell>
          <cell r="H289">
            <v>442846.56</v>
          </cell>
          <cell r="I289">
            <v>2460258.64</v>
          </cell>
        </row>
        <row r="290">
          <cell r="E290" t="str">
            <v>MUM/23-24/103</v>
          </cell>
          <cell r="F290" t="str">
            <v>being brokerage booked on insurance policy placed in Mar-23</v>
          </cell>
          <cell r="G290">
            <v>872.96</v>
          </cell>
          <cell r="H290">
            <v>133.16</v>
          </cell>
          <cell r="I290">
            <v>739.8</v>
          </cell>
        </row>
        <row r="291">
          <cell r="E291" t="str">
            <v>MUM/23-24/104</v>
          </cell>
          <cell r="F291" t="str">
            <v>being reward booked on insurance policy placed in Mar-23</v>
          </cell>
          <cell r="G291">
            <v>522024.53</v>
          </cell>
          <cell r="H291">
            <v>79630.86</v>
          </cell>
          <cell r="I291">
            <v>442393.67</v>
          </cell>
        </row>
        <row r="292">
          <cell r="E292" t="str">
            <v>MUM/23-24/105</v>
          </cell>
          <cell r="F292" t="str">
            <v>being brokerage booked on insurance policy placed in Mar-23</v>
          </cell>
          <cell r="G292">
            <v>880328.56</v>
          </cell>
          <cell r="H292">
            <v>134287.4</v>
          </cell>
          <cell r="I292">
            <v>746041.16</v>
          </cell>
        </row>
        <row r="293">
          <cell r="E293" t="str">
            <v>MUM/23-24/106</v>
          </cell>
          <cell r="F293" t="str">
            <v>being brokerage booked on insurance policies placed in Mar-23.</v>
          </cell>
          <cell r="G293">
            <v>2507245.7799999998</v>
          </cell>
          <cell r="H293">
            <v>382461.22</v>
          </cell>
          <cell r="I293">
            <v>2124784.56</v>
          </cell>
        </row>
        <row r="294">
          <cell r="E294" t="str">
            <v>MUM/23-24/107</v>
          </cell>
          <cell r="F294" t="str">
            <v>being reward booked on insurance policy placed in Mar-23</v>
          </cell>
          <cell r="G294">
            <v>123650.49</v>
          </cell>
          <cell r="H294">
            <v>18861.939999999999</v>
          </cell>
          <cell r="I294">
            <v>104788.55</v>
          </cell>
        </row>
        <row r="295">
          <cell r="E295" t="str">
            <v>MUM/23-24/108</v>
          </cell>
          <cell r="F295" t="str">
            <v>being brokerage booked on insurance policies placed in Mar-23.</v>
          </cell>
          <cell r="G295">
            <v>79862.399999999994</v>
          </cell>
          <cell r="H295">
            <v>12182.4</v>
          </cell>
          <cell r="I295">
            <v>67680</v>
          </cell>
        </row>
        <row r="296">
          <cell r="E296" t="str">
            <v>MUM/23-24/109</v>
          </cell>
          <cell r="F296" t="str">
            <v>being brokerage booked on insurance policies placed in Mar-23.</v>
          </cell>
          <cell r="G296">
            <v>178824.93</v>
          </cell>
          <cell r="H296">
            <v>27278.38</v>
          </cell>
          <cell r="I296">
            <v>151546.54999999999</v>
          </cell>
        </row>
        <row r="297">
          <cell r="E297" t="str">
            <v>MUM/23-24/110</v>
          </cell>
          <cell r="F297" t="str">
            <v>being brokerage booked on insurance policies placed in Mar-23.</v>
          </cell>
          <cell r="G297">
            <v>38409.71</v>
          </cell>
          <cell r="H297">
            <v>5859.1</v>
          </cell>
          <cell r="I297">
            <v>32550.61</v>
          </cell>
        </row>
        <row r="298">
          <cell r="E298" t="str">
            <v>MUM/23-24/111</v>
          </cell>
          <cell r="F298" t="str">
            <v>being brokerage booked on insurance policies placed in Mar-23.</v>
          </cell>
          <cell r="G298">
            <v>29241.66</v>
          </cell>
          <cell r="H298">
            <v>4460.6000000000004</v>
          </cell>
          <cell r="I298">
            <v>24781.06</v>
          </cell>
        </row>
        <row r="299">
          <cell r="E299" t="str">
            <v>MUM/23-24/112</v>
          </cell>
          <cell r="F299" t="str">
            <v>being brokerage booked on insurance policies placed in Mar-23.</v>
          </cell>
          <cell r="G299">
            <v>292050</v>
          </cell>
          <cell r="H299">
            <v>44550</v>
          </cell>
          <cell r="I299">
            <v>247500</v>
          </cell>
        </row>
        <row r="300">
          <cell r="E300" t="str">
            <v>PUN/23-24/11</v>
          </cell>
          <cell r="F300" t="str">
            <v>being brokerage booked on insurance policies placed in Mar-23.</v>
          </cell>
          <cell r="G300">
            <v>3646.91</v>
          </cell>
          <cell r="H300">
            <v>556.29999999999995</v>
          </cell>
          <cell r="I300">
            <v>3090.61</v>
          </cell>
        </row>
        <row r="301">
          <cell r="E301" t="str">
            <v>MUM/23-24/113</v>
          </cell>
          <cell r="F301" t="str">
            <v>being brokerage booked on insurance policies placed in Q4 22-23.</v>
          </cell>
          <cell r="G301">
            <v>869679.54</v>
          </cell>
          <cell r="H301">
            <v>132662.98000000001</v>
          </cell>
          <cell r="I301">
            <v>737016.56</v>
          </cell>
        </row>
        <row r="302">
          <cell r="E302" t="str">
            <v>BLR/23-24/41</v>
          </cell>
          <cell r="F302" t="str">
            <v>being brokerage booked on insurance policies placed in Feb - 23</v>
          </cell>
          <cell r="G302">
            <v>121032.12</v>
          </cell>
          <cell r="H302">
            <v>18462.52</v>
          </cell>
          <cell r="I302">
            <v>102569.60000000001</v>
          </cell>
        </row>
        <row r="303">
          <cell r="E303" t="str">
            <v>BLR/23-24/42</v>
          </cell>
          <cell r="F303" t="str">
            <v>being brokerage booked on insurance policies placed in Apr-23</v>
          </cell>
          <cell r="G303">
            <v>2686.74</v>
          </cell>
          <cell r="H303">
            <v>409.84</v>
          </cell>
          <cell r="I303">
            <v>2276.9</v>
          </cell>
        </row>
        <row r="304">
          <cell r="E304" t="str">
            <v>CHN/23-24/31</v>
          </cell>
          <cell r="F304" t="str">
            <v>being brokerage booked on insurance policies placed in Feb - 23</v>
          </cell>
          <cell r="G304">
            <v>79754.09</v>
          </cell>
          <cell r="H304">
            <v>12165.88</v>
          </cell>
          <cell r="I304">
            <v>67588.210000000006</v>
          </cell>
        </row>
        <row r="305">
          <cell r="E305" t="str">
            <v>GGN/23-24/79</v>
          </cell>
          <cell r="F305" t="str">
            <v>being brokerage booked on insurance policies placed in Feb-23</v>
          </cell>
          <cell r="G305">
            <v>320943.11</v>
          </cell>
          <cell r="H305">
            <v>48957.42</v>
          </cell>
          <cell r="I305">
            <v>271985.69</v>
          </cell>
        </row>
        <row r="306">
          <cell r="E306" t="str">
            <v>MUM/23-24/114</v>
          </cell>
          <cell r="F306" t="str">
            <v>being brokerage booked on insurance policies placed in Feb - 23</v>
          </cell>
          <cell r="G306">
            <v>11490.58</v>
          </cell>
          <cell r="H306">
            <v>1752.8</v>
          </cell>
          <cell r="I306">
            <v>9737.7800000000007</v>
          </cell>
        </row>
        <row r="307">
          <cell r="E307" t="str">
            <v>BLR/23-24/43</v>
          </cell>
          <cell r="F307" t="str">
            <v>being reward booked on insurance poliices placed in Mar-23</v>
          </cell>
          <cell r="G307">
            <v>533927.23</v>
          </cell>
          <cell r="H307">
            <v>81446.52</v>
          </cell>
          <cell r="I307">
            <v>452480.71</v>
          </cell>
        </row>
        <row r="308">
          <cell r="E308" t="str">
            <v>BLR/23-24/44</v>
          </cell>
          <cell r="F308" t="str">
            <v>being reward booked on insurance policies placed in Mar-23</v>
          </cell>
          <cell r="G308">
            <v>585409.14</v>
          </cell>
          <cell r="H308">
            <v>89299.7</v>
          </cell>
          <cell r="I308">
            <v>496109.44</v>
          </cell>
        </row>
        <row r="309">
          <cell r="E309" t="str">
            <v>GGN/23-24/80</v>
          </cell>
          <cell r="F309" t="str">
            <v>being reward booked on insurance policies placed in month Feb-23</v>
          </cell>
          <cell r="G309">
            <v>347410.83</v>
          </cell>
          <cell r="H309">
            <v>52994.87</v>
          </cell>
          <cell r="I309">
            <v>294415.96000000002</v>
          </cell>
        </row>
        <row r="310">
          <cell r="E310" t="str">
            <v>GGN/23-24/81</v>
          </cell>
          <cell r="F310" t="str">
            <v>being reward booked on insurance policies placed in month Feb-23</v>
          </cell>
          <cell r="G310">
            <v>229587.57</v>
          </cell>
          <cell r="H310">
            <v>35021.83</v>
          </cell>
          <cell r="I310">
            <v>194565.74</v>
          </cell>
        </row>
        <row r="311">
          <cell r="E311" t="str">
            <v>GGN/23-24/82</v>
          </cell>
          <cell r="F311" t="str">
            <v>being reward booked on insurance policies placed in month Feb-23</v>
          </cell>
          <cell r="G311">
            <v>594.24</v>
          </cell>
          <cell r="H311">
            <v>90.65</v>
          </cell>
          <cell r="I311">
            <v>503.59</v>
          </cell>
        </row>
        <row r="312">
          <cell r="E312" t="str">
            <v>GGN/23-24/83</v>
          </cell>
          <cell r="F312" t="str">
            <v>being reward booked on insurance policies placed in month Feb-23</v>
          </cell>
          <cell r="G312">
            <v>64737.62</v>
          </cell>
          <cell r="H312">
            <v>9875.23</v>
          </cell>
          <cell r="I312">
            <v>54862.39</v>
          </cell>
        </row>
        <row r="313">
          <cell r="E313" t="str">
            <v>GGN/23-24/84</v>
          </cell>
          <cell r="F313" t="str">
            <v>being reward booked on insurance policies placed in Mar-23</v>
          </cell>
          <cell r="G313">
            <v>69815.88</v>
          </cell>
          <cell r="H313">
            <v>10649.88</v>
          </cell>
          <cell r="I313">
            <v>59166</v>
          </cell>
        </row>
        <row r="314">
          <cell r="E314" t="str">
            <v>GGN/23-24/85</v>
          </cell>
          <cell r="F314" t="str">
            <v>being reward booked on insurance policies placed in Mar-23</v>
          </cell>
          <cell r="G314">
            <v>74850.740000000005</v>
          </cell>
          <cell r="H314">
            <v>11417.91</v>
          </cell>
          <cell r="I314">
            <v>63432.83</v>
          </cell>
        </row>
        <row r="315">
          <cell r="E315" t="str">
            <v>GGN/23-24/86</v>
          </cell>
          <cell r="F315" t="str">
            <v>being reward booked on insurance policies placed in Mar-23</v>
          </cell>
          <cell r="G315">
            <v>1454600.81</v>
          </cell>
          <cell r="H315">
            <v>221888.26</v>
          </cell>
          <cell r="I315">
            <v>1232712.55</v>
          </cell>
        </row>
        <row r="316">
          <cell r="E316" t="str">
            <v>GGN/23-24/87</v>
          </cell>
          <cell r="F316" t="str">
            <v>being reward booked on insurance policies placed in Mar-23</v>
          </cell>
          <cell r="G316">
            <v>131668.84</v>
          </cell>
          <cell r="H316">
            <v>20085.080000000002</v>
          </cell>
          <cell r="I316">
            <v>111583.76</v>
          </cell>
        </row>
        <row r="317">
          <cell r="E317" t="str">
            <v>GGN/23-24/88</v>
          </cell>
          <cell r="F317" t="str">
            <v>being reward booked on insurance policies placed in Mar-23</v>
          </cell>
          <cell r="G317">
            <v>24530.67</v>
          </cell>
          <cell r="H317">
            <v>3741.97</v>
          </cell>
          <cell r="I317">
            <v>20788.7</v>
          </cell>
        </row>
        <row r="318">
          <cell r="E318" t="str">
            <v>GGN/23-24/89</v>
          </cell>
          <cell r="F318" t="str">
            <v>being brokerage booked on insurance policies placed in Apr-23</v>
          </cell>
          <cell r="G318">
            <v>68218.75</v>
          </cell>
          <cell r="H318">
            <v>10406.25</v>
          </cell>
          <cell r="I318">
            <v>57812.5</v>
          </cell>
        </row>
        <row r="319">
          <cell r="E319" t="str">
            <v>HYD/23-24/20</v>
          </cell>
          <cell r="F319" t="str">
            <v>being reward booked on insurance policies placed in Mar-23</v>
          </cell>
          <cell r="G319">
            <v>7037.95</v>
          </cell>
          <cell r="H319">
            <v>1073.58</v>
          </cell>
          <cell r="I319">
            <v>5964.37</v>
          </cell>
        </row>
        <row r="320">
          <cell r="E320" t="str">
            <v>LUD/23-24/10</v>
          </cell>
          <cell r="F320" t="str">
            <v>being reward booked on insurance policies placed in month Feb-23</v>
          </cell>
          <cell r="G320">
            <v>130996.67</v>
          </cell>
          <cell r="H320">
            <v>19982.54</v>
          </cell>
          <cell r="I320">
            <v>111014.13</v>
          </cell>
        </row>
        <row r="321">
          <cell r="E321" t="str">
            <v>LUD/23-24/11</v>
          </cell>
          <cell r="F321" t="str">
            <v>being reward booked on insurance policies placed in Mar-23</v>
          </cell>
          <cell r="G321">
            <v>159.04</v>
          </cell>
          <cell r="H321">
            <v>24.26</v>
          </cell>
          <cell r="I321">
            <v>134.78</v>
          </cell>
        </row>
        <row r="322">
          <cell r="E322" t="str">
            <v>MUM/23-24/115</v>
          </cell>
          <cell r="F322" t="str">
            <v>being reward booked on insurance policies placed in month Feb-23</v>
          </cell>
          <cell r="G322">
            <v>604626.22</v>
          </cell>
          <cell r="H322">
            <v>92231.12</v>
          </cell>
          <cell r="I322">
            <v>512395.1</v>
          </cell>
        </row>
        <row r="323">
          <cell r="E323" t="str">
            <v>MUM/23-24/116</v>
          </cell>
          <cell r="F323" t="str">
            <v>being brokerage booked on insurance policies placed in Apr-23.</v>
          </cell>
          <cell r="G323">
            <v>56536.02</v>
          </cell>
          <cell r="H323">
            <v>8624.14</v>
          </cell>
          <cell r="I323">
            <v>47911.88</v>
          </cell>
        </row>
        <row r="324">
          <cell r="E324" t="str">
            <v>MUM/23-24/117</v>
          </cell>
          <cell r="F324" t="str">
            <v>being reward booked on insurance policies placed in Mar-23</v>
          </cell>
          <cell r="G324">
            <v>126619.22</v>
          </cell>
          <cell r="H324">
            <v>19314.8</v>
          </cell>
          <cell r="I324">
            <v>107304.42</v>
          </cell>
        </row>
        <row r="325">
          <cell r="E325" t="str">
            <v>MUM/23-24/118</v>
          </cell>
          <cell r="F325" t="str">
            <v>being reward booked on insurance policies placed in Mar-23</v>
          </cell>
          <cell r="G325">
            <v>345651.5</v>
          </cell>
          <cell r="H325">
            <v>52726.5</v>
          </cell>
          <cell r="I325">
            <v>292925</v>
          </cell>
        </row>
        <row r="326">
          <cell r="E326" t="str">
            <v>MUM/23-24/119</v>
          </cell>
          <cell r="F326" t="str">
            <v>being reward booked on insurance policies placed in Mar-23</v>
          </cell>
          <cell r="G326">
            <v>4151.5200000000004</v>
          </cell>
          <cell r="H326">
            <v>633.28</v>
          </cell>
          <cell r="I326">
            <v>3518.24</v>
          </cell>
        </row>
        <row r="327">
          <cell r="E327" t="str">
            <v>BLR/23-24/45</v>
          </cell>
          <cell r="F327" t="str">
            <v>being brokerage booked on insurance policies placed in Apr-23.</v>
          </cell>
          <cell r="G327">
            <v>296.58999999999997</v>
          </cell>
          <cell r="H327">
            <v>45.24</v>
          </cell>
          <cell r="I327">
            <v>251.35</v>
          </cell>
        </row>
        <row r="328">
          <cell r="E328" t="str">
            <v>GGN/23-24/90</v>
          </cell>
          <cell r="F328" t="str">
            <v>being brokerage booked on insurance policies placed in Apr-23</v>
          </cell>
          <cell r="G328">
            <v>5.35</v>
          </cell>
          <cell r="H328">
            <v>0.82</v>
          </cell>
          <cell r="I328">
            <v>4.53</v>
          </cell>
        </row>
        <row r="329">
          <cell r="E329" t="str">
            <v>GGN/23-24/91</v>
          </cell>
          <cell r="F329" t="str">
            <v>being brokerage booked on insurance policies placed in Apr-23</v>
          </cell>
          <cell r="G329">
            <v>87892.61</v>
          </cell>
          <cell r="H329">
            <v>13407.35</v>
          </cell>
          <cell r="I329">
            <v>74485.259999999995</v>
          </cell>
        </row>
        <row r="330">
          <cell r="E330" t="str">
            <v>GGN/23-24/92</v>
          </cell>
          <cell r="F330" t="str">
            <v>being brokerage booked on insurance policies placed in Mar-23</v>
          </cell>
          <cell r="G330">
            <v>63004.92</v>
          </cell>
          <cell r="H330">
            <v>9610.92</v>
          </cell>
          <cell r="I330">
            <v>53394</v>
          </cell>
        </row>
        <row r="331">
          <cell r="E331" t="str">
            <v>HYD/23-24/21</v>
          </cell>
          <cell r="F331" t="str">
            <v>being brokerage booked on insurance policies placed in Apr-23.</v>
          </cell>
          <cell r="G331">
            <v>113.32</v>
          </cell>
          <cell r="H331">
            <v>17.28</v>
          </cell>
          <cell r="I331">
            <v>96.04</v>
          </cell>
        </row>
        <row r="332">
          <cell r="E332" t="str">
            <v>MUM/23-24/120</v>
          </cell>
          <cell r="F332" t="str">
            <v>being brokerage booked on insurance policies placed in Apr-23.</v>
          </cell>
          <cell r="G332">
            <v>20967.71</v>
          </cell>
          <cell r="H332">
            <v>3198.46</v>
          </cell>
          <cell r="I332">
            <v>17769.25</v>
          </cell>
        </row>
        <row r="333">
          <cell r="E333" t="str">
            <v>MUM/23-24/121</v>
          </cell>
          <cell r="F333" t="str">
            <v>being brokerage booked on insurance policies placed in Mar-23</v>
          </cell>
          <cell r="G333">
            <v>9102.18</v>
          </cell>
          <cell r="H333">
            <v>1388.46</v>
          </cell>
          <cell r="I333">
            <v>7713.72</v>
          </cell>
        </row>
        <row r="334">
          <cell r="E334" t="str">
            <v>MUM/23-24/122</v>
          </cell>
          <cell r="F334" t="str">
            <v>being brokerage booked on insurance policies placed in Apr-23.</v>
          </cell>
          <cell r="G334">
            <v>298800.53999999998</v>
          </cell>
          <cell r="H334">
            <v>45579.74</v>
          </cell>
          <cell r="I334">
            <v>253220.8</v>
          </cell>
        </row>
        <row r="335">
          <cell r="E335" t="str">
            <v>MUM/23-24/123</v>
          </cell>
          <cell r="F335" t="str">
            <v>being Motor car sold Verna - VTVT SX AT 1.6BSIV Sleek Silver.</v>
          </cell>
          <cell r="G335">
            <v>45000</v>
          </cell>
          <cell r="I335">
            <v>45000</v>
          </cell>
        </row>
        <row r="336">
          <cell r="E336" t="str">
            <v>MUM/23-24/124</v>
          </cell>
          <cell r="F336" t="str">
            <v>being RI brokerage booked ; Cedant : Bajaj Allianz General Insurance Co Ltd &amp; The New India Assurance Co Ltd; Insured: Narmada Hydroelectric Development Corporation Ltd ; policy period: 25.12.2022 to 24.12.2022</v>
          </cell>
          <cell r="G336">
            <v>165300.29999999999</v>
          </cell>
          <cell r="H336">
            <v>25215.3</v>
          </cell>
          <cell r="I336">
            <v>140085</v>
          </cell>
        </row>
        <row r="337">
          <cell r="E337" t="str">
            <v>MUM/23-24/125</v>
          </cell>
          <cell r="F337" t="str">
            <v>being RI brokerage booked ; Cedant : Pragati Insurance Limited ; Insured: Service Engine Ltd ; policy period: 26.12.2022 to 25.12.2023</v>
          </cell>
          <cell r="G337">
            <v>926486.44</v>
          </cell>
          <cell r="H337">
            <v>141328.44</v>
          </cell>
          <cell r="I337">
            <v>785158</v>
          </cell>
        </row>
        <row r="338">
          <cell r="E338" t="str">
            <v>MUM/23-24/126</v>
          </cell>
          <cell r="F338" t="str">
            <v>being RI brokerage booked ; Cedant: Phoenix Companhia de Seguros De Moçambique, S. A ;  Insured: Treaty  ; policy period: 12.02.2023 to 20.02.2024</v>
          </cell>
          <cell r="G338">
            <v>115952.7</v>
          </cell>
          <cell r="H338">
            <v>17687.7</v>
          </cell>
          <cell r="I338">
            <v>98265</v>
          </cell>
        </row>
        <row r="339">
          <cell r="E339" t="str">
            <v>PUN/23-24/12</v>
          </cell>
          <cell r="F339" t="str">
            <v>being brokerage booked on insurance policies placed in Apr-23.</v>
          </cell>
          <cell r="G339">
            <v>12971.87</v>
          </cell>
          <cell r="H339">
            <v>1978.76</v>
          </cell>
          <cell r="I339">
            <v>10993.11</v>
          </cell>
        </row>
        <row r="340">
          <cell r="E340" t="str">
            <v>GGN/23-24/93</v>
          </cell>
          <cell r="F340" t="str">
            <v>being reward booked on insurance policies placed in Mar-23</v>
          </cell>
          <cell r="G340">
            <v>9126.57</v>
          </cell>
          <cell r="H340">
            <v>1392.19</v>
          </cell>
          <cell r="I340">
            <v>7734.38</v>
          </cell>
        </row>
        <row r="341">
          <cell r="E341" t="str">
            <v>MUM/23-24/127</v>
          </cell>
          <cell r="F341" t="str">
            <v>being reward booked on insurance policies placed in Mar-23. GST is not payable under reverse charge  on these services. The invoice is issued as per Section 31 of the CGST Act.</v>
          </cell>
          <cell r="G341">
            <v>5083139.0999999996</v>
          </cell>
          <cell r="H341">
            <v>775394.1</v>
          </cell>
          <cell r="I341">
            <v>4307745</v>
          </cell>
        </row>
        <row r="342">
          <cell r="E342" t="str">
            <v>MUM/23-24/128</v>
          </cell>
          <cell r="F342" t="str">
            <v>being brokerage booked on insurance policy placed in Mar-23</v>
          </cell>
          <cell r="G342">
            <v>1422.55</v>
          </cell>
          <cell r="H342">
            <v>217</v>
          </cell>
          <cell r="I342">
            <v>1205.55</v>
          </cell>
        </row>
        <row r="343">
          <cell r="E343" t="str">
            <v>MUM/23-24/129</v>
          </cell>
          <cell r="F343" t="str">
            <v>being reward booked on insurance policy placed in Mar-23</v>
          </cell>
          <cell r="G343">
            <v>677827.26</v>
          </cell>
          <cell r="H343">
            <v>103397.38</v>
          </cell>
          <cell r="I343">
            <v>574429.88</v>
          </cell>
        </row>
        <row r="344">
          <cell r="E344" t="str">
            <v>MUM/23-24/130</v>
          </cell>
          <cell r="F344" t="str">
            <v>being reward booked on insurance policies placed in month Mar-23. Some error as IRN no not showing.</v>
          </cell>
          <cell r="G344">
            <v>30324.080000000002</v>
          </cell>
          <cell r="H344">
            <v>4625.7</v>
          </cell>
          <cell r="I344">
            <v>25698.38</v>
          </cell>
        </row>
        <row r="345">
          <cell r="E345" t="str">
            <v>MUM/23-24/131</v>
          </cell>
          <cell r="F345" t="str">
            <v>being reward booked on insurance policies placed in month Mar-23.</v>
          </cell>
          <cell r="G345">
            <v>30324.080000000002</v>
          </cell>
          <cell r="H345">
            <v>4625.7</v>
          </cell>
          <cell r="I345">
            <v>25698.38</v>
          </cell>
        </row>
        <row r="346">
          <cell r="E346" t="str">
            <v>MUM/23-24/132</v>
          </cell>
          <cell r="F346" t="str">
            <v>being brokerage booked on insurance policy placed in Mar-23</v>
          </cell>
          <cell r="G346">
            <v>3282853.89</v>
          </cell>
          <cell r="H346">
            <v>500774.32</v>
          </cell>
          <cell r="I346">
            <v>2782079.57</v>
          </cell>
        </row>
        <row r="347">
          <cell r="E347" t="str">
            <v>MUM/23-24/133</v>
          </cell>
          <cell r="F347" t="str">
            <v>being reward booked on insurance policies placed in FY 2022-23.</v>
          </cell>
          <cell r="G347">
            <v>390404.97</v>
          </cell>
          <cell r="H347">
            <v>59553.3</v>
          </cell>
          <cell r="I347">
            <v>330851.67</v>
          </cell>
        </row>
        <row r="348">
          <cell r="E348" t="str">
            <v>BLR/23-24/46</v>
          </cell>
          <cell r="F348" t="str">
            <v>Being fees invoice raised for Broking Services for period 01-04-22 to 31-03-23. (RM Maneesh Golchha).</v>
          </cell>
          <cell r="G348">
            <v>80291.92</v>
          </cell>
          <cell r="H348">
            <v>12247.92</v>
          </cell>
          <cell r="I348">
            <v>68044</v>
          </cell>
        </row>
        <row r="349">
          <cell r="E349" t="str">
            <v>BLR/23-24/47</v>
          </cell>
          <cell r="F349" t="str">
            <v>Being fees invoice raised for Broking Services for period 01-04-22 to 31-03-23. (RM Maneesh Golchha). LUT Ref No. AD2904230236924.</v>
          </cell>
          <cell r="G349">
            <v>68044</v>
          </cell>
          <cell r="I349">
            <v>68044</v>
          </cell>
        </row>
        <row r="350">
          <cell r="E350" t="str">
            <v>BLR/23-24/48</v>
          </cell>
          <cell r="F350" t="str">
            <v>being brokerage booked on insurance policies placed in Mar-23</v>
          </cell>
          <cell r="G350">
            <v>1199439.8899999999</v>
          </cell>
          <cell r="H350">
            <v>182965.4</v>
          </cell>
          <cell r="I350">
            <v>1016474.49</v>
          </cell>
        </row>
        <row r="351">
          <cell r="E351" t="str">
            <v>GGN/23-24/94</v>
          </cell>
          <cell r="F351" t="str">
            <v>being brokerage booked on insurance policies placed in Feb-23</v>
          </cell>
          <cell r="G351">
            <v>2576433.9500000002</v>
          </cell>
          <cell r="H351">
            <v>393015.35</v>
          </cell>
          <cell r="I351">
            <v>2183418.6</v>
          </cell>
        </row>
        <row r="352">
          <cell r="E352" t="str">
            <v>GGN/23-24/95</v>
          </cell>
          <cell r="F352" t="str">
            <v>Being fees invoice raised for Broking Services for period 01-04-22 to 31-03-23. (RM Maneesh Golchha).</v>
          </cell>
          <cell r="G352">
            <v>182173.12</v>
          </cell>
          <cell r="H352">
            <v>27789.119999999999</v>
          </cell>
          <cell r="I352">
            <v>154384</v>
          </cell>
        </row>
        <row r="353">
          <cell r="E353" t="str">
            <v>GGN/23-24/96</v>
          </cell>
          <cell r="F353" t="str">
            <v>Being fees invoice raised for Broking Services for period 01-04-22 to 31-03-23. (RM Maneesh Golchha).</v>
          </cell>
          <cell r="G353">
            <v>121.54</v>
          </cell>
          <cell r="H353">
            <v>18.54</v>
          </cell>
          <cell r="I353">
            <v>103</v>
          </cell>
        </row>
        <row r="354">
          <cell r="E354" t="str">
            <v>GGN/23-24/97</v>
          </cell>
          <cell r="F354" t="str">
            <v>being brokerage booked on insurance policies placed in Mar-23</v>
          </cell>
          <cell r="G354">
            <v>7788</v>
          </cell>
          <cell r="H354">
            <v>1188</v>
          </cell>
          <cell r="I354">
            <v>6600</v>
          </cell>
        </row>
        <row r="355">
          <cell r="E355" t="str">
            <v>GGN/23-24/98</v>
          </cell>
          <cell r="F355" t="str">
            <v>being brokerage booked on insurance policies placed in Mar-23</v>
          </cell>
          <cell r="G355">
            <v>86125.33</v>
          </cell>
          <cell r="H355">
            <v>13137.76</v>
          </cell>
          <cell r="I355">
            <v>72987.570000000007</v>
          </cell>
        </row>
        <row r="356">
          <cell r="E356" t="str">
            <v>GGN/23-24/99</v>
          </cell>
          <cell r="F356" t="str">
            <v>being brokerage booked on insurance policies placed in Mar-23</v>
          </cell>
          <cell r="G356">
            <v>3894134.7</v>
          </cell>
          <cell r="H356">
            <v>594020.55000000005</v>
          </cell>
          <cell r="I356">
            <v>3300114.15</v>
          </cell>
        </row>
        <row r="357">
          <cell r="E357" t="str">
            <v>GGN/23-24/100</v>
          </cell>
          <cell r="F357" t="str">
            <v>being brokerage booked on insurance policies placed in Mar-23</v>
          </cell>
          <cell r="G357">
            <v>33563.18</v>
          </cell>
          <cell r="H357">
            <v>5119.8100000000004</v>
          </cell>
          <cell r="I357">
            <v>28443.37</v>
          </cell>
        </row>
        <row r="358">
          <cell r="E358" t="str">
            <v>GGN/23-24/101</v>
          </cell>
          <cell r="F358" t="str">
            <v>being brokerage booked on insurance policies placed in Mar-23</v>
          </cell>
          <cell r="G358">
            <v>113198.25</v>
          </cell>
          <cell r="H358">
            <v>17267.53</v>
          </cell>
          <cell r="I358">
            <v>95930.72</v>
          </cell>
        </row>
        <row r="359">
          <cell r="E359" t="str">
            <v>GGN/23-24/102</v>
          </cell>
          <cell r="F359" t="str">
            <v>being brokerage booked on insurance policies placed in Mar-23</v>
          </cell>
          <cell r="G359">
            <v>98327.16</v>
          </cell>
          <cell r="H359">
            <v>14999.06</v>
          </cell>
          <cell r="I359">
            <v>83328.100000000006</v>
          </cell>
        </row>
        <row r="360">
          <cell r="E360" t="str">
            <v>HYD/23-24/22</v>
          </cell>
          <cell r="F360" t="str">
            <v>being brokerage booked on insurance policies placed in Mar-23</v>
          </cell>
          <cell r="G360">
            <v>32421.3</v>
          </cell>
          <cell r="H360">
            <v>4945.62</v>
          </cell>
          <cell r="I360">
            <v>27475.68</v>
          </cell>
        </row>
        <row r="361">
          <cell r="E361" t="str">
            <v>LUD/23-24/12</v>
          </cell>
          <cell r="F361" t="str">
            <v>being brokerage booked on insurance policies placed in Mar-23</v>
          </cell>
          <cell r="G361">
            <v>632.37</v>
          </cell>
          <cell r="H361">
            <v>96.46</v>
          </cell>
          <cell r="I361">
            <v>535.91</v>
          </cell>
        </row>
        <row r="362">
          <cell r="E362" t="str">
            <v>MUM/23-24/134</v>
          </cell>
          <cell r="F362" t="str">
            <v>being brokerage booked on insurance policies placed in Apr-23</v>
          </cell>
          <cell r="G362">
            <v>79071.22</v>
          </cell>
          <cell r="H362">
            <v>12061.72</v>
          </cell>
          <cell r="I362">
            <v>67009.5</v>
          </cell>
        </row>
        <row r="363">
          <cell r="E363" t="str">
            <v>MUM/23-24/135</v>
          </cell>
          <cell r="F363" t="str">
            <v>being brokerage booked on insurance policies placed in Mar-23</v>
          </cell>
          <cell r="G363">
            <v>4772289.49</v>
          </cell>
          <cell r="H363">
            <v>727976.36</v>
          </cell>
          <cell r="I363">
            <v>4044313.13</v>
          </cell>
        </row>
        <row r="364">
          <cell r="E364" t="str">
            <v>MUM/23-24/136</v>
          </cell>
          <cell r="F364" t="str">
            <v>being brokerage booked on insurance policies placed in Mar-23</v>
          </cell>
          <cell r="G364">
            <v>1215864.1000000001</v>
          </cell>
          <cell r="H364">
            <v>185470.8</v>
          </cell>
          <cell r="I364">
            <v>1030393.3</v>
          </cell>
        </row>
        <row r="365">
          <cell r="E365" t="str">
            <v>MUM/23-24/137</v>
          </cell>
          <cell r="F365" t="str">
            <v>being brokerage booked on insurance policies placed in Mar-23</v>
          </cell>
          <cell r="G365">
            <v>691303</v>
          </cell>
          <cell r="H365">
            <v>105453</v>
          </cell>
          <cell r="I365">
            <v>585850</v>
          </cell>
        </row>
        <row r="366">
          <cell r="E366" t="str">
            <v>BLR/23-24/49</v>
          </cell>
          <cell r="F366" t="str">
            <v>Being fees invoice raised for Broking Services for period 01-04-22 to 31-03-23. (RM Maneesh Golchha). LUT Ref No. AD2904230236924.</v>
          </cell>
          <cell r="G366">
            <v>277469</v>
          </cell>
          <cell r="I366">
            <v>277469</v>
          </cell>
        </row>
        <row r="367">
          <cell r="E367" t="str">
            <v>MUM/23-24/138</v>
          </cell>
          <cell r="F367" t="str">
            <v>being brokerage booked on insurance policies placed in Apr-23</v>
          </cell>
          <cell r="G367">
            <v>1049.0999999999999</v>
          </cell>
          <cell r="H367">
            <v>160.04</v>
          </cell>
          <cell r="I367">
            <v>889.06</v>
          </cell>
        </row>
        <row r="368">
          <cell r="E368" t="str">
            <v>MUM/23-24/139</v>
          </cell>
          <cell r="F368" t="str">
            <v>being RI brokerage booked;  Insured:Yatra Online Inc ;  Cedant:HDFC ERgo General Insurance Co Ltd; Policy Period: 16.12.2022 to 16.12.2023 ( Brokerage USD 14962.5  @ 83 = 1241,887 + GST)</v>
          </cell>
          <cell r="G368">
            <v>1465426.66</v>
          </cell>
          <cell r="H368">
            <v>223539.66</v>
          </cell>
          <cell r="I368">
            <v>1241887</v>
          </cell>
        </row>
        <row r="369">
          <cell r="E369" t="str">
            <v>MUM/23-24/140</v>
          </cell>
          <cell r="F369" t="str">
            <v>being RI brokerage booked ; Insured: Ashoka Buildcon Ltd ( FAC 30%)  ( installment 2 out of 3)  ; Reinsured :Premier Insurance Company INC Policy Period :07.10.2022 to 06.10.2024</v>
          </cell>
          <cell r="G369">
            <v>169901.12</v>
          </cell>
          <cell r="H369">
            <v>25917.119999999999</v>
          </cell>
          <cell r="I369">
            <v>143984</v>
          </cell>
        </row>
        <row r="370">
          <cell r="E370" t="str">
            <v>MUM/23-24/141</v>
          </cell>
          <cell r="F370" t="str">
            <v>being RI brokerage booked ; Insured: Ashoka Buildcon Ltd ( FAC 55%)  ( installment 2 out of 3)  ; Reinsured :Premier Insurance Company INC Policy Period :07.10.2022 to 06.10.2024</v>
          </cell>
          <cell r="G370">
            <v>311416.15999999997</v>
          </cell>
          <cell r="H370">
            <v>47504.160000000003</v>
          </cell>
          <cell r="I370">
            <v>263912</v>
          </cell>
        </row>
        <row r="371">
          <cell r="E371" t="str">
            <v>MUM/23-24/142</v>
          </cell>
          <cell r="F371" t="str">
            <v>being RI brokerage booked ; Insured: APCO INFRATECH PRIVATE LIMITED - Endt ; Reinsured :The New India Assurance Co Ltd  Policy Period :30.07.22 to 29.04.23</v>
          </cell>
          <cell r="G371">
            <v>14997.8</v>
          </cell>
          <cell r="H371">
            <v>2287.8000000000002</v>
          </cell>
          <cell r="I371">
            <v>12710</v>
          </cell>
        </row>
        <row r="372">
          <cell r="E372" t="str">
            <v>MUM/23-24/143</v>
          </cell>
          <cell r="F372" t="str">
            <v>being brokerage booked on insurance policies placed in month Apr-23. Reverse Charge Mechanism Applicable - NO.</v>
          </cell>
          <cell r="G372">
            <v>3357077.28</v>
          </cell>
          <cell r="H372">
            <v>512096.54</v>
          </cell>
          <cell r="I372">
            <v>2844980.74</v>
          </cell>
        </row>
        <row r="373">
          <cell r="E373" t="str">
            <v>MUM/23-24/144</v>
          </cell>
          <cell r="F373" t="str">
            <v>being brokerage booked on insurance policies placed in month Apr-23. Reverse Charge Mechanism Applicable - NO.</v>
          </cell>
          <cell r="G373">
            <v>138637.23000000001</v>
          </cell>
          <cell r="H373">
            <v>21148.05</v>
          </cell>
          <cell r="I373">
            <v>117489.18</v>
          </cell>
        </row>
        <row r="374">
          <cell r="E374" t="str">
            <v>MUM/23-24/145</v>
          </cell>
          <cell r="F374" t="str">
            <v>being brokerage booked on insurance policies placed in month Apr-23. Reverse Charge Mechanism Applicable - NO.</v>
          </cell>
          <cell r="G374">
            <v>133937.72</v>
          </cell>
          <cell r="H374">
            <v>20431.18</v>
          </cell>
          <cell r="I374">
            <v>113506.54</v>
          </cell>
        </row>
        <row r="375">
          <cell r="E375" t="str">
            <v>MUM/23-24/146</v>
          </cell>
          <cell r="F375" t="str">
            <v>being brokerage booked on insurance policies placed in month Apr-23. Reverse Charge Mechanism Applicable - NO.</v>
          </cell>
          <cell r="G375">
            <v>2308612</v>
          </cell>
          <cell r="H375">
            <v>352161.15</v>
          </cell>
          <cell r="I375">
            <v>1956450.85</v>
          </cell>
        </row>
        <row r="376">
          <cell r="E376" t="str">
            <v>MUM/23-24/147</v>
          </cell>
          <cell r="F376" t="str">
            <v>being brokerage booked on insurance policies placed in month Apr-23. Reverse Charge Mechanism Applicable - NO.</v>
          </cell>
          <cell r="G376">
            <v>954636.14</v>
          </cell>
          <cell r="H376">
            <v>145622.46</v>
          </cell>
          <cell r="I376">
            <v>809013.68</v>
          </cell>
        </row>
        <row r="377">
          <cell r="E377" t="str">
            <v>MUM/23-24/148</v>
          </cell>
          <cell r="F377" t="str">
            <v>being brokerage booked on insurance policies placed in month Apr-23. Reverse Charge Mechanism Applicable - NO.</v>
          </cell>
          <cell r="G377">
            <v>189294.93</v>
          </cell>
          <cell r="H377">
            <v>28875.5</v>
          </cell>
          <cell r="I377">
            <v>160419.43</v>
          </cell>
        </row>
        <row r="378">
          <cell r="E378" t="str">
            <v>MUM/23-24/149</v>
          </cell>
          <cell r="F378" t="str">
            <v>being brokerage booked on insurance policies placed in month Apr-23. Reverse Charge Mechanism Applicable - NO.</v>
          </cell>
          <cell r="G378">
            <v>153430.88</v>
          </cell>
          <cell r="H378">
            <v>23404.71</v>
          </cell>
          <cell r="I378">
            <v>130026.17</v>
          </cell>
        </row>
        <row r="379">
          <cell r="E379" t="str">
            <v>MUM/23-24/150</v>
          </cell>
          <cell r="F379" t="str">
            <v>being brokerage booked on insurance policies placed in month Apr-23. Reverse Charge Mechanism Applicable - NO.</v>
          </cell>
          <cell r="G379">
            <v>5857.96</v>
          </cell>
          <cell r="H379">
            <v>893.59</v>
          </cell>
          <cell r="I379">
            <v>4964.37</v>
          </cell>
        </row>
        <row r="380">
          <cell r="E380" t="str">
            <v>GGN/23-24/103</v>
          </cell>
          <cell r="F380" t="str">
            <v>being brokerage booked on insurance policies placed in Nov-21 as amount waived off</v>
          </cell>
          <cell r="G380">
            <v>497.43</v>
          </cell>
          <cell r="H380">
            <v>75.88</v>
          </cell>
          <cell r="I380">
            <v>421.55</v>
          </cell>
        </row>
        <row r="381">
          <cell r="E381" t="str">
            <v>GGN/23-24/104</v>
          </cell>
          <cell r="F381" t="str">
            <v>being reward booked on insurance policies placed in Q2 21-22 against G/C/93 R as amount waived off.</v>
          </cell>
          <cell r="G381">
            <v>42.48</v>
          </cell>
          <cell r="H381">
            <v>6.48</v>
          </cell>
          <cell r="I381">
            <v>36</v>
          </cell>
        </row>
        <row r="382">
          <cell r="E382" t="str">
            <v>HYD/23-24/23</v>
          </cell>
          <cell r="F382" t="str">
            <v>being brokerage booked on insurance policies placed in Mar-22 as amount waived off.</v>
          </cell>
          <cell r="G382">
            <v>687.91</v>
          </cell>
          <cell r="H382">
            <v>104.94</v>
          </cell>
          <cell r="I382">
            <v>582.97</v>
          </cell>
        </row>
        <row r="383">
          <cell r="E383" t="str">
            <v>MUM/23-24/151</v>
          </cell>
          <cell r="F383" t="str">
            <v>being brokerage booked on insurance policies placed in Jul-22 Add against M-C-97 as credit note was wrongley raised on prudent instead of marsh.</v>
          </cell>
          <cell r="G383">
            <v>11331.54</v>
          </cell>
          <cell r="H383">
            <v>1728.54</v>
          </cell>
          <cell r="I383">
            <v>9603</v>
          </cell>
        </row>
        <row r="384">
          <cell r="E384" t="str">
            <v>MUM/23-24/152</v>
          </cell>
          <cell r="F384" t="str">
            <v>being brokerage booked on insurance policies placed in May-22 as amount waived off.</v>
          </cell>
          <cell r="G384">
            <v>69.62</v>
          </cell>
          <cell r="H384">
            <v>10.62</v>
          </cell>
          <cell r="I384">
            <v>59</v>
          </cell>
        </row>
        <row r="385">
          <cell r="E385" t="str">
            <v>MUM/23-24/153</v>
          </cell>
          <cell r="F385" t="str">
            <v>being brokerage booked on insurance policie placed in Jul-22 as amount waived off.</v>
          </cell>
          <cell r="G385">
            <v>40.119999999999997</v>
          </cell>
          <cell r="H385">
            <v>6.12</v>
          </cell>
          <cell r="I385">
            <v>34</v>
          </cell>
        </row>
        <row r="386">
          <cell r="E386" t="str">
            <v>MUM/23-24/154</v>
          </cell>
          <cell r="F386" t="str">
            <v>being brokerage booked on insurance policies placed in Sep-22 as amount waived off.</v>
          </cell>
          <cell r="G386">
            <v>7.08</v>
          </cell>
          <cell r="H386">
            <v>1.08</v>
          </cell>
          <cell r="I386">
            <v>6</v>
          </cell>
        </row>
        <row r="387">
          <cell r="E387" t="str">
            <v>MUM/23-24/155</v>
          </cell>
          <cell r="F387" t="str">
            <v>being brokerage booked on insurance policies placed in May-22 as amount waived off.</v>
          </cell>
          <cell r="G387">
            <v>119.59</v>
          </cell>
          <cell r="H387">
            <v>18.239999999999998</v>
          </cell>
          <cell r="I387">
            <v>101.35</v>
          </cell>
        </row>
        <row r="388">
          <cell r="E388" t="str">
            <v>MUM/23-24/156</v>
          </cell>
          <cell r="F388" t="str">
            <v>being reward booked on insurance policies placed in Q2 21-22. against M-C-117 as amount waived off.</v>
          </cell>
          <cell r="G388">
            <v>48.38</v>
          </cell>
          <cell r="H388">
            <v>7.38</v>
          </cell>
          <cell r="I388">
            <v>41</v>
          </cell>
        </row>
        <row r="389">
          <cell r="E389" t="str">
            <v>PUN/23-24/13</v>
          </cell>
          <cell r="F389" t="str">
            <v>being professional fees charged for Category E: Foreign Fee for Indian Entity of International Account - Risk management Fees for period 1.12.2022 to 31.11.2023  USD 4,500 @ INR 81.75 + 18% GST 810 = USD 5,310 (RM-Subhamoy Dey).</v>
          </cell>
          <cell r="G389">
            <v>434105.78</v>
          </cell>
          <cell r="H389">
            <v>66219.53</v>
          </cell>
          <cell r="I389">
            <v>367886.25</v>
          </cell>
        </row>
        <row r="390">
          <cell r="E390" t="str">
            <v>CHN/23-24/32</v>
          </cell>
          <cell r="F390" t="str">
            <v>being reward booked on insurance policies placed in Q2  22-23.</v>
          </cell>
          <cell r="G390">
            <v>496849.15</v>
          </cell>
          <cell r="H390">
            <v>75790.539999999994</v>
          </cell>
          <cell r="I390">
            <v>421058.61</v>
          </cell>
        </row>
        <row r="391">
          <cell r="E391" t="str">
            <v>GGN/23-24/105</v>
          </cell>
          <cell r="F391" t="str">
            <v>being reward booked on insurance policies placed in Q2  22-23.</v>
          </cell>
          <cell r="G391">
            <v>795092</v>
          </cell>
          <cell r="H391">
            <v>121285.22</v>
          </cell>
          <cell r="I391">
            <v>673806.78</v>
          </cell>
        </row>
        <row r="392">
          <cell r="E392" t="str">
            <v>GGN/23-24/106</v>
          </cell>
          <cell r="F392" t="str">
            <v>being reward booked on insurance policies placed in Q3  22-23.</v>
          </cell>
          <cell r="G392">
            <v>1741196.54</v>
          </cell>
          <cell r="H392">
            <v>265606.25</v>
          </cell>
          <cell r="I392">
            <v>1475590.29</v>
          </cell>
        </row>
        <row r="393">
          <cell r="E393" t="str">
            <v>MUM/23-24/157</v>
          </cell>
          <cell r="F393" t="str">
            <v>being brokerage booked on insurance policies placed in Oct 22-Mar 23.</v>
          </cell>
          <cell r="G393">
            <v>33.159999999999997</v>
          </cell>
          <cell r="H393">
            <v>5.0599999999999996</v>
          </cell>
          <cell r="I393">
            <v>28.1</v>
          </cell>
        </row>
        <row r="394">
          <cell r="E394" t="str">
            <v>MUM/23-24/158</v>
          </cell>
          <cell r="F394" t="str">
            <v>being brokerage booked on insurance policies placed in Mar-23. GST is not payable under reverse charge  on these services. The invoice is issued as per Section 31 of the CGST Act</v>
          </cell>
          <cell r="G394">
            <v>2649997.98</v>
          </cell>
          <cell r="H394">
            <v>404236.98</v>
          </cell>
          <cell r="I394">
            <v>2245761</v>
          </cell>
        </row>
        <row r="395">
          <cell r="E395" t="str">
            <v>BLR/23-24/50</v>
          </cell>
          <cell r="F395" t="str">
            <v>being brokerage booked on insurance policies placed in Apr-23.</v>
          </cell>
          <cell r="G395">
            <v>38712.61</v>
          </cell>
          <cell r="H395">
            <v>5905.32</v>
          </cell>
          <cell r="I395">
            <v>32807.29</v>
          </cell>
        </row>
        <row r="396">
          <cell r="E396" t="str">
            <v>BLR/23-24/51</v>
          </cell>
          <cell r="F396" t="str">
            <v>being brokerage booked on insurance policies placed in Apr-23.</v>
          </cell>
          <cell r="G396">
            <v>499.05</v>
          </cell>
          <cell r="H396">
            <v>76.12</v>
          </cell>
          <cell r="I396">
            <v>422.93</v>
          </cell>
        </row>
        <row r="397">
          <cell r="E397" t="str">
            <v>BLR/23-24/52</v>
          </cell>
          <cell r="F397" t="str">
            <v>being brokerage booked on insurance policies placed in Apr-23.</v>
          </cell>
          <cell r="G397">
            <v>5514445.46</v>
          </cell>
          <cell r="H397">
            <v>841186.6</v>
          </cell>
          <cell r="I397">
            <v>4673258.8600000003</v>
          </cell>
        </row>
        <row r="398">
          <cell r="E398" t="str">
            <v>BLR/23-24/53</v>
          </cell>
          <cell r="F398" t="str">
            <v>being brokerage booked on insurance policies placed in Apr-23.</v>
          </cell>
          <cell r="G398">
            <v>8048.37</v>
          </cell>
          <cell r="H398">
            <v>1227.72</v>
          </cell>
          <cell r="I398">
            <v>6820.65</v>
          </cell>
        </row>
        <row r="399">
          <cell r="E399" t="str">
            <v>BLR/23-24/54</v>
          </cell>
          <cell r="F399" t="str">
            <v>being brokerage booked on insurance policies placed in Apr-23.</v>
          </cell>
          <cell r="G399">
            <v>2122.94</v>
          </cell>
          <cell r="H399">
            <v>323.83999999999997</v>
          </cell>
          <cell r="I399">
            <v>1799.1</v>
          </cell>
        </row>
        <row r="400">
          <cell r="E400" t="str">
            <v>BLR/23-24/55</v>
          </cell>
          <cell r="F400" t="str">
            <v>being brokerage booked on insurance policies placed in Apr-23.</v>
          </cell>
          <cell r="G400">
            <v>3568.5</v>
          </cell>
          <cell r="H400">
            <v>544.34</v>
          </cell>
          <cell r="I400">
            <v>3024.16</v>
          </cell>
        </row>
        <row r="401">
          <cell r="E401" t="str">
            <v>CHN/23-24/33</v>
          </cell>
          <cell r="F401" t="str">
            <v>being brokerage booked on insurance policies placed in Apr-23</v>
          </cell>
          <cell r="G401">
            <v>10734.48</v>
          </cell>
          <cell r="H401">
            <v>1637.46</v>
          </cell>
          <cell r="I401">
            <v>9097.02</v>
          </cell>
        </row>
        <row r="402">
          <cell r="E402" t="str">
            <v>CHN/23-24/34</v>
          </cell>
          <cell r="F402" t="str">
            <v>being brokerage booked on insurance policies placed in Apr-23.</v>
          </cell>
          <cell r="G402">
            <v>7759.64</v>
          </cell>
          <cell r="H402">
            <v>1183.68</v>
          </cell>
          <cell r="I402">
            <v>6575.96</v>
          </cell>
        </row>
        <row r="403">
          <cell r="E403" t="str">
            <v>CHN/23-24/35</v>
          </cell>
          <cell r="F403" t="str">
            <v>being brokerage booked on insurance policies placed in Apr-23.</v>
          </cell>
          <cell r="G403">
            <v>18503.009999999998</v>
          </cell>
          <cell r="H403">
            <v>2822.5</v>
          </cell>
          <cell r="I403">
            <v>15680.51</v>
          </cell>
        </row>
        <row r="404">
          <cell r="E404" t="str">
            <v>CHN/23-24/36</v>
          </cell>
          <cell r="F404" t="str">
            <v>being brokerage booked on insurance policies placed in Apr-23.</v>
          </cell>
          <cell r="G404">
            <v>7312.61</v>
          </cell>
          <cell r="H404">
            <v>1115.48</v>
          </cell>
          <cell r="I404">
            <v>6197.13</v>
          </cell>
        </row>
        <row r="405">
          <cell r="E405" t="str">
            <v>CHN/23-24/37</v>
          </cell>
          <cell r="F405" t="str">
            <v>being brokerage booked on insurance policies placed in Apr-23.</v>
          </cell>
          <cell r="G405">
            <v>4398.4799999999996</v>
          </cell>
          <cell r="H405">
            <v>670.96</v>
          </cell>
          <cell r="I405">
            <v>3727.52</v>
          </cell>
        </row>
        <row r="406">
          <cell r="E406" t="str">
            <v>CHN/23-24/38</v>
          </cell>
          <cell r="F406" t="str">
            <v>being brokerage booked on insurance policies placed in Apr-23.</v>
          </cell>
          <cell r="G406">
            <v>26347.18</v>
          </cell>
          <cell r="H406">
            <v>4019.06</v>
          </cell>
          <cell r="I406">
            <v>22328.12</v>
          </cell>
        </row>
        <row r="407">
          <cell r="E407" t="str">
            <v>GGN/23-24/107</v>
          </cell>
          <cell r="F407" t="str">
            <v>being brokerage booked on insurance policies placed in Apr-23.</v>
          </cell>
          <cell r="G407">
            <v>31712.5</v>
          </cell>
          <cell r="H407">
            <v>4837.5</v>
          </cell>
          <cell r="I407">
            <v>26875</v>
          </cell>
        </row>
        <row r="408">
          <cell r="E408" t="str">
            <v>GGN/23-24/108</v>
          </cell>
          <cell r="F408" t="str">
            <v>being brokerage booked on insurance policies placed in Apr-23.</v>
          </cell>
          <cell r="G408">
            <v>3714.17</v>
          </cell>
          <cell r="H408">
            <v>566.57000000000005</v>
          </cell>
          <cell r="I408">
            <v>3147.6</v>
          </cell>
        </row>
        <row r="409">
          <cell r="E409" t="str">
            <v>GGN/23-24/109</v>
          </cell>
          <cell r="F409" t="str">
            <v>being brokerage booked on insurance policies placed in Apr-23.</v>
          </cell>
          <cell r="G409">
            <v>165205.37</v>
          </cell>
          <cell r="H409">
            <v>25200.82</v>
          </cell>
          <cell r="I409">
            <v>140004.54999999999</v>
          </cell>
        </row>
        <row r="410">
          <cell r="E410" t="str">
            <v>GGN/23-24/110</v>
          </cell>
          <cell r="F410" t="str">
            <v>being brokerage booked on insurance policies placed in Apr-23.</v>
          </cell>
          <cell r="G410">
            <v>5646.21</v>
          </cell>
          <cell r="H410">
            <v>861.29</v>
          </cell>
          <cell r="I410">
            <v>4784.92</v>
          </cell>
        </row>
        <row r="411">
          <cell r="E411" t="str">
            <v>GGN/23-24/111</v>
          </cell>
          <cell r="F411" t="str">
            <v>being brokerage booked on insurance policies placed in Apr-23.</v>
          </cell>
          <cell r="G411">
            <v>3036.38</v>
          </cell>
          <cell r="H411">
            <v>463.18</v>
          </cell>
          <cell r="I411">
            <v>2573.1999999999998</v>
          </cell>
        </row>
        <row r="412">
          <cell r="E412" t="str">
            <v>GGN/23-24/112</v>
          </cell>
          <cell r="F412" t="str">
            <v>being brokerage booked on insurance policies placed in Apr-23.</v>
          </cell>
          <cell r="G412">
            <v>18850.060000000001</v>
          </cell>
          <cell r="H412">
            <v>2875.43</v>
          </cell>
          <cell r="I412">
            <v>15974.63</v>
          </cell>
        </row>
        <row r="413">
          <cell r="E413" t="str">
            <v>GGN/23-24/113</v>
          </cell>
          <cell r="F413" t="str">
            <v>being brokerage booked on insurance policies placed in Apr-23.</v>
          </cell>
          <cell r="G413">
            <v>3.71</v>
          </cell>
          <cell r="H413">
            <v>0.56999999999999995</v>
          </cell>
          <cell r="I413">
            <v>3.14</v>
          </cell>
        </row>
        <row r="414">
          <cell r="E414" t="str">
            <v>GGN/23-24/114</v>
          </cell>
          <cell r="F414" t="str">
            <v>being brokerage booked on insurance policies placed in Apr-23.</v>
          </cell>
          <cell r="G414">
            <v>2204.59</v>
          </cell>
          <cell r="H414">
            <v>336.29</v>
          </cell>
          <cell r="I414">
            <v>1868.3</v>
          </cell>
        </row>
        <row r="415">
          <cell r="E415" t="str">
            <v>GGN/23-24/115</v>
          </cell>
          <cell r="F415" t="str">
            <v>being brokerage booked on insurance policies placed in Apr-23.</v>
          </cell>
          <cell r="G415">
            <v>38794.410000000003</v>
          </cell>
          <cell r="H415">
            <v>5917.79</v>
          </cell>
          <cell r="I415">
            <v>32876.620000000003</v>
          </cell>
        </row>
        <row r="416">
          <cell r="E416" t="str">
            <v>GGN/23-24/116</v>
          </cell>
          <cell r="F416" t="str">
            <v>being brokerage booked on insurance policies placed in Apr-23.</v>
          </cell>
          <cell r="G416">
            <v>10243.14</v>
          </cell>
          <cell r="H416">
            <v>1562.51</v>
          </cell>
          <cell r="I416">
            <v>8680.6299999999992</v>
          </cell>
        </row>
        <row r="417">
          <cell r="E417" t="str">
            <v>GFT/23-24/01</v>
          </cell>
          <cell r="F417" t="str">
            <v>being RI brokerage booked USD 493.56 @ 83  ( AED 1826.62  = USD 493.83) ; Insured: Mercure Hotel Suites &amp; Apartments; Cedant: Orient Takaful PJSC; Policy Period: 01.01.23 to 31.12.2023</v>
          </cell>
          <cell r="G417">
            <v>40966</v>
          </cell>
          <cell r="I417">
            <v>40966</v>
          </cell>
        </row>
        <row r="418">
          <cell r="E418" t="str">
            <v>GFT/23-24/02</v>
          </cell>
          <cell r="F418" t="str">
            <v>being RI brokerage booked USD 6647.73 @ 83 ( AED 24647.30 = USD 6647.73) ; Insured: Mercure Hotel Suites &amp; Apartments; Cedant: Orient Takaful PJSC; Policy Period: 01.01.23 to 31.12.2023</v>
          </cell>
          <cell r="G418">
            <v>551761</v>
          </cell>
          <cell r="I418">
            <v>551761</v>
          </cell>
        </row>
        <row r="419">
          <cell r="E419" t="str">
            <v>GFT/23-24/03</v>
          </cell>
          <cell r="F419" t="str">
            <v>being RI brokerage booked USD 658.42 @ 83 ( AED 2435.50 = USD 658.42) ; Insured: Mercure Hotel Suites &amp; Apartments; Cedant: Orient Takaful PJSC; Policy Period: 01.01.23 to 31.12.2023</v>
          </cell>
          <cell r="G419">
            <v>54649</v>
          </cell>
          <cell r="I419">
            <v>54649</v>
          </cell>
        </row>
        <row r="420">
          <cell r="E420" t="str">
            <v>GFT/23-24/04</v>
          </cell>
          <cell r="F420" t="str">
            <v>being RI brokerage booked USD 487.30 @ 83 ( AED 131.48 = USD 487.30 ) ; Insured: Mercure Hotel Suites &amp; Apartments; Cedant: Orient Takaful PJSC; Policy Period: 01.01.23 to 31.12.2023</v>
          </cell>
          <cell r="G420">
            <v>10913</v>
          </cell>
          <cell r="I420">
            <v>10913</v>
          </cell>
        </row>
        <row r="421">
          <cell r="E421" t="str">
            <v>GFT/23-24/05</v>
          </cell>
          <cell r="F421" t="str">
            <v>being RI brokerage booked USD 175.19 @ 83 ( AED 643.81 = USD 175.19) ; Insured: SWISS SINGAPORE OVERSESE ENTERPRISES PVT LTD; Cedant: NOOR TAKAFUL GENERAL PJSC ; Policy Period: 01.11.2022 to 31.12.2022</v>
          </cell>
          <cell r="G421">
            <v>14540</v>
          </cell>
          <cell r="I421">
            <v>14540</v>
          </cell>
        </row>
        <row r="422">
          <cell r="E422" t="str">
            <v>GFT/23-24/06</v>
          </cell>
          <cell r="F422" t="str">
            <v>being RI brokerage booked USD 18.17 @ 83 ( AED 66.75 = USD 18.17 ) ; Insured: SWISS SINGAPORE OVERSESE ENTERPRISES PVT LTD; Cedant: NOOR TAKAFUL GENERAL PJSC ; Policy Period: 01.01.2023 to 31.01.2023</v>
          </cell>
          <cell r="G422">
            <v>1508</v>
          </cell>
          <cell r="I422">
            <v>1508</v>
          </cell>
        </row>
        <row r="423">
          <cell r="E423" t="str">
            <v>GFT/23-24/07</v>
          </cell>
          <cell r="F423" t="str">
            <v>being RI brokerage booked USD 3380 @ 83  ; Insured: Emerald Sri Lanka Fund I Limited ; Cedant: THE MAURITIUS UNION ASSURANCE CY LTD  ; Policy Period:22.01.2023 to 21.01.2024</v>
          </cell>
          <cell r="G423">
            <v>280540</v>
          </cell>
          <cell r="I423">
            <v>280540</v>
          </cell>
        </row>
        <row r="424">
          <cell r="E424" t="str">
            <v>GFT/23-24/08</v>
          </cell>
          <cell r="F424" t="str">
            <v>being RI brokerage booked USD 2880 @ 83  ; Insured: NDB ZEPHYR PARTNERS LIMITED - MANAGER (MAURITIUS) &amp; (LANKA) ; Cedant: THE MAURITIUS UNION ASSURANCE CY LTD  ; Policy Period:22.01.2023 to 21.01.2024</v>
          </cell>
          <cell r="G424">
            <v>239040</v>
          </cell>
          <cell r="I424">
            <v>239040</v>
          </cell>
        </row>
        <row r="425">
          <cell r="E425" t="str">
            <v>GFT/23-24/09</v>
          </cell>
          <cell r="F425" t="str">
            <v>being RI brokerage booked USD 2880 @ 83  ; Insured: Centro Nacional De Inteligencia ; Cedant:THB Mexico Intermediario   ; Policy Period: 01.01.2023 to 31.12.2023</v>
          </cell>
          <cell r="G425">
            <v>38906</v>
          </cell>
          <cell r="I425">
            <v>38906</v>
          </cell>
        </row>
        <row r="426">
          <cell r="E426" t="str">
            <v>HYD/23-24/24</v>
          </cell>
          <cell r="F426" t="str">
            <v>being brokerage booked on insurance policies placed in Apr-23.</v>
          </cell>
          <cell r="G426">
            <v>622909.73</v>
          </cell>
          <cell r="H426">
            <v>95020.12</v>
          </cell>
          <cell r="I426">
            <v>527889.61</v>
          </cell>
        </row>
        <row r="427">
          <cell r="E427" t="str">
            <v>LUD/23-24/13</v>
          </cell>
          <cell r="F427" t="str">
            <v>being brokerage booked on insurance policies placed in Apr-23.</v>
          </cell>
          <cell r="G427">
            <v>253743.93</v>
          </cell>
          <cell r="H427">
            <v>38706.699999999997</v>
          </cell>
          <cell r="I427">
            <v>215037.23</v>
          </cell>
        </row>
        <row r="428">
          <cell r="E428" t="str">
            <v>LUD/23-24/14</v>
          </cell>
          <cell r="F428" t="str">
            <v>being brokerage booked on insurance policies placed in Apr-23.</v>
          </cell>
          <cell r="G428">
            <v>39122.730000000003</v>
          </cell>
          <cell r="H428">
            <v>5967.88</v>
          </cell>
          <cell r="I428">
            <v>33154.85</v>
          </cell>
        </row>
        <row r="429">
          <cell r="E429" t="str">
            <v>LUD/23-24/15</v>
          </cell>
          <cell r="F429" t="str">
            <v>being brokerage booked on insurance policies placed in Apr-23.</v>
          </cell>
          <cell r="G429">
            <v>5820.56</v>
          </cell>
          <cell r="H429">
            <v>887.88</v>
          </cell>
          <cell r="I429">
            <v>4932.68</v>
          </cell>
        </row>
        <row r="430">
          <cell r="E430" t="str">
            <v>MUM/23-24/159</v>
          </cell>
          <cell r="F430" t="str">
            <v>being brokerage booked on insurance policies placed in Apr-23.</v>
          </cell>
          <cell r="G430">
            <v>7651.82</v>
          </cell>
          <cell r="H430">
            <v>1167.22</v>
          </cell>
          <cell r="I430">
            <v>6484.6</v>
          </cell>
        </row>
        <row r="431">
          <cell r="E431" t="str">
            <v>MUM/23-24/160</v>
          </cell>
          <cell r="F431" t="str">
            <v>being brokerage booked on insurance policies placed in Apr-23.</v>
          </cell>
          <cell r="G431">
            <v>45954.21</v>
          </cell>
          <cell r="H431">
            <v>7009.96</v>
          </cell>
          <cell r="I431">
            <v>38944.25</v>
          </cell>
        </row>
        <row r="432">
          <cell r="E432" t="str">
            <v>MUM/23-24/161</v>
          </cell>
          <cell r="F432" t="str">
            <v>being brokerage booked on insurance policies placed in Apr-23.</v>
          </cell>
          <cell r="G432">
            <v>105.79</v>
          </cell>
          <cell r="H432">
            <v>16.14</v>
          </cell>
          <cell r="I432">
            <v>89.65</v>
          </cell>
        </row>
        <row r="433">
          <cell r="E433" t="str">
            <v>MUM/23-24/162</v>
          </cell>
          <cell r="F433" t="str">
            <v>being brokerage booked on insurance policies placed in Apr-23.</v>
          </cell>
          <cell r="G433">
            <v>4089.89</v>
          </cell>
          <cell r="H433">
            <v>623.88</v>
          </cell>
          <cell r="I433">
            <v>3466.01</v>
          </cell>
        </row>
        <row r="434">
          <cell r="E434" t="str">
            <v>MUM/23-24/163</v>
          </cell>
          <cell r="F434" t="str">
            <v>being brokerage booked on insurance policies placed in Apr-23.</v>
          </cell>
          <cell r="G434">
            <v>2023.73</v>
          </cell>
          <cell r="H434">
            <v>308.7</v>
          </cell>
          <cell r="I434">
            <v>1715.03</v>
          </cell>
        </row>
        <row r="435">
          <cell r="E435" t="str">
            <v>MUM/23-24/164</v>
          </cell>
          <cell r="F435" t="str">
            <v>being brokerage booked on insurance policies placed in Apr-23.</v>
          </cell>
          <cell r="G435">
            <v>25867.39</v>
          </cell>
          <cell r="H435">
            <v>3945.88</v>
          </cell>
          <cell r="I435">
            <v>21921.51</v>
          </cell>
        </row>
        <row r="436">
          <cell r="E436" t="str">
            <v>MUM/23-24/165</v>
          </cell>
          <cell r="F436" t="str">
            <v>being brokerage booked on insurance policies placed in Apr-23.</v>
          </cell>
          <cell r="G436">
            <v>1131742.6100000001</v>
          </cell>
          <cell r="H436">
            <v>172638.7</v>
          </cell>
          <cell r="I436">
            <v>959103.91</v>
          </cell>
        </row>
        <row r="437">
          <cell r="E437" t="str">
            <v>MUM/23-24/166</v>
          </cell>
          <cell r="F437" t="str">
            <v>being brokerage booked on insurance policies placed in Apr-23.</v>
          </cell>
          <cell r="G437">
            <v>53881.02</v>
          </cell>
          <cell r="H437">
            <v>8219.14</v>
          </cell>
          <cell r="I437">
            <v>45661.88</v>
          </cell>
        </row>
        <row r="438">
          <cell r="E438" t="str">
            <v>PUN/23-24/14</v>
          </cell>
          <cell r="F438" t="str">
            <v>being brokerage booked on insurance policies placed in Apr-23.</v>
          </cell>
          <cell r="G438">
            <v>258931.32</v>
          </cell>
          <cell r="H438">
            <v>39498</v>
          </cell>
          <cell r="I438">
            <v>219433.32</v>
          </cell>
        </row>
        <row r="439">
          <cell r="E439" t="str">
            <v>PUN/23-24/15</v>
          </cell>
          <cell r="F439" t="str">
            <v>being brokerage booked on insurance policies placed in Apr-23.</v>
          </cell>
          <cell r="G439">
            <v>6735.83</v>
          </cell>
          <cell r="H439">
            <v>1027.5</v>
          </cell>
          <cell r="I439">
            <v>5708.33</v>
          </cell>
        </row>
        <row r="440">
          <cell r="E440" t="str">
            <v>BLR/23-24/56</v>
          </cell>
          <cell r="F440" t="str">
            <v>being brokerage booked on insurance policies placed in Apr-23 2nd cycle.</v>
          </cell>
          <cell r="G440">
            <v>434793.71</v>
          </cell>
          <cell r="H440">
            <v>66324.460000000006</v>
          </cell>
          <cell r="I440">
            <v>368469.25</v>
          </cell>
        </row>
        <row r="441">
          <cell r="E441" t="str">
            <v>GGN/23-24/117</v>
          </cell>
          <cell r="F441" t="str">
            <v>being brokerage booked on insurance policies placed in Apr-23 2nd cycle.</v>
          </cell>
          <cell r="G441">
            <v>82.13</v>
          </cell>
          <cell r="H441">
            <v>12.53</v>
          </cell>
          <cell r="I441">
            <v>69.599999999999994</v>
          </cell>
        </row>
        <row r="442">
          <cell r="E442" t="str">
            <v>BLR/23-24/57</v>
          </cell>
          <cell r="F442" t="str">
            <v>being brokerage booked on insurance policies placed in Apr-23. (Whether the Tax is payable on reverse charge basis: NO).</v>
          </cell>
          <cell r="G442">
            <v>1075590.75</v>
          </cell>
          <cell r="H442">
            <v>164073.16</v>
          </cell>
          <cell r="I442">
            <v>911517.59</v>
          </cell>
        </row>
        <row r="443">
          <cell r="E443" t="str">
            <v>BLR/23-24/58</v>
          </cell>
          <cell r="F443" t="str">
            <v>being brokerage booked on insurance policies placed in Apr-23.</v>
          </cell>
          <cell r="G443">
            <v>16998.98</v>
          </cell>
          <cell r="H443">
            <v>2593.06</v>
          </cell>
          <cell r="I443">
            <v>14405.92</v>
          </cell>
        </row>
        <row r="444">
          <cell r="E444" t="str">
            <v>BLR/23-24/59</v>
          </cell>
          <cell r="F444" t="str">
            <v>being brokerage booked on insurance policies placed in Apr-23.</v>
          </cell>
          <cell r="G444">
            <v>857995.95</v>
          </cell>
          <cell r="H444">
            <v>130880.74</v>
          </cell>
          <cell r="I444">
            <v>727115.21</v>
          </cell>
        </row>
        <row r="445">
          <cell r="E445" t="str">
            <v>BLR/23-24/60</v>
          </cell>
          <cell r="F445" t="str">
            <v>being brokerage booked on insurance policies placed in Apr-23.</v>
          </cell>
          <cell r="G445">
            <v>2675.69</v>
          </cell>
          <cell r="H445">
            <v>408.16</v>
          </cell>
          <cell r="I445">
            <v>2267.5300000000002</v>
          </cell>
        </row>
        <row r="446">
          <cell r="E446" t="str">
            <v>BLR/23-24/61</v>
          </cell>
          <cell r="F446" t="str">
            <v>being brokerage booked on insurance policies placed in Apr-23.</v>
          </cell>
          <cell r="G446">
            <v>501716.63</v>
          </cell>
          <cell r="H446">
            <v>76533.039999999994</v>
          </cell>
          <cell r="I446">
            <v>425183.59</v>
          </cell>
        </row>
        <row r="447">
          <cell r="E447" t="str">
            <v>CHN/23-24/39</v>
          </cell>
          <cell r="F447" t="str">
            <v>being brokerage booked on insurance policies placed in Apr-23. (Whether the Tax is payable on reverse charge basis: NO).</v>
          </cell>
          <cell r="G447">
            <v>5773.99</v>
          </cell>
          <cell r="H447">
            <v>880.78</v>
          </cell>
          <cell r="I447">
            <v>4893.21</v>
          </cell>
        </row>
        <row r="448">
          <cell r="E448" t="str">
            <v>CHN/23-24/40</v>
          </cell>
          <cell r="F448" t="str">
            <v>being brokerage booked on insurance policies placed in Apr-23.</v>
          </cell>
          <cell r="G448">
            <v>129900.42</v>
          </cell>
          <cell r="H448">
            <v>19815.32</v>
          </cell>
          <cell r="I448">
            <v>110085.1</v>
          </cell>
        </row>
        <row r="449">
          <cell r="E449" t="str">
            <v>CHN/23-24/41</v>
          </cell>
          <cell r="F449" t="str">
            <v>being brokerage booked on insurance policies placed in Apr-23.</v>
          </cell>
          <cell r="G449">
            <v>6670.4</v>
          </cell>
          <cell r="H449">
            <v>1017.52</v>
          </cell>
          <cell r="I449">
            <v>5652.88</v>
          </cell>
        </row>
        <row r="450">
          <cell r="E450" t="str">
            <v>CHN/23-24/42</v>
          </cell>
          <cell r="F450" t="str">
            <v>being brokerage booked on insurance policies placed in Apr-23.</v>
          </cell>
          <cell r="G450">
            <v>35224.46</v>
          </cell>
          <cell r="H450">
            <v>5373.22</v>
          </cell>
          <cell r="I450">
            <v>29851.24</v>
          </cell>
        </row>
        <row r="451">
          <cell r="E451" t="str">
            <v>CHN/23-24/43</v>
          </cell>
          <cell r="F451" t="str">
            <v>being brokerage booked on insurance policies placed in Apr-23.</v>
          </cell>
          <cell r="G451">
            <v>4331.29</v>
          </cell>
          <cell r="H451">
            <v>660.7</v>
          </cell>
          <cell r="I451">
            <v>3670.59</v>
          </cell>
        </row>
        <row r="452">
          <cell r="E452" t="str">
            <v>GGN/23-24/118</v>
          </cell>
          <cell r="F452" t="str">
            <v>being brokerage booked on insurance policies placed in Apr-23. (Whether the Tax is payable on reverse charge basis: NO).</v>
          </cell>
          <cell r="G452">
            <v>10384868.74</v>
          </cell>
          <cell r="H452">
            <v>1584132.52</v>
          </cell>
          <cell r="I452">
            <v>8800736.2200000007</v>
          </cell>
        </row>
        <row r="453">
          <cell r="E453" t="str">
            <v>GGN/23-24/119</v>
          </cell>
          <cell r="F453" t="str">
            <v>being brokerage booked on insurance policies placed in Apr-23. (Whether the Tax is payable on reverse charge basis: NO).</v>
          </cell>
          <cell r="G453">
            <v>54370.09</v>
          </cell>
          <cell r="H453">
            <v>8293.74</v>
          </cell>
          <cell r="I453">
            <v>46076.35</v>
          </cell>
        </row>
        <row r="454">
          <cell r="E454" t="str">
            <v>GGN/23-24/120</v>
          </cell>
          <cell r="F454" t="str">
            <v>being brokerage booked on insurance policies placed in Apr-23.</v>
          </cell>
          <cell r="G454">
            <v>58627.53</v>
          </cell>
          <cell r="H454">
            <v>8943.18</v>
          </cell>
          <cell r="I454">
            <v>49684.35</v>
          </cell>
        </row>
        <row r="455">
          <cell r="E455" t="str">
            <v>GGN/23-24/121</v>
          </cell>
          <cell r="F455" t="str">
            <v>being brokerage booked on insurance policies placed in Apr-23.</v>
          </cell>
          <cell r="G455">
            <v>4469.29</v>
          </cell>
          <cell r="H455">
            <v>681.76</v>
          </cell>
          <cell r="I455">
            <v>3787.53</v>
          </cell>
        </row>
        <row r="456">
          <cell r="E456" t="str">
            <v>GGN/23-24/122</v>
          </cell>
          <cell r="F456" t="str">
            <v>being brokerage booked on insurance policies placed in Apr-23.</v>
          </cell>
          <cell r="G456">
            <v>9433.36</v>
          </cell>
          <cell r="H456">
            <v>1438.99</v>
          </cell>
          <cell r="I456">
            <v>7994.37</v>
          </cell>
        </row>
        <row r="457">
          <cell r="E457" t="str">
            <v>GGN/23-24/123</v>
          </cell>
          <cell r="F457" t="str">
            <v>being brokerage booked on insurance policies placed in Apr-23.</v>
          </cell>
          <cell r="G457">
            <v>378478.53</v>
          </cell>
          <cell r="H457">
            <v>57734.01</v>
          </cell>
          <cell r="I457">
            <v>320744.52</v>
          </cell>
        </row>
        <row r="458">
          <cell r="E458" t="str">
            <v>GGN/23-24/124</v>
          </cell>
          <cell r="F458" t="str">
            <v>being brokerage booked on insurance policies placed in Apr-23.</v>
          </cell>
          <cell r="G458">
            <v>72160.27</v>
          </cell>
          <cell r="H458">
            <v>11007.5</v>
          </cell>
          <cell r="I458">
            <v>61152.77</v>
          </cell>
        </row>
        <row r="459">
          <cell r="E459" t="str">
            <v>GGN/23-24/125</v>
          </cell>
          <cell r="F459" t="str">
            <v>being brokerage booked on insurance policies placed in Apr-23.</v>
          </cell>
          <cell r="G459">
            <v>444279.91</v>
          </cell>
          <cell r="H459">
            <v>67771.520000000004</v>
          </cell>
          <cell r="I459">
            <v>376508.39</v>
          </cell>
        </row>
        <row r="460">
          <cell r="E460" t="str">
            <v>GGN/23-24/126</v>
          </cell>
          <cell r="F460" t="str">
            <v>being brokerage booked on insurance policies placed in Apr-23.</v>
          </cell>
          <cell r="G460">
            <v>51399.839999999997</v>
          </cell>
          <cell r="H460">
            <v>7840.65</v>
          </cell>
          <cell r="I460">
            <v>43559.19</v>
          </cell>
        </row>
        <row r="461">
          <cell r="E461" t="str">
            <v>GGN/23-24/127</v>
          </cell>
          <cell r="F461" t="str">
            <v>being brokerage booked on insurance policies placed in Apr-23.</v>
          </cell>
          <cell r="G461">
            <v>1613587.29</v>
          </cell>
          <cell r="H461">
            <v>246140.44</v>
          </cell>
          <cell r="I461">
            <v>1367446.85</v>
          </cell>
        </row>
        <row r="462">
          <cell r="E462" t="str">
            <v>HYD/23-24/25</v>
          </cell>
          <cell r="F462" t="str">
            <v>being brokerage booked on insurance policies placed in Apr-23. (Whether the Tax is payable on reverse charge basis: NO).</v>
          </cell>
          <cell r="G462">
            <v>190088.64</v>
          </cell>
          <cell r="H462">
            <v>28996.58</v>
          </cell>
          <cell r="I462">
            <v>161092.06</v>
          </cell>
        </row>
        <row r="463">
          <cell r="E463" t="str">
            <v>HYD/23-24/26</v>
          </cell>
          <cell r="F463" t="str">
            <v>being brokerage booked on insurance policies placed in Apr-23.</v>
          </cell>
          <cell r="G463">
            <v>5962.55</v>
          </cell>
          <cell r="H463">
            <v>909.54</v>
          </cell>
          <cell r="I463">
            <v>5053.01</v>
          </cell>
        </row>
        <row r="464">
          <cell r="E464" t="str">
            <v>MUM/23-24/167</v>
          </cell>
          <cell r="F464" t="str">
            <v>being brokerage booked on insurance policies placed in Apr-23. (Whether the Tax is payable on reverse charge basis: NO).</v>
          </cell>
          <cell r="G464">
            <v>1853894.16</v>
          </cell>
          <cell r="H464">
            <v>282797.42</v>
          </cell>
          <cell r="I464">
            <v>1571096.74</v>
          </cell>
        </row>
        <row r="465">
          <cell r="E465" t="str">
            <v>MUM/23-24/168</v>
          </cell>
          <cell r="F465" t="str">
            <v>being brokerage booked on insurance policies placed in Apr-23 2nd cycle retail.</v>
          </cell>
          <cell r="G465">
            <v>1269.8</v>
          </cell>
          <cell r="H465">
            <v>193.7</v>
          </cell>
          <cell r="I465">
            <v>1076.0999999999999</v>
          </cell>
        </row>
        <row r="466">
          <cell r="E466" t="str">
            <v>MUM/23-24/169</v>
          </cell>
          <cell r="F466" t="str">
            <v>being brokerage booked on insurance policies placed in Apr-23.</v>
          </cell>
          <cell r="G466">
            <v>5673344.5199999996</v>
          </cell>
          <cell r="H466">
            <v>865425.44</v>
          </cell>
          <cell r="I466">
            <v>4807919.08</v>
          </cell>
        </row>
        <row r="467">
          <cell r="E467" t="str">
            <v>MUM/23-24/170</v>
          </cell>
          <cell r="F467" t="str">
            <v>being brokerage booked on insurance policies placed in Apr-23.</v>
          </cell>
          <cell r="G467">
            <v>5717.49</v>
          </cell>
          <cell r="H467">
            <v>872.16</v>
          </cell>
          <cell r="I467">
            <v>4845.33</v>
          </cell>
        </row>
        <row r="468">
          <cell r="E468" t="str">
            <v>MUM/23-24/171</v>
          </cell>
          <cell r="F468" t="str">
            <v>being brokerage booked on insurance policies placed in Apr-23.</v>
          </cell>
          <cell r="G468">
            <v>6147.33</v>
          </cell>
          <cell r="H468">
            <v>937.73</v>
          </cell>
          <cell r="I468">
            <v>5209.6000000000004</v>
          </cell>
        </row>
        <row r="469">
          <cell r="E469" t="str">
            <v>MUM/23-24/172</v>
          </cell>
          <cell r="F469" t="str">
            <v>being brokerage booked on insurance policies placed in Apr-23.</v>
          </cell>
          <cell r="G469">
            <v>3232.67</v>
          </cell>
          <cell r="H469">
            <v>493.12</v>
          </cell>
          <cell r="I469">
            <v>2739.55</v>
          </cell>
        </row>
        <row r="470">
          <cell r="E470" t="str">
            <v>MUM/23-24/173</v>
          </cell>
          <cell r="F470" t="str">
            <v>being brokerage booked on insurance policies placed in Apr-23.</v>
          </cell>
          <cell r="G470">
            <v>303112.48</v>
          </cell>
          <cell r="H470">
            <v>46237.5</v>
          </cell>
          <cell r="I470">
            <v>256874.98</v>
          </cell>
        </row>
        <row r="471">
          <cell r="E471" t="str">
            <v>MUM/23-24/174</v>
          </cell>
          <cell r="F471" t="str">
            <v>being brokerage booked on insurance policies placed in Apr-23.</v>
          </cell>
          <cell r="G471">
            <v>55867.9</v>
          </cell>
          <cell r="H471">
            <v>8522.2199999999993</v>
          </cell>
          <cell r="I471">
            <v>47345.68</v>
          </cell>
        </row>
        <row r="472">
          <cell r="E472" t="str">
            <v>MUM/23-24/175</v>
          </cell>
          <cell r="F472" t="str">
            <v>being brokerage booked on insurance policies placed in Apr-23.</v>
          </cell>
          <cell r="G472">
            <v>2546265.0299999998</v>
          </cell>
          <cell r="H472">
            <v>388413.31</v>
          </cell>
          <cell r="I472">
            <v>2157851.7200000002</v>
          </cell>
        </row>
        <row r="473">
          <cell r="E473" t="str">
            <v>MUM/23-24/176</v>
          </cell>
          <cell r="F473" t="str">
            <v>being brokerage booked on insurance policies placed in Apr-23.</v>
          </cell>
          <cell r="G473">
            <v>266.2</v>
          </cell>
          <cell r="H473">
            <v>40.61</v>
          </cell>
          <cell r="I473">
            <v>225.59</v>
          </cell>
        </row>
        <row r="474">
          <cell r="E474" t="str">
            <v>MUM/23-24/177</v>
          </cell>
          <cell r="F474" t="str">
            <v>being brokerage booked on insurance policies placed in Apr-23 2nd cycle retail.</v>
          </cell>
          <cell r="G474">
            <v>416.3</v>
          </cell>
          <cell r="H474">
            <v>63.5</v>
          </cell>
          <cell r="I474">
            <v>352.8</v>
          </cell>
        </row>
        <row r="475">
          <cell r="E475" t="str">
            <v>MUM/23-24/178</v>
          </cell>
          <cell r="F475" t="str">
            <v>being brokerage booked on insurance policies placed in Apr-23</v>
          </cell>
          <cell r="G475">
            <v>80947.39</v>
          </cell>
          <cell r="H475">
            <v>12347.9</v>
          </cell>
          <cell r="I475">
            <v>68599.490000000005</v>
          </cell>
        </row>
        <row r="476">
          <cell r="E476" t="str">
            <v>PUN/23-24/16</v>
          </cell>
          <cell r="F476" t="str">
            <v>being brokerage booked on insurance policies placed in Apr-23.</v>
          </cell>
          <cell r="G476">
            <v>4113.7299999999996</v>
          </cell>
          <cell r="H476">
            <v>627.52</v>
          </cell>
          <cell r="I476">
            <v>3486.21</v>
          </cell>
        </row>
        <row r="477">
          <cell r="E477" t="str">
            <v>BLR/23-24/62</v>
          </cell>
          <cell r="F477" t="str">
            <v>being brokerage booked on insurance policies placed in Apr-23.</v>
          </cell>
          <cell r="G477">
            <v>3760.14</v>
          </cell>
          <cell r="H477">
            <v>573.58000000000004</v>
          </cell>
          <cell r="I477">
            <v>3186.56</v>
          </cell>
        </row>
        <row r="478">
          <cell r="E478" t="str">
            <v>BLR/23-24/63</v>
          </cell>
          <cell r="F478" t="str">
            <v>being brokerage booked on insurance policies placed in Apr-23.</v>
          </cell>
          <cell r="G478">
            <v>861011.78</v>
          </cell>
          <cell r="H478">
            <v>131340.78</v>
          </cell>
          <cell r="I478">
            <v>729671</v>
          </cell>
        </row>
        <row r="479">
          <cell r="E479" t="str">
            <v>BLR/23-24/64</v>
          </cell>
          <cell r="F479" t="str">
            <v>being brokerage booked on insurance policies placed in Apr-23.</v>
          </cell>
          <cell r="G479">
            <v>442208.11</v>
          </cell>
          <cell r="H479">
            <v>67455.48</v>
          </cell>
          <cell r="I479">
            <v>374752.63</v>
          </cell>
        </row>
        <row r="480">
          <cell r="E480" t="str">
            <v>BLR/23-24/65</v>
          </cell>
          <cell r="F480" t="str">
            <v>being brokerage booked on insurance policies placed in Apr-23.</v>
          </cell>
          <cell r="G480">
            <v>494184</v>
          </cell>
          <cell r="H480">
            <v>75384</v>
          </cell>
          <cell r="I480">
            <v>418800</v>
          </cell>
        </row>
        <row r="481">
          <cell r="E481" t="str">
            <v>BLR/23-24/66</v>
          </cell>
          <cell r="F481" t="str">
            <v>being brokerage booked on insurance policies placed in Apr-23.</v>
          </cell>
          <cell r="G481">
            <v>44887.61</v>
          </cell>
          <cell r="H481">
            <v>6847.26</v>
          </cell>
          <cell r="I481">
            <v>38040.35</v>
          </cell>
        </row>
        <row r="482">
          <cell r="E482" t="str">
            <v>CHN/23-24/44</v>
          </cell>
          <cell r="F482" t="str">
            <v>being brokerage booked on insurance policies placed in Apr-23.</v>
          </cell>
          <cell r="G482">
            <v>291.45999999999998</v>
          </cell>
          <cell r="H482">
            <v>44.46</v>
          </cell>
          <cell r="I482">
            <v>247</v>
          </cell>
        </row>
        <row r="483">
          <cell r="E483" t="str">
            <v>CHN/23-24/45</v>
          </cell>
          <cell r="F483" t="str">
            <v>being brokerage booked on insurance policies placed in Apr-23.</v>
          </cell>
          <cell r="G483">
            <v>2195.4299999999998</v>
          </cell>
          <cell r="H483">
            <v>334.9</v>
          </cell>
          <cell r="I483">
            <v>1860.53</v>
          </cell>
        </row>
        <row r="484">
          <cell r="E484" t="str">
            <v>CHN/23-24/46</v>
          </cell>
          <cell r="F484" t="str">
            <v>being brokerage booked on insurance policies placed in Apr-23.</v>
          </cell>
          <cell r="G484">
            <v>1475.47</v>
          </cell>
          <cell r="H484">
            <v>225.08</v>
          </cell>
          <cell r="I484">
            <v>1250.3900000000001</v>
          </cell>
        </row>
        <row r="485">
          <cell r="E485" t="str">
            <v>CHN/23-24/47</v>
          </cell>
          <cell r="F485" t="str">
            <v>being brokerage booked on insurance policies placed in Apr-23.</v>
          </cell>
          <cell r="G485">
            <v>9696.06</v>
          </cell>
          <cell r="H485">
            <v>1479.06</v>
          </cell>
          <cell r="I485">
            <v>8217</v>
          </cell>
        </row>
        <row r="486">
          <cell r="E486" t="str">
            <v>CHN/23-24/48</v>
          </cell>
          <cell r="F486" t="str">
            <v>being brokerage booked on insurance policies placed in Apr-23.</v>
          </cell>
          <cell r="G486">
            <v>1089.1400000000001</v>
          </cell>
          <cell r="H486">
            <v>166.14</v>
          </cell>
          <cell r="I486">
            <v>923</v>
          </cell>
        </row>
        <row r="487">
          <cell r="E487" t="str">
            <v>CHN/23-24/49</v>
          </cell>
          <cell r="F487" t="str">
            <v>being brokerage booked on insurance policies placed in Apr-23.</v>
          </cell>
          <cell r="G487">
            <v>57381.04</v>
          </cell>
          <cell r="H487">
            <v>8753.0400000000009</v>
          </cell>
          <cell r="I487">
            <v>48628</v>
          </cell>
        </row>
        <row r="488">
          <cell r="E488" t="str">
            <v>CHN/23-24/50</v>
          </cell>
          <cell r="F488" t="str">
            <v>being brokerage booked on insurance policies placed in Apr-23.</v>
          </cell>
          <cell r="G488">
            <v>158989</v>
          </cell>
          <cell r="H488">
            <v>24252.560000000001</v>
          </cell>
          <cell r="I488">
            <v>134736.44</v>
          </cell>
        </row>
        <row r="489">
          <cell r="E489" t="str">
            <v>GGN/23-24/128</v>
          </cell>
          <cell r="F489" t="str">
            <v>being brokerage booked on insurance policies placed in Apr-23.</v>
          </cell>
          <cell r="G489">
            <v>541.62</v>
          </cell>
          <cell r="H489">
            <v>82.62</v>
          </cell>
          <cell r="I489">
            <v>459</v>
          </cell>
        </row>
        <row r="490">
          <cell r="E490" t="str">
            <v>GGN/23-24/129</v>
          </cell>
          <cell r="F490" t="str">
            <v>being brokerage booked on insurance policies placed in Apr-23.</v>
          </cell>
          <cell r="G490">
            <v>33842227.719999999</v>
          </cell>
          <cell r="H490">
            <v>5162373.72</v>
          </cell>
          <cell r="I490">
            <v>28679854</v>
          </cell>
        </row>
        <row r="491">
          <cell r="E491" t="str">
            <v>GGN/23-24/130</v>
          </cell>
          <cell r="F491" t="str">
            <v>being brokerage booked on insurance policies placed in Apr-23.</v>
          </cell>
          <cell r="G491">
            <v>28.07</v>
          </cell>
          <cell r="H491">
            <v>4.28</v>
          </cell>
          <cell r="I491">
            <v>23.79</v>
          </cell>
        </row>
        <row r="492">
          <cell r="E492" t="str">
            <v>GGN/23-24/131</v>
          </cell>
          <cell r="F492" t="str">
            <v>being brokerage booked on insurance policies placed in Apr-23.</v>
          </cell>
          <cell r="G492">
            <v>6810.96</v>
          </cell>
          <cell r="H492">
            <v>1038.96</v>
          </cell>
          <cell r="I492">
            <v>5772</v>
          </cell>
        </row>
        <row r="493">
          <cell r="E493" t="str">
            <v>GGN/23-24/132</v>
          </cell>
          <cell r="F493" t="str">
            <v>being brokerage booked on insurance policies placed in Apr-23.</v>
          </cell>
          <cell r="G493">
            <v>3010.18</v>
          </cell>
          <cell r="H493">
            <v>459.18</v>
          </cell>
          <cell r="I493">
            <v>2551</v>
          </cell>
        </row>
        <row r="494">
          <cell r="E494" t="str">
            <v>GGN/23-24/133</v>
          </cell>
          <cell r="F494" t="str">
            <v>being brokerage booked on insurance policies placed in Apr-23.</v>
          </cell>
          <cell r="G494">
            <v>66077.64</v>
          </cell>
          <cell r="H494">
            <v>10079.64</v>
          </cell>
          <cell r="I494">
            <v>55998</v>
          </cell>
        </row>
        <row r="495">
          <cell r="E495" t="str">
            <v>GGN/23-24/134</v>
          </cell>
          <cell r="F495" t="str">
            <v>being brokerage booked on insurance policies placed in Apr-23.</v>
          </cell>
          <cell r="G495">
            <v>29868.16</v>
          </cell>
          <cell r="H495">
            <v>4556.16</v>
          </cell>
          <cell r="I495">
            <v>25312</v>
          </cell>
        </row>
        <row r="496">
          <cell r="E496" t="str">
            <v>GGN/23-24/135</v>
          </cell>
          <cell r="F496" t="str">
            <v>being brokerage booked on insurance policies placed in Apr-23.</v>
          </cell>
          <cell r="G496">
            <v>17526.54</v>
          </cell>
          <cell r="H496">
            <v>2673.54</v>
          </cell>
          <cell r="I496">
            <v>14853</v>
          </cell>
        </row>
        <row r="497">
          <cell r="E497" t="str">
            <v>GGN/23-24/136</v>
          </cell>
          <cell r="F497" t="str">
            <v>being brokerage booked on insurance policies placed in Apr-23.</v>
          </cell>
          <cell r="G497">
            <v>72088.56</v>
          </cell>
          <cell r="H497">
            <v>10996.56</v>
          </cell>
          <cell r="I497">
            <v>61092</v>
          </cell>
        </row>
        <row r="498">
          <cell r="E498" t="str">
            <v>GGN/23-24/137</v>
          </cell>
          <cell r="F498" t="str">
            <v>being brokerage booked on insurance policies placed in Apr-23.</v>
          </cell>
          <cell r="G498">
            <v>804020.27</v>
          </cell>
          <cell r="H498">
            <v>122647.16</v>
          </cell>
          <cell r="I498">
            <v>681373.11</v>
          </cell>
        </row>
        <row r="499">
          <cell r="E499" t="str">
            <v>GGN/23-24/138</v>
          </cell>
          <cell r="F499" t="str">
            <v>being brokerage booked on insurance policies placed in Apr-23.</v>
          </cell>
          <cell r="G499">
            <v>83385.81</v>
          </cell>
          <cell r="H499">
            <v>12719.87</v>
          </cell>
          <cell r="I499">
            <v>70665.94</v>
          </cell>
        </row>
        <row r="500">
          <cell r="E500" t="str">
            <v>HYD/23-24/27</v>
          </cell>
          <cell r="F500" t="str">
            <v>being brokerage booked on insurance policies placed in Apr-23.</v>
          </cell>
          <cell r="G500">
            <v>1695.67</v>
          </cell>
          <cell r="H500">
            <v>258.66000000000003</v>
          </cell>
          <cell r="I500">
            <v>1437.01</v>
          </cell>
        </row>
        <row r="501">
          <cell r="E501" t="str">
            <v>LUD/23-24/16</v>
          </cell>
          <cell r="F501" t="str">
            <v>being brokerage booked on insurance policies placed in Apr-23.</v>
          </cell>
          <cell r="G501">
            <v>7472.94</v>
          </cell>
          <cell r="H501">
            <v>1139.94</v>
          </cell>
          <cell r="I501">
            <v>6333</v>
          </cell>
        </row>
        <row r="502">
          <cell r="E502" t="str">
            <v>LUD/23-24/17</v>
          </cell>
          <cell r="F502" t="str">
            <v>being brokerage booked on insurance policies placed in Apr-23.</v>
          </cell>
          <cell r="G502">
            <v>2797.78</v>
          </cell>
          <cell r="H502">
            <v>426.78</v>
          </cell>
          <cell r="I502">
            <v>2371</v>
          </cell>
        </row>
        <row r="503">
          <cell r="E503" t="str">
            <v>LUD/23-24/18</v>
          </cell>
          <cell r="F503" t="str">
            <v>being brokerage booked on insurance policies placed in Apr-23.</v>
          </cell>
          <cell r="G503">
            <v>38726.42</v>
          </cell>
          <cell r="H503">
            <v>5907.42</v>
          </cell>
          <cell r="I503">
            <v>32819</v>
          </cell>
        </row>
        <row r="504">
          <cell r="E504" t="str">
            <v>LUD/23-24/19</v>
          </cell>
          <cell r="F504" t="str">
            <v>being brokerage booked on insurance policies placed in Apr-23.</v>
          </cell>
          <cell r="G504">
            <v>6377.9</v>
          </cell>
          <cell r="H504">
            <v>972.9</v>
          </cell>
          <cell r="I504">
            <v>5405</v>
          </cell>
        </row>
        <row r="505">
          <cell r="E505" t="str">
            <v>MUM/23-24/179</v>
          </cell>
          <cell r="F505" t="str">
            <v>being brokerage booked on insurance policies placed in Apr-23.</v>
          </cell>
          <cell r="G505">
            <v>8570.34</v>
          </cell>
          <cell r="H505">
            <v>1307.3399999999999</v>
          </cell>
          <cell r="I505">
            <v>7263</v>
          </cell>
        </row>
        <row r="506">
          <cell r="E506" t="str">
            <v>MUM/23-24/180</v>
          </cell>
          <cell r="F506" t="str">
            <v>being brokerage booked on insurance policies placed in Apr-23.</v>
          </cell>
          <cell r="G506">
            <v>28787.88</v>
          </cell>
          <cell r="H506">
            <v>4391.38</v>
          </cell>
          <cell r="I506">
            <v>24396.5</v>
          </cell>
        </row>
        <row r="507">
          <cell r="E507" t="str">
            <v>MUM/23-24/181</v>
          </cell>
          <cell r="F507" t="str">
            <v>being brokerage booked on insurance policies placed in Apr-23.</v>
          </cell>
          <cell r="G507">
            <v>3394.86</v>
          </cell>
          <cell r="H507">
            <v>517.86</v>
          </cell>
          <cell r="I507">
            <v>2877</v>
          </cell>
        </row>
        <row r="508">
          <cell r="E508" t="str">
            <v>MUM/23-24/182</v>
          </cell>
          <cell r="F508" t="str">
            <v>being brokerage booked on insurance policies placed in Apr-23.</v>
          </cell>
          <cell r="G508">
            <v>2151.52</v>
          </cell>
          <cell r="H508">
            <v>328.2</v>
          </cell>
          <cell r="I508">
            <v>1823.32</v>
          </cell>
        </row>
        <row r="509">
          <cell r="E509" t="str">
            <v>MUM/23-24/183</v>
          </cell>
          <cell r="F509" t="str">
            <v>being brokerage booked on insurance policies placed in Apr-23.</v>
          </cell>
          <cell r="G509">
            <v>411525</v>
          </cell>
          <cell r="H509">
            <v>62775</v>
          </cell>
          <cell r="I509">
            <v>348750</v>
          </cell>
        </row>
        <row r="510">
          <cell r="E510" t="str">
            <v>MUM/23-24/184</v>
          </cell>
          <cell r="F510" t="str">
            <v>being brokerage booked on insurance policies placed in Apr-23.</v>
          </cell>
          <cell r="G510">
            <v>69.62</v>
          </cell>
          <cell r="H510">
            <v>10.62</v>
          </cell>
          <cell r="I510">
            <v>59</v>
          </cell>
        </row>
        <row r="511">
          <cell r="E511" t="str">
            <v>MUM/23-24/185</v>
          </cell>
          <cell r="F511" t="str">
            <v>being brokerage booked on insurance policies placed in Apr-23.</v>
          </cell>
          <cell r="G511">
            <v>23046.58</v>
          </cell>
          <cell r="H511">
            <v>3515.58</v>
          </cell>
          <cell r="I511">
            <v>19531</v>
          </cell>
        </row>
        <row r="512">
          <cell r="E512" t="str">
            <v>MUM/23-24/186</v>
          </cell>
          <cell r="F512" t="str">
            <v>being brokerage booked on insurance policies placed in Apr-23.</v>
          </cell>
          <cell r="G512">
            <v>3634.4</v>
          </cell>
          <cell r="H512">
            <v>554.4</v>
          </cell>
          <cell r="I512">
            <v>3080</v>
          </cell>
        </row>
        <row r="513">
          <cell r="E513" t="str">
            <v>MUM/23-24/187</v>
          </cell>
          <cell r="F513" t="str">
            <v>being brokerage booked on insurance policies placed in Apr-23.</v>
          </cell>
          <cell r="G513">
            <v>189853.31</v>
          </cell>
          <cell r="H513">
            <v>28960.68</v>
          </cell>
          <cell r="I513">
            <v>160892.63</v>
          </cell>
        </row>
        <row r="514">
          <cell r="E514" t="str">
            <v>MUM/23-24/188</v>
          </cell>
          <cell r="F514" t="str">
            <v>being brokerage booked on insurance policies placed in Apr-23.</v>
          </cell>
          <cell r="G514">
            <v>7081.73</v>
          </cell>
          <cell r="H514">
            <v>1080.26</v>
          </cell>
          <cell r="I514">
            <v>6001.47</v>
          </cell>
        </row>
        <row r="515">
          <cell r="E515" t="str">
            <v>MUM/23-24/189</v>
          </cell>
          <cell r="F515" t="str">
            <v>being brokerage booked on insurance policies placed in Apr-23 3rd cycle retail.</v>
          </cell>
          <cell r="G515">
            <v>1350.4</v>
          </cell>
          <cell r="H515">
            <v>206</v>
          </cell>
          <cell r="I515">
            <v>1144.4000000000001</v>
          </cell>
        </row>
        <row r="516">
          <cell r="E516" t="str">
            <v>PUN/23-24/17</v>
          </cell>
          <cell r="F516" t="str">
            <v>being brokerage booked on insurance policies placed in Apr-23.</v>
          </cell>
          <cell r="G516">
            <v>6475.84</v>
          </cell>
          <cell r="H516">
            <v>987.84</v>
          </cell>
          <cell r="I516">
            <v>5488</v>
          </cell>
        </row>
        <row r="517">
          <cell r="E517" t="str">
            <v>PUN/23-24/18</v>
          </cell>
          <cell r="F517" t="str">
            <v>being brokerage booked on insurance policies placed in Apr-23.</v>
          </cell>
          <cell r="G517">
            <v>1765.28</v>
          </cell>
          <cell r="H517">
            <v>269.27999999999997</v>
          </cell>
          <cell r="I517">
            <v>1496</v>
          </cell>
        </row>
        <row r="518">
          <cell r="E518" t="str">
            <v>PUN/23-24/19</v>
          </cell>
          <cell r="F518" t="str">
            <v>being brokerage booked on insurance policies placed in Apr-23.</v>
          </cell>
          <cell r="G518">
            <v>382454.52</v>
          </cell>
          <cell r="H518">
            <v>58340.52</v>
          </cell>
          <cell r="I518">
            <v>324114</v>
          </cell>
        </row>
        <row r="519">
          <cell r="E519" t="str">
            <v>PUN/23-24/20</v>
          </cell>
          <cell r="F519" t="str">
            <v>being brokerage booked on insurance policies placed in Apr-23.</v>
          </cell>
          <cell r="G519">
            <v>518997.51</v>
          </cell>
          <cell r="H519">
            <v>79169.119999999995</v>
          </cell>
          <cell r="I519">
            <v>439828.39</v>
          </cell>
        </row>
        <row r="520">
          <cell r="E520" t="str">
            <v>BLR/23-24/67</v>
          </cell>
          <cell r="F520" t="str">
            <v>being brokerage booked on insurance policies placed in Apr-23.</v>
          </cell>
          <cell r="G520">
            <v>827704.62</v>
          </cell>
          <cell r="H520">
            <v>126260.02</v>
          </cell>
          <cell r="I520">
            <v>701444.6</v>
          </cell>
        </row>
        <row r="521">
          <cell r="E521" t="str">
            <v>BLR/23-24/68</v>
          </cell>
          <cell r="F521" t="str">
            <v>being brokerage booked on insurance policies placed in Apr-23.</v>
          </cell>
          <cell r="G521">
            <v>354392.12</v>
          </cell>
          <cell r="H521">
            <v>54059.82</v>
          </cell>
          <cell r="I521">
            <v>300332.3</v>
          </cell>
        </row>
        <row r="522">
          <cell r="E522" t="str">
            <v>BLR/23-24/69</v>
          </cell>
          <cell r="F522" t="str">
            <v>being brokerage booked on insurance policies placed in Apr-23 2nd cycle.</v>
          </cell>
          <cell r="G522">
            <v>624.22</v>
          </cell>
          <cell r="H522">
            <v>95.22</v>
          </cell>
          <cell r="I522">
            <v>529</v>
          </cell>
        </row>
        <row r="523">
          <cell r="E523" t="str">
            <v>BLR/23-24/70</v>
          </cell>
          <cell r="F523" t="str">
            <v>being brokerage booked on insurance policies placed in Apr-23. GST is not payable under reverse charge  on these services. The invoice is issued as per Section 31 of the CGST Act.</v>
          </cell>
          <cell r="G523">
            <v>3764365.2</v>
          </cell>
          <cell r="H523">
            <v>574225.19999999995</v>
          </cell>
          <cell r="I523">
            <v>3190140</v>
          </cell>
        </row>
        <row r="524">
          <cell r="E524" t="str">
            <v>BLR/23-24/71</v>
          </cell>
          <cell r="F524" t="str">
            <v>being brokerage booked on insurance policies placed in Apr-23.</v>
          </cell>
          <cell r="G524">
            <v>4027405.84</v>
          </cell>
          <cell r="H524">
            <v>614350.04</v>
          </cell>
          <cell r="I524">
            <v>3413055.8</v>
          </cell>
        </row>
        <row r="525">
          <cell r="E525" t="str">
            <v>CHN/23-24/51</v>
          </cell>
          <cell r="F525" t="str">
            <v>being brokerage booked on insurance policies placed in Apr-23. GST is not payable under reverse charge  on these services. The invoice is issued as per Section 31 of the CGST Act.</v>
          </cell>
          <cell r="G525">
            <v>310751.82</v>
          </cell>
          <cell r="H525">
            <v>47402.82</v>
          </cell>
          <cell r="I525">
            <v>263349</v>
          </cell>
        </row>
        <row r="526">
          <cell r="E526" t="str">
            <v>CHN/23-24/52</v>
          </cell>
          <cell r="F526" t="str">
            <v>being brokerage booked on insurance policies placed in Apr-23.</v>
          </cell>
          <cell r="G526">
            <v>1333301.67</v>
          </cell>
          <cell r="H526">
            <v>203385</v>
          </cell>
          <cell r="I526">
            <v>1129916.67</v>
          </cell>
        </row>
        <row r="527">
          <cell r="E527" t="str">
            <v>GGN/23-24/139</v>
          </cell>
          <cell r="F527" t="str">
            <v>being brokerage booked on insurance policies placed in Apr-23.</v>
          </cell>
          <cell r="G527">
            <v>740897.22</v>
          </cell>
          <cell r="H527">
            <v>113018.22</v>
          </cell>
          <cell r="I527">
            <v>627879</v>
          </cell>
        </row>
        <row r="528">
          <cell r="E528" t="str">
            <v>GGN/23-24/140</v>
          </cell>
          <cell r="F528" t="str">
            <v>being brokerage booked on insurance policies placed in Apr-23 Additional.</v>
          </cell>
          <cell r="G528">
            <v>14060504.359999999</v>
          </cell>
          <cell r="H528">
            <v>2144822.7000000002</v>
          </cell>
          <cell r="I528">
            <v>11915681.66</v>
          </cell>
        </row>
        <row r="529">
          <cell r="E529" t="str">
            <v>GGN/23-24/141</v>
          </cell>
          <cell r="F529" t="str">
            <v>being brokerage booked on insurance policies placed in Apr-23 2nd cycle.</v>
          </cell>
          <cell r="G529">
            <v>377521.42</v>
          </cell>
          <cell r="H529">
            <v>57588.01</v>
          </cell>
          <cell r="I529">
            <v>319933.40999999997</v>
          </cell>
        </row>
        <row r="530">
          <cell r="E530" t="str">
            <v>GGN/23-24/142</v>
          </cell>
          <cell r="F530" t="str">
            <v>being brokerage booked on insurance policies placed in Apr-23 1st cycle.</v>
          </cell>
          <cell r="G530">
            <v>1179746.3</v>
          </cell>
          <cell r="H530">
            <v>179961.3</v>
          </cell>
          <cell r="I530">
            <v>999785</v>
          </cell>
        </row>
        <row r="531">
          <cell r="E531" t="str">
            <v>GGN/23-24/143</v>
          </cell>
          <cell r="F531" t="str">
            <v>being brokerage booked on insurance policies placed in Apr-23. GST is not payable under reverse charge  on these services. The invoice is issued as per Section 31 of the CGST Act.</v>
          </cell>
          <cell r="G531">
            <v>3047178.9</v>
          </cell>
          <cell r="H531">
            <v>464823.9</v>
          </cell>
          <cell r="I531">
            <v>2582355</v>
          </cell>
        </row>
        <row r="532">
          <cell r="E532" t="str">
            <v>GGN/23-24/144</v>
          </cell>
          <cell r="F532" t="str">
            <v>being brokerage booked on insurance policies placed in Apr-23.</v>
          </cell>
          <cell r="G532">
            <v>1059613.51</v>
          </cell>
          <cell r="H532">
            <v>161635.96</v>
          </cell>
          <cell r="I532">
            <v>897977.55</v>
          </cell>
        </row>
        <row r="533">
          <cell r="E533" t="str">
            <v>GGN/23-24/145</v>
          </cell>
          <cell r="F533" t="str">
            <v>being brokerage booked on insurance policies placed in Apr-23.</v>
          </cell>
          <cell r="G533">
            <v>23660418.579999998</v>
          </cell>
          <cell r="H533">
            <v>3609216.39</v>
          </cell>
          <cell r="I533">
            <v>20051202.190000001</v>
          </cell>
        </row>
        <row r="534">
          <cell r="E534" t="str">
            <v>GGN/23-24/146</v>
          </cell>
          <cell r="F534" t="str">
            <v>being brokerage booked on insurance policies placed in Apr-23.</v>
          </cell>
          <cell r="G534">
            <v>81434.960000000006</v>
          </cell>
          <cell r="H534">
            <v>12422.28</v>
          </cell>
          <cell r="I534">
            <v>69012.679999999993</v>
          </cell>
        </row>
        <row r="535">
          <cell r="E535" t="str">
            <v>GGN/23-24/147</v>
          </cell>
          <cell r="F535" t="str">
            <v>being brokerage booked on insurance policies placed in Apr-23.</v>
          </cell>
          <cell r="G535">
            <v>15175.65</v>
          </cell>
          <cell r="H535">
            <v>2314.9299999999998</v>
          </cell>
          <cell r="I535">
            <v>12860.72</v>
          </cell>
        </row>
        <row r="536">
          <cell r="E536" t="str">
            <v>GGN/23-24/148</v>
          </cell>
          <cell r="F536" t="str">
            <v>being brokerage booked on insurance policies placed in Apr-23.</v>
          </cell>
          <cell r="G536">
            <v>539927.1</v>
          </cell>
          <cell r="H536">
            <v>82361.759999999995</v>
          </cell>
          <cell r="I536">
            <v>457565.34</v>
          </cell>
        </row>
        <row r="537">
          <cell r="E537" t="str">
            <v>HYD/23-24/28</v>
          </cell>
          <cell r="F537" t="str">
            <v>being brokerage booked on insurance policies placed in Apr-23.</v>
          </cell>
          <cell r="G537">
            <v>473.95</v>
          </cell>
          <cell r="H537">
            <v>72.3</v>
          </cell>
          <cell r="I537">
            <v>401.65</v>
          </cell>
        </row>
        <row r="538">
          <cell r="E538" t="str">
            <v>HYD/23-24/29</v>
          </cell>
          <cell r="F538" t="str">
            <v>being brokerage booked on insurance policies placed in Apr-23 2nd cycle.</v>
          </cell>
          <cell r="G538">
            <v>210.17</v>
          </cell>
          <cell r="H538">
            <v>32.06</v>
          </cell>
          <cell r="I538">
            <v>178.11</v>
          </cell>
        </row>
        <row r="539">
          <cell r="E539" t="str">
            <v>HYD/23-24/30</v>
          </cell>
          <cell r="F539" t="str">
            <v>being brokerage booked on insurance policies placed in Apr-23.</v>
          </cell>
          <cell r="G539">
            <v>9663610.3100000005</v>
          </cell>
          <cell r="H539">
            <v>1474110.04</v>
          </cell>
          <cell r="I539">
            <v>8189500.2699999996</v>
          </cell>
        </row>
        <row r="540">
          <cell r="E540" t="str">
            <v>LUD/23-24/20</v>
          </cell>
          <cell r="F540" t="str">
            <v>being brokerage booked on insurance policies placed in Apr-23. GST is not payable under reverse charge  on these services. The invoice is issued as per Section 31 of the CGST Act.</v>
          </cell>
          <cell r="G540">
            <v>476.72</v>
          </cell>
          <cell r="H540">
            <v>72.72</v>
          </cell>
          <cell r="I540">
            <v>404</v>
          </cell>
        </row>
        <row r="541">
          <cell r="E541" t="str">
            <v>LUD/23-24/21</v>
          </cell>
          <cell r="F541" t="str">
            <v>being brokerage booked on insurance policies placed in Apr-23.</v>
          </cell>
          <cell r="G541">
            <v>72832.89</v>
          </cell>
          <cell r="H541">
            <v>11110.1</v>
          </cell>
          <cell r="I541">
            <v>61722.79</v>
          </cell>
        </row>
        <row r="542">
          <cell r="E542" t="str">
            <v>MUM/23-24/190</v>
          </cell>
          <cell r="F542" t="str">
            <v>being brokerage booked on insurance policies placed in Apr-23.</v>
          </cell>
          <cell r="G542">
            <v>4951.4399999999996</v>
          </cell>
          <cell r="H542">
            <v>755.3</v>
          </cell>
          <cell r="I542">
            <v>4196.1400000000003</v>
          </cell>
        </row>
        <row r="543">
          <cell r="E543" t="str">
            <v>MUM/23-24/191</v>
          </cell>
          <cell r="F543" t="str">
            <v>being brokerage booked on insurance policies placed in Apr-23 2nd cycle.</v>
          </cell>
          <cell r="G543">
            <v>1008224.28</v>
          </cell>
          <cell r="H543">
            <v>153796.92000000001</v>
          </cell>
          <cell r="I543">
            <v>854427.36</v>
          </cell>
        </row>
        <row r="544">
          <cell r="E544" t="str">
            <v>MUM/23-24/192</v>
          </cell>
          <cell r="F544" t="str">
            <v>being brokerage booked on insurance policies placed in Apr-23 2nd cycle.</v>
          </cell>
          <cell r="G544">
            <v>8732.48</v>
          </cell>
          <cell r="H544">
            <v>1332.08</v>
          </cell>
          <cell r="I544">
            <v>7400.4</v>
          </cell>
        </row>
        <row r="545">
          <cell r="E545" t="str">
            <v>MUM/23-24/193</v>
          </cell>
          <cell r="F545" t="str">
            <v>being brokerage booked on insurance policies placed in month Apr-23. Reverse Charge Mechanism Applicable - NO.</v>
          </cell>
          <cell r="G545">
            <v>7238929.6900000004</v>
          </cell>
          <cell r="H545">
            <v>1104243.52</v>
          </cell>
          <cell r="I545">
            <v>6134686.1699999999</v>
          </cell>
        </row>
        <row r="546">
          <cell r="E546" t="str">
            <v>MUM/23-24/194</v>
          </cell>
          <cell r="F546" t="str">
            <v>being brokerage booked on insurance policies placed in month Apr-23. Reverse Charge Mechanism Applicable - NO.</v>
          </cell>
          <cell r="G546">
            <v>9024130.0299999993</v>
          </cell>
          <cell r="H546">
            <v>1376562.21</v>
          </cell>
          <cell r="I546">
            <v>7647567.8200000003</v>
          </cell>
        </row>
        <row r="547">
          <cell r="E547" t="str">
            <v>MUM/23-24/195</v>
          </cell>
          <cell r="F547" t="str">
            <v>being brokerage booked on insurance policies placed in month Apr-23. Reverse Charge Mechanism Applicable - NO.</v>
          </cell>
          <cell r="G547">
            <v>15541996.220000001</v>
          </cell>
          <cell r="H547">
            <v>2370812.98</v>
          </cell>
          <cell r="I547">
            <v>13171183.24</v>
          </cell>
        </row>
        <row r="548">
          <cell r="E548" t="str">
            <v>MUM/23-24/196</v>
          </cell>
          <cell r="F548" t="str">
            <v>being brokerage booked on insurance policies placed in month Apr-23. Reverse Charge Mechanism Applicable - NO.</v>
          </cell>
          <cell r="G548">
            <v>33597.01</v>
          </cell>
          <cell r="H548">
            <v>5124.97</v>
          </cell>
          <cell r="I548">
            <v>28472.04</v>
          </cell>
        </row>
        <row r="549">
          <cell r="E549" t="str">
            <v>MUM/23-24/197</v>
          </cell>
          <cell r="F549" t="str">
            <v>being brokerage booked on insurance policies placed in month Apr-23. Reverse Charge Mechanism Applicable - NO.</v>
          </cell>
          <cell r="G549">
            <v>493976.26</v>
          </cell>
          <cell r="H549">
            <v>75352.31</v>
          </cell>
          <cell r="I549">
            <v>418623.95</v>
          </cell>
        </row>
        <row r="550">
          <cell r="E550" t="str">
            <v>MUM/23-24/198</v>
          </cell>
          <cell r="F550" t="str">
            <v>being brokerage booked on insurance policies placed in month Apr-23. Reverse Charge Mechanism Applicable - NO.</v>
          </cell>
          <cell r="G550">
            <v>86140</v>
          </cell>
          <cell r="H550">
            <v>13140</v>
          </cell>
          <cell r="I550">
            <v>73000</v>
          </cell>
        </row>
        <row r="551">
          <cell r="E551" t="str">
            <v>MUM/23-24/199</v>
          </cell>
          <cell r="F551" t="str">
            <v>being brokerage booked on insurance policies placed in month Apr-23. Reverse Charge Mechanism Applicable - NO.</v>
          </cell>
          <cell r="G551">
            <v>227241.62</v>
          </cell>
          <cell r="H551">
            <v>34663.980000000003</v>
          </cell>
          <cell r="I551">
            <v>192577.64</v>
          </cell>
        </row>
        <row r="552">
          <cell r="E552" t="str">
            <v>MUM/23-24/200</v>
          </cell>
          <cell r="F552" t="str">
            <v>being brokerage booked on insurance policies placed in month Apr-23. Reverse Charge Mechanism Applicable - NO.</v>
          </cell>
          <cell r="G552">
            <v>4907.25</v>
          </cell>
          <cell r="H552">
            <v>748.56</v>
          </cell>
          <cell r="I552">
            <v>4158.6899999999996</v>
          </cell>
        </row>
        <row r="553">
          <cell r="E553" t="str">
            <v>MUM/23-24/201</v>
          </cell>
          <cell r="F553" t="str">
            <v>being brokerage booked on insurance policies placed in month Apr-23. Reverse Charge Mechanism Applicable - NO.</v>
          </cell>
          <cell r="G553">
            <v>2995569.75</v>
          </cell>
          <cell r="H553">
            <v>456951.32</v>
          </cell>
          <cell r="I553">
            <v>2538618.4300000002</v>
          </cell>
        </row>
        <row r="554">
          <cell r="E554" t="str">
            <v>MUM/23-24/202</v>
          </cell>
          <cell r="F554" t="str">
            <v>being brokerage booked on insurance policies placed in month Apr-23. Reverse Charge Mechanism Applicable - NO.</v>
          </cell>
          <cell r="G554">
            <v>101555.72</v>
          </cell>
          <cell r="H554">
            <v>15491.55</v>
          </cell>
          <cell r="I554">
            <v>86064.17</v>
          </cell>
        </row>
        <row r="555">
          <cell r="E555" t="str">
            <v>MUM/23-24/203</v>
          </cell>
          <cell r="F555" t="str">
            <v>being brokerage booked on insurance policies placed in Apr-23. GST is not payable under reverse charge  on these services. The invoice is issued as per Section 31 of the CGST Act.</v>
          </cell>
          <cell r="G555">
            <v>9888951.0600000005</v>
          </cell>
          <cell r="H555">
            <v>1508484.06</v>
          </cell>
          <cell r="I555">
            <v>8380467</v>
          </cell>
        </row>
        <row r="556">
          <cell r="E556" t="str">
            <v>MUM/23-24/204</v>
          </cell>
          <cell r="F556" t="str">
            <v>being brokerage booked on insurance policies placed in Apr-23. GST is not payable under reverse charge  on these services. The invoice is issued as per Section 31 of the CGST Act.</v>
          </cell>
          <cell r="G556">
            <v>15905.22</v>
          </cell>
          <cell r="H556">
            <v>2426.2199999999998</v>
          </cell>
          <cell r="I556">
            <v>13479</v>
          </cell>
        </row>
        <row r="557">
          <cell r="E557" t="str">
            <v>MUM/23-24/205</v>
          </cell>
          <cell r="F557" t="str">
            <v>being brokerage booked on insurance policies placed in Apr-23. GST is not payable under reverse charge  on these services. The invoice is issued as per Section 31 of the CGST Act.</v>
          </cell>
          <cell r="G557">
            <v>16203.76</v>
          </cell>
          <cell r="H557">
            <v>2471.7600000000002</v>
          </cell>
          <cell r="I557">
            <v>13732</v>
          </cell>
        </row>
        <row r="558">
          <cell r="E558" t="str">
            <v>MUM/23-24/206</v>
          </cell>
          <cell r="F558" t="str">
            <v>being brokerage booked on insurance policies placed in Apr-23.</v>
          </cell>
          <cell r="G558">
            <v>18332923.93</v>
          </cell>
          <cell r="H558">
            <v>2796547.72</v>
          </cell>
          <cell r="I558">
            <v>15536376.210000001</v>
          </cell>
        </row>
        <row r="559">
          <cell r="E559" t="str">
            <v>MUM/23-24/207</v>
          </cell>
          <cell r="F559" t="str">
            <v>being brokerage booked on insurance policies placed in Apr-23.</v>
          </cell>
          <cell r="G559">
            <v>49560.24</v>
          </cell>
          <cell r="H559">
            <v>7560.04</v>
          </cell>
          <cell r="I559">
            <v>42000.2</v>
          </cell>
        </row>
        <row r="560">
          <cell r="E560" t="str">
            <v>MUM/23-24/208</v>
          </cell>
          <cell r="F560" t="str">
            <v>being brokerage booked on insurance policies placed in Apr-23.</v>
          </cell>
          <cell r="G560">
            <v>1010431.76</v>
          </cell>
          <cell r="H560">
            <v>154133.66</v>
          </cell>
          <cell r="I560">
            <v>856298.1</v>
          </cell>
        </row>
        <row r="561">
          <cell r="E561" t="str">
            <v>MUM/23-24/209</v>
          </cell>
          <cell r="F561" t="str">
            <v>being brokerage booked on insurance policies placed in Apr-23.</v>
          </cell>
          <cell r="G561">
            <v>9271.5300000000007</v>
          </cell>
          <cell r="H561">
            <v>1414.3</v>
          </cell>
          <cell r="I561">
            <v>7857.23</v>
          </cell>
        </row>
        <row r="562">
          <cell r="E562" t="str">
            <v>PUN/23-24/21</v>
          </cell>
          <cell r="F562" t="str">
            <v>being brokerage booked on insurance policies placed in Apr-23. GST is not payable under reverse charge  on these services. The invoice is issued as per Section 31 of the CGST Act.</v>
          </cell>
          <cell r="G562">
            <v>30807508.440000001</v>
          </cell>
          <cell r="H562">
            <v>4699450.4400000004</v>
          </cell>
          <cell r="I562">
            <v>26108058</v>
          </cell>
        </row>
        <row r="563">
          <cell r="E563" t="str">
            <v>BLR/23-24/72</v>
          </cell>
          <cell r="F563" t="str">
            <v>being brokerage booked on insurance policies placed in Apr-23.</v>
          </cell>
          <cell r="G563">
            <v>69733.5</v>
          </cell>
          <cell r="H563">
            <v>10637.32</v>
          </cell>
          <cell r="I563">
            <v>59096.18</v>
          </cell>
        </row>
        <row r="564">
          <cell r="E564" t="str">
            <v>CHN/23-24/53</v>
          </cell>
          <cell r="F564" t="str">
            <v>being brokerage booked on insurance policies placed in Apr-23.</v>
          </cell>
          <cell r="G564">
            <v>1044201.81</v>
          </cell>
          <cell r="H564">
            <v>159285.01999999999</v>
          </cell>
          <cell r="I564">
            <v>884916.79</v>
          </cell>
        </row>
        <row r="565">
          <cell r="E565" t="str">
            <v>GGN/23-24/149</v>
          </cell>
          <cell r="F565" t="str">
            <v>being brokerage booked on insurance policies placed in Apr-23.</v>
          </cell>
          <cell r="G565">
            <v>1000817.59</v>
          </cell>
          <cell r="H565">
            <v>152667.09</v>
          </cell>
          <cell r="I565">
            <v>848150.5</v>
          </cell>
        </row>
        <row r="566">
          <cell r="E566" t="str">
            <v>MUM/23-24/210</v>
          </cell>
          <cell r="F566" t="str">
            <v>being reward booked on insurance policies placed in Oct-22 to Dec-22.</v>
          </cell>
          <cell r="G566">
            <v>110320.99</v>
          </cell>
          <cell r="H566">
            <v>16828.62</v>
          </cell>
          <cell r="I566">
            <v>93492.37</v>
          </cell>
        </row>
        <row r="567">
          <cell r="E567" t="str">
            <v>MUM/23-24/211</v>
          </cell>
          <cell r="F567" t="str">
            <v>being brokerage booked on insurance policies placed in Apr-23.</v>
          </cell>
          <cell r="G567">
            <v>36133.01</v>
          </cell>
          <cell r="H567">
            <v>5511.82</v>
          </cell>
          <cell r="I567">
            <v>30621.19</v>
          </cell>
        </row>
        <row r="568">
          <cell r="E568" t="str">
            <v>BLR/23-24/73</v>
          </cell>
          <cell r="F568" t="str">
            <v>being brokerage booked on insurance policies placed in Apr-23.</v>
          </cell>
          <cell r="G568">
            <v>364236.85</v>
          </cell>
          <cell r="H568">
            <v>55561.56</v>
          </cell>
          <cell r="I568">
            <v>308675.28999999998</v>
          </cell>
        </row>
        <row r="569">
          <cell r="E569" t="str">
            <v>BLR/23-24/74</v>
          </cell>
          <cell r="F569" t="str">
            <v>being brokerage booked on insurance policies placed in Apr-23.</v>
          </cell>
          <cell r="G569">
            <v>1756652.97</v>
          </cell>
          <cell r="H569">
            <v>267964.02</v>
          </cell>
          <cell r="I569">
            <v>1488688.95</v>
          </cell>
        </row>
        <row r="570">
          <cell r="E570" t="str">
            <v>CHN/23-24/54</v>
          </cell>
          <cell r="F570" t="str">
            <v>being brokerage booked on insurance policies placed in Apr-23.</v>
          </cell>
          <cell r="G570">
            <v>10921.68</v>
          </cell>
          <cell r="H570">
            <v>1666.02</v>
          </cell>
          <cell r="I570">
            <v>9255.66</v>
          </cell>
        </row>
        <row r="571">
          <cell r="E571" t="str">
            <v>GGN/23-24/150</v>
          </cell>
          <cell r="F571" t="str">
            <v>being brokerage booked on insurance policies placed in Apr-23.</v>
          </cell>
          <cell r="G571">
            <v>11394.68</v>
          </cell>
          <cell r="H571">
            <v>1738.17</v>
          </cell>
          <cell r="I571">
            <v>9656.51</v>
          </cell>
        </row>
        <row r="572">
          <cell r="E572" t="str">
            <v>GGN/23-24/151</v>
          </cell>
          <cell r="F572" t="str">
            <v>being brokerage booked on insurance policies placed in Apr-23.</v>
          </cell>
          <cell r="G572">
            <v>35706.730000000003</v>
          </cell>
          <cell r="H572">
            <v>5446.79</v>
          </cell>
          <cell r="I572">
            <v>30259.94</v>
          </cell>
        </row>
        <row r="573">
          <cell r="E573" t="str">
            <v>GGN/23-24/152</v>
          </cell>
          <cell r="F573" t="str">
            <v>being brokerage booked on insurance policies placed in Apr-23.</v>
          </cell>
          <cell r="G573">
            <v>265500</v>
          </cell>
          <cell r="H573">
            <v>40500</v>
          </cell>
          <cell r="I573">
            <v>225000</v>
          </cell>
        </row>
        <row r="574">
          <cell r="E574" t="str">
            <v>GGN/23-24/153</v>
          </cell>
          <cell r="F574" t="str">
            <v>being brokerage booked on insurance policies placed in Apr-23.</v>
          </cell>
          <cell r="G574">
            <v>2479938.2400000002</v>
          </cell>
          <cell r="H574">
            <v>378295.66</v>
          </cell>
          <cell r="I574">
            <v>2101642.58</v>
          </cell>
        </row>
        <row r="575">
          <cell r="E575" t="str">
            <v>GGN/23-24/154</v>
          </cell>
          <cell r="F575" t="str">
            <v>being reward booked on insurance policies placed for Mar-22. We also declare that our revenue from other than insurance intermidition activities less than fifty percent of our total revenue from all the activities.</v>
          </cell>
          <cell r="G575">
            <v>30892.400000000001</v>
          </cell>
          <cell r="H575">
            <v>4712.3999999999996</v>
          </cell>
          <cell r="I575">
            <v>26180</v>
          </cell>
        </row>
        <row r="576">
          <cell r="E576" t="str">
            <v>GGN/23-24/155</v>
          </cell>
          <cell r="F576" t="str">
            <v>being reward booked on insurance policies placed for Feb-23. We also declare that our revenue from other than insurance intermidition activities less than fifty percent of our total revenue from all the activities.</v>
          </cell>
          <cell r="G576">
            <v>16632.099999999999</v>
          </cell>
          <cell r="H576">
            <v>2537.1</v>
          </cell>
          <cell r="I576">
            <v>14095</v>
          </cell>
        </row>
        <row r="577">
          <cell r="E577" t="str">
            <v>GGN/23-24/156</v>
          </cell>
          <cell r="F577" t="str">
            <v>being reward booked on insurance policies placed for Feb-23. We also declare that our revenue from other than insurance intermidition activities less than fifty percent of our total revenue from all the activities.</v>
          </cell>
          <cell r="G577">
            <v>1786.52</v>
          </cell>
          <cell r="H577">
            <v>272.52</v>
          </cell>
          <cell r="I577">
            <v>1514</v>
          </cell>
        </row>
        <row r="578">
          <cell r="E578" t="str">
            <v>GGN/23-24/157</v>
          </cell>
          <cell r="F578" t="str">
            <v>being reward booked on insurance policies placed for Mar-23. We also declare that our revenue from other than insurance intermidition activities less than fifty percent of our total revenue from all the activities.</v>
          </cell>
          <cell r="G578">
            <v>1180398.8400000001</v>
          </cell>
          <cell r="H578">
            <v>180060.84</v>
          </cell>
          <cell r="I578">
            <v>1000338</v>
          </cell>
        </row>
        <row r="579">
          <cell r="E579" t="str">
            <v>GGN/23-24/158</v>
          </cell>
          <cell r="F579" t="str">
            <v>being reward booked on insurance policies placed for Mar-23. We also declare that our revenue from other than insurance intermidition activities less than fifty percent of our total revenue from all the activities.</v>
          </cell>
          <cell r="G579">
            <v>40186.080000000002</v>
          </cell>
          <cell r="H579">
            <v>6130.08</v>
          </cell>
          <cell r="I579">
            <v>34056</v>
          </cell>
        </row>
        <row r="580">
          <cell r="E580" t="str">
            <v>HYD/23-24/31</v>
          </cell>
          <cell r="F580" t="str">
            <v>being brokerage booked on insurance policies placed in Apr-23.</v>
          </cell>
          <cell r="G580">
            <v>27538.33</v>
          </cell>
          <cell r="H580">
            <v>4200.76</v>
          </cell>
          <cell r="I580">
            <v>23337.57</v>
          </cell>
        </row>
        <row r="581">
          <cell r="E581" t="str">
            <v>LUD/23-24/22</v>
          </cell>
          <cell r="F581" t="str">
            <v>being brokerage booked on insurance policies placed in Apr-23.</v>
          </cell>
          <cell r="G581">
            <v>291285.67</v>
          </cell>
          <cell r="H581">
            <v>44433.4</v>
          </cell>
          <cell r="I581">
            <v>246852.27</v>
          </cell>
        </row>
        <row r="582">
          <cell r="E582" t="str">
            <v>MUM/23-24/212</v>
          </cell>
          <cell r="F582" t="str">
            <v>being brokerage booked on insurance policies placed in Apr-23.</v>
          </cell>
          <cell r="G582">
            <v>533065.48</v>
          </cell>
          <cell r="H582">
            <v>81315.08</v>
          </cell>
          <cell r="I582">
            <v>451750.40000000002</v>
          </cell>
        </row>
        <row r="583">
          <cell r="E583" t="str">
            <v>MUM/23-24/213</v>
          </cell>
          <cell r="F583" t="str">
            <v>being brokerage booked on insurance policies placed in Apr-23.</v>
          </cell>
          <cell r="G583">
            <v>5026857.1399999997</v>
          </cell>
          <cell r="H583">
            <v>766808.72</v>
          </cell>
          <cell r="I583">
            <v>4260048.42</v>
          </cell>
        </row>
        <row r="584">
          <cell r="E584" t="str">
            <v>PUN/23-24/22</v>
          </cell>
          <cell r="F584" t="str">
            <v>being brokerage booked on insurance policies placed in Apr-23.</v>
          </cell>
          <cell r="G584">
            <v>1279284.9099999999</v>
          </cell>
          <cell r="H584">
            <v>195145.16</v>
          </cell>
          <cell r="I584">
            <v>1084139.75</v>
          </cell>
        </row>
        <row r="585">
          <cell r="E585" t="str">
            <v>BLR/23-24/75</v>
          </cell>
          <cell r="F585" t="str">
            <v>being brokerage booked on insurance policies placed in Jul-22.</v>
          </cell>
          <cell r="G585">
            <v>55312.5</v>
          </cell>
          <cell r="H585">
            <v>8437.5</v>
          </cell>
          <cell r="I585">
            <v>46875</v>
          </cell>
        </row>
        <row r="586">
          <cell r="E586" t="str">
            <v>GGN/23-24/159</v>
          </cell>
          <cell r="F586" t="str">
            <v>being brokerage booked on insurance policies placed in Apr-23.</v>
          </cell>
          <cell r="G586">
            <v>6417.81</v>
          </cell>
          <cell r="H586">
            <v>978.99</v>
          </cell>
          <cell r="I586">
            <v>5438.82</v>
          </cell>
        </row>
        <row r="587">
          <cell r="E587" t="str">
            <v>GGN/23-24/160</v>
          </cell>
          <cell r="F587" t="str">
            <v>being brokerage booked on insurance policies placed in Apr-23.</v>
          </cell>
          <cell r="G587">
            <v>2575.06</v>
          </cell>
          <cell r="H587">
            <v>392.8</v>
          </cell>
          <cell r="I587">
            <v>2182.2600000000002</v>
          </cell>
        </row>
        <row r="588">
          <cell r="E588" t="str">
            <v>GGN/23-24/161</v>
          </cell>
          <cell r="F588" t="str">
            <v>being brokerage booked on insurance policies placed in Apr-23.</v>
          </cell>
          <cell r="G588">
            <v>91.9</v>
          </cell>
          <cell r="H588">
            <v>14.02</v>
          </cell>
          <cell r="I588">
            <v>77.88</v>
          </cell>
        </row>
        <row r="589">
          <cell r="E589" t="str">
            <v>GGN/23-24/162</v>
          </cell>
          <cell r="F589" t="str">
            <v>being brokerage booked on insurance policies placed in Apr-23.</v>
          </cell>
          <cell r="G589">
            <v>158927.12</v>
          </cell>
          <cell r="H589">
            <v>24243.119999999999</v>
          </cell>
          <cell r="I589">
            <v>134684</v>
          </cell>
        </row>
        <row r="590">
          <cell r="E590" t="str">
            <v>MUM/23-24/214</v>
          </cell>
          <cell r="F590" t="str">
            <v>Being brokerage booked on insurance policies placed in Apr-23.</v>
          </cell>
          <cell r="G590">
            <v>106040137.14</v>
          </cell>
          <cell r="H590">
            <v>16175614.140000001</v>
          </cell>
          <cell r="I590">
            <v>89864523</v>
          </cell>
        </row>
        <row r="591">
          <cell r="E591" t="str">
            <v>MUM/23-24/215</v>
          </cell>
          <cell r="F591" t="str">
            <v>being brokerage booked on insurance policies placed in Apr-23.</v>
          </cell>
          <cell r="G591">
            <v>10701.59</v>
          </cell>
          <cell r="H591">
            <v>1632.44</v>
          </cell>
          <cell r="I591">
            <v>9069.15</v>
          </cell>
        </row>
        <row r="592">
          <cell r="E592" t="str">
            <v>MUM/23-24/216</v>
          </cell>
          <cell r="F592" t="str">
            <v>being brokerage booked on insurance policies placed in Apr-23.</v>
          </cell>
          <cell r="G592">
            <v>3804948.04</v>
          </cell>
          <cell r="H592">
            <v>580415.80000000005</v>
          </cell>
          <cell r="I592">
            <v>3224532.24</v>
          </cell>
        </row>
        <row r="593">
          <cell r="E593" t="str">
            <v>MUM/23-24/217</v>
          </cell>
          <cell r="F593" t="str">
            <v>being brokerage booked on insurance policies placed in Apr-23.</v>
          </cell>
          <cell r="G593">
            <v>138225.19</v>
          </cell>
          <cell r="H593">
            <v>21085.200000000001</v>
          </cell>
          <cell r="I593">
            <v>117139.99</v>
          </cell>
        </row>
        <row r="594">
          <cell r="E594" t="str">
            <v>MUM/23-24/218</v>
          </cell>
          <cell r="F594" t="str">
            <v>being RI brokerage booked  Insured: Sannam S4 Management Services Pvt Ltd ;  Cedant: Bajaj Allianz General Insurance Co Ltd ; Policy Period: 15.02.2023 to 14.02.2024</v>
          </cell>
          <cell r="G594">
            <v>176778.16</v>
          </cell>
          <cell r="H594">
            <v>26966.16</v>
          </cell>
          <cell r="I594">
            <v>149812</v>
          </cell>
        </row>
        <row r="595">
          <cell r="E595" t="str">
            <v>BLR/23-24/76</v>
          </cell>
          <cell r="F595" t="str">
            <v>being brokerage booked on insurance policies placed in Apr-23.</v>
          </cell>
          <cell r="G595">
            <v>3416763.16</v>
          </cell>
          <cell r="H595">
            <v>521201.16</v>
          </cell>
          <cell r="I595">
            <v>2895562</v>
          </cell>
        </row>
        <row r="596">
          <cell r="E596" t="str">
            <v>BLR/23-24/77</v>
          </cell>
          <cell r="F596" t="str">
            <v>being brokerage booked on insurance policies placed in Apr-23.</v>
          </cell>
          <cell r="G596">
            <v>230206.2</v>
          </cell>
          <cell r="H596">
            <v>35116.199999999997</v>
          </cell>
          <cell r="I596">
            <v>195090</v>
          </cell>
        </row>
        <row r="597">
          <cell r="E597" t="str">
            <v>CHN/23-24/55</v>
          </cell>
          <cell r="F597" t="str">
            <v>being brokerage booked on insurance policies placed in Apr-23.</v>
          </cell>
          <cell r="G597">
            <v>94312.68</v>
          </cell>
          <cell r="H597">
            <v>14386.68</v>
          </cell>
          <cell r="I597">
            <v>79926</v>
          </cell>
        </row>
        <row r="598">
          <cell r="E598" t="str">
            <v>GGN/23-24/163</v>
          </cell>
          <cell r="F598" t="str">
            <v>being brokerage booked on insurance policies placed in State and District: Assam - Bajali. Pradhan Mantri Fasal Bima Yojana.</v>
          </cell>
          <cell r="G598">
            <v>103176.08</v>
          </cell>
          <cell r="H598">
            <v>15738.72</v>
          </cell>
          <cell r="I598">
            <v>87437.36</v>
          </cell>
        </row>
        <row r="599">
          <cell r="E599" t="str">
            <v>GGN/23-24/164</v>
          </cell>
          <cell r="F599" t="str">
            <v>being brokerage booked on insurance policies placed in State and District: Uttarakhand - Nainital. Weather Based Crop Insurance Scheme.</v>
          </cell>
          <cell r="G599">
            <v>46278.13</v>
          </cell>
          <cell r="H599">
            <v>7059.38</v>
          </cell>
          <cell r="I599">
            <v>39218.75</v>
          </cell>
        </row>
        <row r="600">
          <cell r="E600" t="str">
            <v>GGN/23-24/165</v>
          </cell>
          <cell r="F600" t="str">
            <v>being brokerage booked on insurance policies placed in Apr-23.</v>
          </cell>
          <cell r="G600">
            <v>17217.38</v>
          </cell>
          <cell r="H600">
            <v>2626.38</v>
          </cell>
          <cell r="I600">
            <v>14591</v>
          </cell>
        </row>
        <row r="601">
          <cell r="E601" t="str">
            <v>GGN/23-24/166</v>
          </cell>
          <cell r="F601" t="str">
            <v>being brokerage booked on insurance policies placed in Apr-23.</v>
          </cell>
          <cell r="G601">
            <v>13630.18</v>
          </cell>
          <cell r="H601">
            <v>2079.1799999999998</v>
          </cell>
          <cell r="I601">
            <v>11551</v>
          </cell>
        </row>
        <row r="602">
          <cell r="E602" t="str">
            <v>GGN/23-24/167</v>
          </cell>
          <cell r="F602" t="str">
            <v>being brokerage booked on insurance policies placed in Apr-23.</v>
          </cell>
          <cell r="G602">
            <v>11978.18</v>
          </cell>
          <cell r="H602">
            <v>1827.18</v>
          </cell>
          <cell r="I602">
            <v>10151</v>
          </cell>
        </row>
        <row r="603">
          <cell r="E603" t="str">
            <v>GGN/23-24/168</v>
          </cell>
          <cell r="F603" t="str">
            <v>being brokerage booked on insurance policies placed in Apr-23.</v>
          </cell>
          <cell r="G603">
            <v>15930</v>
          </cell>
          <cell r="H603">
            <v>2430</v>
          </cell>
          <cell r="I603">
            <v>13500</v>
          </cell>
        </row>
        <row r="604">
          <cell r="E604" t="str">
            <v>GGN/23-24/169</v>
          </cell>
          <cell r="F604" t="str">
            <v>being brokerage booked on insurance policies placed in Apr-23.</v>
          </cell>
          <cell r="G604">
            <v>242068.74</v>
          </cell>
          <cell r="H604">
            <v>36925.74</v>
          </cell>
          <cell r="I604">
            <v>205143</v>
          </cell>
        </row>
        <row r="605">
          <cell r="E605" t="str">
            <v>GGN/23-24/170</v>
          </cell>
          <cell r="F605" t="str">
            <v>being reward booked on insurance policies placed in Apr-22 to Mar-23.</v>
          </cell>
          <cell r="G605">
            <v>409142.69</v>
          </cell>
          <cell r="H605">
            <v>62411.6</v>
          </cell>
          <cell r="I605">
            <v>346731.09</v>
          </cell>
        </row>
        <row r="606">
          <cell r="E606" t="str">
            <v>HYD/23-24/32</v>
          </cell>
          <cell r="F606" t="str">
            <v>being brokerage booked on insurance policies placed in Apr-23.</v>
          </cell>
          <cell r="G606">
            <v>20449.400000000001</v>
          </cell>
          <cell r="H606">
            <v>3119.4</v>
          </cell>
          <cell r="I606">
            <v>17330</v>
          </cell>
        </row>
        <row r="607">
          <cell r="E607" t="str">
            <v>HYD/23-24/33</v>
          </cell>
          <cell r="F607" t="str">
            <v>being brokerage booked on insurance policies placed in Apr-23.</v>
          </cell>
          <cell r="G607">
            <v>2226.66</v>
          </cell>
          <cell r="H607">
            <v>339.66</v>
          </cell>
          <cell r="I607">
            <v>1887</v>
          </cell>
        </row>
        <row r="608">
          <cell r="E608" t="str">
            <v>HYD/23-24/34</v>
          </cell>
          <cell r="F608" t="str">
            <v>being brokerage booked on insurance policies placed in Apr-23.</v>
          </cell>
          <cell r="G608">
            <v>10291.209999999999</v>
          </cell>
          <cell r="H608">
            <v>1569.84</v>
          </cell>
          <cell r="I608">
            <v>8721.3700000000008</v>
          </cell>
        </row>
        <row r="609">
          <cell r="E609" t="str">
            <v>LUD/23-24/23</v>
          </cell>
          <cell r="F609" t="str">
            <v>being brokerage booked on insurance policies placed in Q4 22-23.</v>
          </cell>
          <cell r="G609">
            <v>330945.65000000002</v>
          </cell>
          <cell r="H609">
            <v>50483.24</v>
          </cell>
          <cell r="I609">
            <v>280462.40999999997</v>
          </cell>
        </row>
        <row r="610">
          <cell r="E610" t="str">
            <v>LUD/23-24/24</v>
          </cell>
          <cell r="F610" t="str">
            <v>being brokerage booked on insurance policies placed in Apr-23.</v>
          </cell>
          <cell r="G610">
            <v>7227.5</v>
          </cell>
          <cell r="H610">
            <v>1102.5</v>
          </cell>
          <cell r="I610">
            <v>6125</v>
          </cell>
        </row>
        <row r="611">
          <cell r="E611" t="str">
            <v>MUM/23-24/219</v>
          </cell>
          <cell r="F611" t="str">
            <v>being brokerage booked on insurance policies placed in Apr-23.</v>
          </cell>
          <cell r="G611">
            <v>29334.799999999999</v>
          </cell>
          <cell r="H611">
            <v>4474.8</v>
          </cell>
          <cell r="I611">
            <v>24860</v>
          </cell>
        </row>
        <row r="612">
          <cell r="E612" t="str">
            <v>MUM/23-24/220</v>
          </cell>
          <cell r="F612" t="str">
            <v>being brokerage booked on insurance policies placed in Apr-23.</v>
          </cell>
          <cell r="G612">
            <v>997813.23</v>
          </cell>
          <cell r="H612">
            <v>152208.79999999999</v>
          </cell>
          <cell r="I612">
            <v>845604.43</v>
          </cell>
        </row>
        <row r="613">
          <cell r="E613" t="str">
            <v>MUM/23-24/221</v>
          </cell>
          <cell r="F613" t="str">
            <v>being brokerage booked on insurance policies placed in Apr-23.</v>
          </cell>
          <cell r="G613">
            <v>68045.88</v>
          </cell>
          <cell r="H613">
            <v>10379.879999999999</v>
          </cell>
          <cell r="I613">
            <v>57666</v>
          </cell>
        </row>
        <row r="614">
          <cell r="E614" t="str">
            <v>MUM/23-24/222</v>
          </cell>
          <cell r="F614" t="str">
            <v>being brokerage booked on insurance policies placed in Apr-23.</v>
          </cell>
          <cell r="G614">
            <v>136135.42000000001</v>
          </cell>
          <cell r="H614">
            <v>20766.419999999998</v>
          </cell>
          <cell r="I614">
            <v>115369</v>
          </cell>
        </row>
        <row r="615">
          <cell r="E615" t="str">
            <v>MUM/23-24/223</v>
          </cell>
          <cell r="F615" t="str">
            <v>being brokerage booked on insurance policies placed in Apr-23.</v>
          </cell>
          <cell r="G615">
            <v>199420</v>
          </cell>
          <cell r="H615">
            <v>30420</v>
          </cell>
          <cell r="I615">
            <v>169000</v>
          </cell>
        </row>
        <row r="616">
          <cell r="E616" t="str">
            <v>MUM/23-24/224</v>
          </cell>
          <cell r="F616" t="str">
            <v>being brokerage booked on insurance policies placed in Apr-23 1st cycle.</v>
          </cell>
          <cell r="G616">
            <v>2323528.66</v>
          </cell>
          <cell r="H616">
            <v>354436.58</v>
          </cell>
          <cell r="I616">
            <v>1969092.08</v>
          </cell>
        </row>
        <row r="617">
          <cell r="E617" t="str">
            <v>MUM/23-24/225</v>
          </cell>
          <cell r="F617" t="str">
            <v>being reward booked on insurance policies placed in Apr-23 1st cycle.</v>
          </cell>
          <cell r="G617">
            <v>433909.56</v>
          </cell>
          <cell r="H617">
            <v>66189.600000000006</v>
          </cell>
          <cell r="I617">
            <v>367719.96</v>
          </cell>
        </row>
        <row r="618">
          <cell r="E618" t="str">
            <v>GGN/23-24/171</v>
          </cell>
          <cell r="F618" t="str">
            <v>being brokerage booked on insurance policies placed in April-23.</v>
          </cell>
          <cell r="G618">
            <v>3457368.31</v>
          </cell>
          <cell r="H618">
            <v>527395.16</v>
          </cell>
          <cell r="I618">
            <v>2929973.15</v>
          </cell>
        </row>
        <row r="619">
          <cell r="E619" t="str">
            <v>MUM/23-24/226</v>
          </cell>
          <cell r="F619" t="str">
            <v>being brokerage booked on insurance policies placed in Apr-23.</v>
          </cell>
          <cell r="G619">
            <v>393897.53</v>
          </cell>
          <cell r="H619">
            <v>60086.06</v>
          </cell>
          <cell r="I619">
            <v>333811.46999999997</v>
          </cell>
        </row>
        <row r="620">
          <cell r="E620" t="str">
            <v>BLR/23-24/78</v>
          </cell>
          <cell r="F620" t="str">
            <v>being brokerage booked on insurance policies placed in Mar-23.</v>
          </cell>
          <cell r="G620">
            <v>6186.74</v>
          </cell>
          <cell r="H620">
            <v>943.74</v>
          </cell>
          <cell r="I620">
            <v>5243</v>
          </cell>
        </row>
        <row r="621">
          <cell r="E621" t="str">
            <v>BLR/23-24/79</v>
          </cell>
          <cell r="F621" t="str">
            <v>being reward booked on insurance policies placed in Apr-23.</v>
          </cell>
          <cell r="G621">
            <v>1662619.12</v>
          </cell>
          <cell r="H621">
            <v>253619.86</v>
          </cell>
          <cell r="I621">
            <v>1408999.26</v>
          </cell>
        </row>
        <row r="622">
          <cell r="E622" t="str">
            <v>BLR/23-24/80</v>
          </cell>
          <cell r="F622" t="str">
            <v>being reward booked on insurance policies placed in Apr-23.</v>
          </cell>
          <cell r="G622">
            <v>69061.179999999993</v>
          </cell>
          <cell r="H622">
            <v>10534.76</v>
          </cell>
          <cell r="I622">
            <v>58526.42</v>
          </cell>
        </row>
        <row r="623">
          <cell r="E623" t="str">
            <v>GGN/23-24/172</v>
          </cell>
          <cell r="F623" t="str">
            <v>being brokerage booked on insurance policies placed in April-23.</v>
          </cell>
          <cell r="G623">
            <v>3866968.91</v>
          </cell>
          <cell r="H623">
            <v>589876.61</v>
          </cell>
          <cell r="I623">
            <v>3277092.3</v>
          </cell>
        </row>
        <row r="624">
          <cell r="E624" t="str">
            <v>GGN/23-24/173</v>
          </cell>
          <cell r="F624" t="str">
            <v>being brokerage booked on insurance policies placed in April-23.</v>
          </cell>
          <cell r="G624">
            <v>184811.6</v>
          </cell>
          <cell r="H624">
            <v>28191.599999999999</v>
          </cell>
          <cell r="I624">
            <v>156620</v>
          </cell>
        </row>
        <row r="625">
          <cell r="E625" t="str">
            <v>GGN/23-24/174</v>
          </cell>
          <cell r="F625" t="str">
            <v>being brokerage booked on insurance policies placed in April-23.</v>
          </cell>
          <cell r="G625">
            <v>1525</v>
          </cell>
          <cell r="H625">
            <v>232.66</v>
          </cell>
          <cell r="I625">
            <v>1292.3399999999999</v>
          </cell>
        </row>
        <row r="626">
          <cell r="E626" t="str">
            <v>GGN/23-24/175</v>
          </cell>
          <cell r="F626" t="str">
            <v>being brokerage booked on insurance policies placed in April-23.</v>
          </cell>
          <cell r="G626">
            <v>170</v>
          </cell>
          <cell r="H626">
            <v>25.93</v>
          </cell>
          <cell r="I626">
            <v>144.07</v>
          </cell>
        </row>
        <row r="627">
          <cell r="E627" t="str">
            <v>GGN/23-24/176</v>
          </cell>
          <cell r="F627" t="str">
            <v>being reward booked on insurance policies placed in Apr-23.</v>
          </cell>
          <cell r="G627">
            <v>2840.48</v>
          </cell>
          <cell r="H627">
            <v>433.3</v>
          </cell>
          <cell r="I627">
            <v>2407.1799999999998</v>
          </cell>
        </row>
        <row r="628">
          <cell r="E628" t="str">
            <v>GGN/23-24/177</v>
          </cell>
          <cell r="F628" t="str">
            <v>being reward booked on insurance policies placed in Apr-23.</v>
          </cell>
          <cell r="G628">
            <v>212400</v>
          </cell>
          <cell r="H628">
            <v>32400</v>
          </cell>
          <cell r="I628">
            <v>180000</v>
          </cell>
        </row>
        <row r="629">
          <cell r="E629" t="str">
            <v>MUM/23-24/227</v>
          </cell>
          <cell r="F629" t="str">
            <v>being brokerage booked on insurance policies placed in Apr-23.</v>
          </cell>
          <cell r="G629">
            <v>144836.66</v>
          </cell>
          <cell r="H629">
            <v>22093.72</v>
          </cell>
          <cell r="I629">
            <v>122742.94</v>
          </cell>
        </row>
        <row r="630">
          <cell r="E630" t="str">
            <v>MUM/23-24/228</v>
          </cell>
          <cell r="F630" t="str">
            <v>being brokerage booked on insurance policies placed in Apr-23.</v>
          </cell>
          <cell r="G630">
            <v>45.93</v>
          </cell>
          <cell r="H630">
            <v>7.01</v>
          </cell>
          <cell r="I630">
            <v>38.92</v>
          </cell>
        </row>
        <row r="631">
          <cell r="E631" t="str">
            <v>MUM/23-24/229</v>
          </cell>
          <cell r="F631" t="str">
            <v>being brokerage booked on insurance policies placed in Mar-23.</v>
          </cell>
          <cell r="G631">
            <v>4050.94</v>
          </cell>
          <cell r="H631">
            <v>617.94000000000005</v>
          </cell>
          <cell r="I631">
            <v>3433</v>
          </cell>
        </row>
        <row r="632">
          <cell r="E632" t="str">
            <v>MUM/23-24/230</v>
          </cell>
          <cell r="F632" t="str">
            <v>being brokerage booked on insurance policies placed in Apr-23.</v>
          </cell>
          <cell r="G632">
            <v>5.87</v>
          </cell>
          <cell r="H632">
            <v>0.9</v>
          </cell>
          <cell r="I632">
            <v>4.97</v>
          </cell>
        </row>
        <row r="633">
          <cell r="E633" t="str">
            <v>MUM/23-24/231</v>
          </cell>
          <cell r="F633" t="str">
            <v>Being Reward booked on insurance policies placed in Apr-23.</v>
          </cell>
          <cell r="G633">
            <v>68371.56</v>
          </cell>
          <cell r="H633">
            <v>10429.56</v>
          </cell>
          <cell r="I633">
            <v>57942</v>
          </cell>
        </row>
        <row r="634">
          <cell r="E634" t="str">
            <v>MUM/23-24/232</v>
          </cell>
          <cell r="F634" t="str">
            <v>Being Reward booked on insurance policies placed in Apr-23.</v>
          </cell>
          <cell r="G634">
            <v>274.17</v>
          </cell>
          <cell r="H634">
            <v>41.82</v>
          </cell>
          <cell r="I634">
            <v>232.35</v>
          </cell>
        </row>
        <row r="635">
          <cell r="E635" t="str">
            <v>MUM/23-24/233</v>
          </cell>
          <cell r="F635" t="str">
            <v>being brokerage booked on insurance policies placed in Apr-23.</v>
          </cell>
          <cell r="G635">
            <v>2242</v>
          </cell>
          <cell r="H635">
            <v>341.98</v>
          </cell>
          <cell r="I635">
            <v>1900.02</v>
          </cell>
        </row>
        <row r="636">
          <cell r="E636" t="str">
            <v>MUM/23-24/234</v>
          </cell>
          <cell r="F636" t="str">
            <v>being reward booked on insurance policies placed in Apr-23.</v>
          </cell>
          <cell r="G636">
            <v>444048.54</v>
          </cell>
          <cell r="H636">
            <v>67736.22</v>
          </cell>
          <cell r="I636">
            <v>376312.32000000001</v>
          </cell>
        </row>
        <row r="637">
          <cell r="E637" t="str">
            <v>MUM/23-24/235</v>
          </cell>
          <cell r="F637" t="str">
            <v>being reward booked on insurance policies placed in Apr-23.</v>
          </cell>
          <cell r="G637">
            <v>49855</v>
          </cell>
          <cell r="H637">
            <v>7605</v>
          </cell>
          <cell r="I637">
            <v>42250</v>
          </cell>
        </row>
        <row r="638">
          <cell r="E638" t="str">
            <v>BLR/23-24/81</v>
          </cell>
          <cell r="F638" t="str">
            <v>being brokerage booked on insurance policies placed in Dec-21.</v>
          </cell>
          <cell r="G638">
            <v>1082312.48</v>
          </cell>
          <cell r="H638">
            <v>165098.51999999999</v>
          </cell>
          <cell r="I638">
            <v>917213.96</v>
          </cell>
        </row>
        <row r="639">
          <cell r="E639" t="str">
            <v>BLR/23-24/82</v>
          </cell>
          <cell r="F639" t="str">
            <v>being brokerage booked on insurance policies placed in Apr-23,</v>
          </cell>
          <cell r="G639">
            <v>5551534.25</v>
          </cell>
          <cell r="H639">
            <v>846844.2</v>
          </cell>
          <cell r="I639">
            <v>4704690.05</v>
          </cell>
        </row>
        <row r="640">
          <cell r="E640" t="str">
            <v>CHN/23-24/56</v>
          </cell>
          <cell r="F640" t="str">
            <v>being brokerage booked on insurance policies placed in May-23.</v>
          </cell>
          <cell r="G640">
            <v>152.22</v>
          </cell>
          <cell r="H640">
            <v>23.22</v>
          </cell>
          <cell r="I640">
            <v>129</v>
          </cell>
        </row>
        <row r="641">
          <cell r="E641" t="str">
            <v>GGN/23-24/178</v>
          </cell>
          <cell r="F641" t="str">
            <v>being brokerage booked on insurance policies placed in Apr-23.</v>
          </cell>
          <cell r="G641">
            <v>12.68</v>
          </cell>
          <cell r="H641">
            <v>1.94</v>
          </cell>
          <cell r="I641">
            <v>10.74</v>
          </cell>
        </row>
        <row r="642">
          <cell r="E642" t="str">
            <v>GGN/23-24/179</v>
          </cell>
          <cell r="F642" t="str">
            <v>being brokerage booked on insurance policies placed in Apr-23.</v>
          </cell>
          <cell r="G642">
            <v>842906.24</v>
          </cell>
          <cell r="H642">
            <v>128578.92</v>
          </cell>
          <cell r="I642">
            <v>714327.32</v>
          </cell>
        </row>
        <row r="643">
          <cell r="E643" t="str">
            <v>MUM/23-24/236</v>
          </cell>
          <cell r="F643" t="str">
            <v>being reward booked on insurance policies placed in Jan to Mar23. Reverse Charge Mechanism Applicable - NO.</v>
          </cell>
          <cell r="G643">
            <v>2483104.69</v>
          </cell>
          <cell r="H643">
            <v>378778.68</v>
          </cell>
          <cell r="I643">
            <v>2104326.0099999998</v>
          </cell>
        </row>
        <row r="644">
          <cell r="E644" t="str">
            <v>MUM/23-24/237</v>
          </cell>
          <cell r="F644" t="str">
            <v>being reward booked on insurance policies placed in Jan to Mar23. Reverse Charge Mechanism Applicable - NO.</v>
          </cell>
          <cell r="G644">
            <v>59441.86</v>
          </cell>
          <cell r="H644">
            <v>9067.4</v>
          </cell>
          <cell r="I644">
            <v>50374.46</v>
          </cell>
        </row>
        <row r="645">
          <cell r="E645" t="str">
            <v>MUM/23-24/238</v>
          </cell>
          <cell r="F645" t="str">
            <v>being reward booked on insurance policies placed in Jan to Mar23. Reverse Charge Mechanism Applicable - NO.</v>
          </cell>
          <cell r="G645">
            <v>3832008.56</v>
          </cell>
          <cell r="H645">
            <v>584543.68000000005</v>
          </cell>
          <cell r="I645">
            <v>3247464.88</v>
          </cell>
        </row>
        <row r="646">
          <cell r="E646" t="str">
            <v>MUM/23-24/239</v>
          </cell>
          <cell r="F646" t="str">
            <v>being reward booked on insurance policies placed in Jan to Mar23. Reverse Charge Mechanism Applicable - NO.</v>
          </cell>
          <cell r="G646">
            <v>1803.98</v>
          </cell>
          <cell r="H646">
            <v>275.18</v>
          </cell>
          <cell r="I646">
            <v>1528.8</v>
          </cell>
        </row>
        <row r="647">
          <cell r="E647" t="str">
            <v>MUM/23-24/240</v>
          </cell>
          <cell r="F647" t="str">
            <v>being reward booked on insurance policies placed in Jan to Mar23. Reverse Charge Mechanism Applicable - NO.</v>
          </cell>
          <cell r="G647">
            <v>23129.32</v>
          </cell>
          <cell r="H647">
            <v>3528.2</v>
          </cell>
          <cell r="I647">
            <v>19601.12</v>
          </cell>
        </row>
        <row r="648">
          <cell r="E648" t="str">
            <v>MUM/23-24/241</v>
          </cell>
          <cell r="F648" t="str">
            <v>being reward booked on insurance policies placed in Jan to Mar23. Reverse Charge Mechanism Applicable - NO.</v>
          </cell>
          <cell r="G648">
            <v>17691.099999999999</v>
          </cell>
          <cell r="H648">
            <v>2698.64</v>
          </cell>
          <cell r="I648">
            <v>14992.46</v>
          </cell>
        </row>
        <row r="649">
          <cell r="E649" t="str">
            <v>MUM/23-24/242</v>
          </cell>
          <cell r="F649" t="str">
            <v>being reward booked on insurance policies placed in Jan to Mar23. Reverse Charge Mechanism Applicable - NO.</v>
          </cell>
          <cell r="G649">
            <v>63913.5</v>
          </cell>
          <cell r="H649">
            <v>9749.52</v>
          </cell>
          <cell r="I649">
            <v>54163.98</v>
          </cell>
        </row>
        <row r="650">
          <cell r="E650" t="str">
            <v>MUM/23-24/243</v>
          </cell>
          <cell r="F650" t="str">
            <v>being reward booked on insurance policies placed in Jan to Mar23. Reverse Charge Mechanism Applicable - NO.</v>
          </cell>
          <cell r="G650">
            <v>703409.17</v>
          </cell>
          <cell r="H650">
            <v>107299.7</v>
          </cell>
          <cell r="I650">
            <v>596109.47</v>
          </cell>
        </row>
        <row r="651">
          <cell r="E651" t="str">
            <v>MUM/23-24/244</v>
          </cell>
          <cell r="F651" t="str">
            <v>being reward booked on insurance policies placed in Jan to Mar23. Reverse Charge Mechanism Applicable - NO.</v>
          </cell>
          <cell r="G651">
            <v>445264.15</v>
          </cell>
          <cell r="H651">
            <v>67921.649999999994</v>
          </cell>
          <cell r="I651">
            <v>377342.5</v>
          </cell>
        </row>
        <row r="652">
          <cell r="E652" t="str">
            <v>MUM/23-24/245</v>
          </cell>
          <cell r="F652" t="str">
            <v>being brokerage booked on insurance policies placed in Apr-23.</v>
          </cell>
          <cell r="G652">
            <v>4027618.34</v>
          </cell>
          <cell r="H652">
            <v>614382.46</v>
          </cell>
          <cell r="I652">
            <v>3413235.88</v>
          </cell>
        </row>
        <row r="653">
          <cell r="E653" t="str">
            <v>MUM/23-24/246</v>
          </cell>
          <cell r="F653" t="str">
            <v>being brokerage booked on insurance policies placed in May-23.</v>
          </cell>
          <cell r="G653">
            <v>13309.46</v>
          </cell>
          <cell r="H653">
            <v>2030.26</v>
          </cell>
          <cell r="I653">
            <v>11279.2</v>
          </cell>
        </row>
        <row r="654">
          <cell r="E654" t="str">
            <v>MUM/23-24/247</v>
          </cell>
          <cell r="F654" t="str">
            <v>being brokerage booked on insurance policies placed in Apr-23.</v>
          </cell>
          <cell r="G654">
            <v>4773.34</v>
          </cell>
          <cell r="H654">
            <v>728.14</v>
          </cell>
          <cell r="I654">
            <v>4045.2</v>
          </cell>
        </row>
        <row r="655">
          <cell r="E655" t="str">
            <v>MUM/23-24/248</v>
          </cell>
          <cell r="F655" t="str">
            <v>being fees charged for risk management services for period 2023-24. Category - A(RM- Narendra Yadav)</v>
          </cell>
          <cell r="G655">
            <v>141600</v>
          </cell>
          <cell r="H655">
            <v>21600</v>
          </cell>
          <cell r="I655">
            <v>120000</v>
          </cell>
        </row>
        <row r="656">
          <cell r="E656" t="str">
            <v>MUM/23-24/249</v>
          </cell>
          <cell r="F656" t="str">
            <v>being reward booked on insurance policies placed in Jan-23. Reverse Charge Mechanism Applicable - NO.</v>
          </cell>
          <cell r="G656">
            <v>796674.56000000006</v>
          </cell>
          <cell r="H656">
            <v>121526.62</v>
          </cell>
          <cell r="I656">
            <v>675147.94</v>
          </cell>
        </row>
        <row r="657">
          <cell r="E657" t="str">
            <v>MUM/23-24/250</v>
          </cell>
          <cell r="F657" t="str">
            <v>being reward booked on insurance policies placed in Jan-23. Reverse Charge Mechanism Applicable - NO.</v>
          </cell>
          <cell r="G657">
            <v>25193.66</v>
          </cell>
          <cell r="H657">
            <v>3843.1</v>
          </cell>
          <cell r="I657">
            <v>21350.560000000001</v>
          </cell>
        </row>
        <row r="658">
          <cell r="E658" t="str">
            <v>MUM/23-24/251</v>
          </cell>
          <cell r="F658" t="str">
            <v>being reward booked on insurance policies placed in Jan-23. Reverse Charge Mechanism Applicable - NO.</v>
          </cell>
          <cell r="G658">
            <v>1109757.49</v>
          </cell>
          <cell r="H658">
            <v>169285.04</v>
          </cell>
          <cell r="I658">
            <v>940472.45</v>
          </cell>
        </row>
        <row r="659">
          <cell r="E659" t="str">
            <v>MUM/23-24/252</v>
          </cell>
          <cell r="F659" t="str">
            <v>being reward booked on insurance policies placed in Jan-23. Reverse Charge Mechanism Applicable - NO.</v>
          </cell>
          <cell r="G659">
            <v>689.73</v>
          </cell>
          <cell r="H659">
            <v>105.21</v>
          </cell>
          <cell r="I659">
            <v>584.52</v>
          </cell>
        </row>
        <row r="660">
          <cell r="E660" t="str">
            <v>MUM/23-24/253</v>
          </cell>
          <cell r="F660" t="str">
            <v>being reward booked on insurance policies placed in Jan-23. Reverse Charge Mechanism Applicable - NO.</v>
          </cell>
          <cell r="G660">
            <v>6084.86</v>
          </cell>
          <cell r="H660">
            <v>928.2</v>
          </cell>
          <cell r="I660">
            <v>5156.66</v>
          </cell>
        </row>
        <row r="661">
          <cell r="E661" t="str">
            <v>MUM/23-24/254</v>
          </cell>
          <cell r="F661" t="str">
            <v>being reward booked on insurance policies placed in Jan-23. Reverse Charge Mechanism Applicable - NO.</v>
          </cell>
          <cell r="G661">
            <v>16434.16</v>
          </cell>
          <cell r="H661">
            <v>2506.91</v>
          </cell>
          <cell r="I661">
            <v>13927.25</v>
          </cell>
        </row>
        <row r="662">
          <cell r="E662" t="str">
            <v>MUM/23-24/255</v>
          </cell>
          <cell r="F662" t="str">
            <v>being reward booked on insurance policies placed in Jan-23. Reverse Charge Mechanism Applicable - NO.</v>
          </cell>
          <cell r="G662">
            <v>94037.93</v>
          </cell>
          <cell r="H662">
            <v>14344.77</v>
          </cell>
          <cell r="I662">
            <v>79693.16</v>
          </cell>
        </row>
        <row r="663">
          <cell r="E663" t="str">
            <v>MUM/23-24/256</v>
          </cell>
          <cell r="F663" t="str">
            <v>being reward booked on insurance policies placed in Jan-23. Reverse Charge Mechanism Applicable - NO.</v>
          </cell>
          <cell r="G663">
            <v>271071.88</v>
          </cell>
          <cell r="H663">
            <v>41349.949999999997</v>
          </cell>
          <cell r="I663">
            <v>229721.93</v>
          </cell>
        </row>
        <row r="664">
          <cell r="E664" t="str">
            <v>MUM/23-24/257</v>
          </cell>
          <cell r="F664" t="str">
            <v>being reward booked on insurance policies placed in Feb-23. Reverse Charge Mechanism Applicable - NO.</v>
          </cell>
          <cell r="G664">
            <v>1024354.94</v>
          </cell>
          <cell r="H664">
            <v>156257.54</v>
          </cell>
          <cell r="I664">
            <v>868097.4</v>
          </cell>
        </row>
        <row r="665">
          <cell r="E665" t="str">
            <v>MUM/23-24/258</v>
          </cell>
          <cell r="F665" t="str">
            <v>being reward booked on insurance policies placed in Feb-23. Reverse Charge Mechanism Applicable - NO.</v>
          </cell>
          <cell r="G665">
            <v>1791.61</v>
          </cell>
          <cell r="H665">
            <v>273.3</v>
          </cell>
          <cell r="I665">
            <v>1518.31</v>
          </cell>
        </row>
        <row r="666">
          <cell r="E666" t="str">
            <v>MUM/23-24/259</v>
          </cell>
          <cell r="F666" t="str">
            <v>being reward booked on insurance policies placed in Feb-23. Reverse Charge Mechanism Applicable - NO.</v>
          </cell>
          <cell r="G666">
            <v>1273436.83</v>
          </cell>
          <cell r="H666">
            <v>194253.08</v>
          </cell>
          <cell r="I666">
            <v>1079183.75</v>
          </cell>
        </row>
        <row r="667">
          <cell r="E667" t="str">
            <v>MUM/23-24/260</v>
          </cell>
          <cell r="F667" t="str">
            <v>being reward booked on insurance policies placed in Feb-23. Reverse Charge Mechanism Applicable - NO.</v>
          </cell>
          <cell r="G667">
            <v>12384.96</v>
          </cell>
          <cell r="H667">
            <v>1889.23</v>
          </cell>
          <cell r="I667">
            <v>10495.73</v>
          </cell>
        </row>
        <row r="668">
          <cell r="E668" t="str">
            <v>MUM/23-24/261</v>
          </cell>
          <cell r="F668" t="str">
            <v>being reward booked on insurance policies placed in Feb-23. Reverse Charge Mechanism Applicable - NO.</v>
          </cell>
          <cell r="G668">
            <v>2481.21</v>
          </cell>
          <cell r="H668">
            <v>378.49</v>
          </cell>
          <cell r="I668">
            <v>2102.7199999999998</v>
          </cell>
        </row>
        <row r="669">
          <cell r="E669" t="str">
            <v>MUM/23-24/262</v>
          </cell>
          <cell r="F669" t="str">
            <v>being reward booked on insurance policies placed in Feb-23. Reverse Charge Mechanism Applicable - NO.</v>
          </cell>
          <cell r="G669">
            <v>209705.55</v>
          </cell>
          <cell r="H669">
            <v>31988.98</v>
          </cell>
          <cell r="I669">
            <v>177716.57</v>
          </cell>
        </row>
        <row r="670">
          <cell r="E670" t="str">
            <v>MUM/23-24/263</v>
          </cell>
          <cell r="F670" t="str">
            <v>being reward booked on insurance policies placed in Feb-23. Reverse Charge Mechanism Applicable - NO.</v>
          </cell>
          <cell r="G670">
            <v>159466.69</v>
          </cell>
          <cell r="H670">
            <v>24325.43</v>
          </cell>
          <cell r="I670">
            <v>135141.26</v>
          </cell>
        </row>
        <row r="671">
          <cell r="E671" t="str">
            <v>MUM/23-24/264</v>
          </cell>
          <cell r="F671" t="str">
            <v>being reward booked on insurance policies placed in Feb-23. Reverse Charge Mechanism Applicable - NO.</v>
          </cell>
          <cell r="G671">
            <v>17691.099999999999</v>
          </cell>
          <cell r="H671">
            <v>2698.64</v>
          </cell>
          <cell r="I671">
            <v>14992.46</v>
          </cell>
        </row>
        <row r="672">
          <cell r="E672" t="str">
            <v>PUN/23-24/23</v>
          </cell>
          <cell r="F672" t="str">
            <v>being professional fees charged for Category D: Foreign Fee for Indian Entity of International Account - Broking Services for period 01.08.2022 to 31.07.2023 Annual USD 51,906 to raised in 2 instalment i.e 2nd Instalment  25,953 @ INR 82 + 18% GST 4,672= USD 30,625/-  2nd Instalment (RM-Shuvajeet Chatterjee).</v>
          </cell>
          <cell r="G672">
            <v>2511212.2799999998</v>
          </cell>
          <cell r="H672">
            <v>383066.28</v>
          </cell>
          <cell r="I672">
            <v>2128146</v>
          </cell>
        </row>
        <row r="673">
          <cell r="E673" t="str">
            <v>MUM/23-24/265</v>
          </cell>
          <cell r="F673" t="str">
            <v>being reward booked on insurance policies placed in Mar-23. Reverse Charge Mechanism Applicable - NO.</v>
          </cell>
          <cell r="G673">
            <v>662075.18999999994</v>
          </cell>
          <cell r="H673">
            <v>100994.52</v>
          </cell>
          <cell r="I673">
            <v>561080.67000000004</v>
          </cell>
        </row>
        <row r="674">
          <cell r="E674" t="str">
            <v>MUM/23-24/266</v>
          </cell>
          <cell r="F674" t="str">
            <v>being reward booked on insurance policies placed in Mar-23. Reverse Charge Mechanism Applicable - NO.</v>
          </cell>
          <cell r="G674">
            <v>32456.61</v>
          </cell>
          <cell r="H674">
            <v>4951.01</v>
          </cell>
          <cell r="I674">
            <v>27505.599999999999</v>
          </cell>
        </row>
        <row r="675">
          <cell r="E675" t="str">
            <v>MUM/23-24/267</v>
          </cell>
          <cell r="F675" t="str">
            <v>being reward booked on insurance policies placed in Mar-23. Reverse Charge Mechanism Applicable - NO.</v>
          </cell>
          <cell r="G675">
            <v>1448814.24</v>
          </cell>
          <cell r="H675">
            <v>221005.56</v>
          </cell>
          <cell r="I675">
            <v>1227808.68</v>
          </cell>
        </row>
        <row r="676">
          <cell r="E676" t="str">
            <v>MUM/23-24/268</v>
          </cell>
          <cell r="F676" t="str">
            <v>being reward booked on insurance policies placed in Mar-23. Reverse Charge Mechanism Applicable - NO.</v>
          </cell>
          <cell r="G676">
            <v>1114.25</v>
          </cell>
          <cell r="H676">
            <v>169.97</v>
          </cell>
          <cell r="I676">
            <v>944.28</v>
          </cell>
        </row>
        <row r="677">
          <cell r="E677" t="str">
            <v>MUM/23-24/269</v>
          </cell>
          <cell r="F677" t="str">
            <v>being reward booked on insurance policies placed in Mar-23. Reverse Charge Mechanism Applicable - NO.</v>
          </cell>
          <cell r="G677">
            <v>4659.49</v>
          </cell>
          <cell r="H677">
            <v>710.77</v>
          </cell>
          <cell r="I677">
            <v>3948.72</v>
          </cell>
        </row>
        <row r="678">
          <cell r="E678" t="str">
            <v>MUM/23-24/270</v>
          </cell>
          <cell r="F678" t="str">
            <v>being reward booked on insurance policies placed in Mar-23. Reverse Charge Mechanism Applicable - NO.</v>
          </cell>
          <cell r="G678">
            <v>44998.13</v>
          </cell>
          <cell r="H678">
            <v>6864.12</v>
          </cell>
          <cell r="I678">
            <v>38134.01</v>
          </cell>
        </row>
        <row r="679">
          <cell r="E679" t="str">
            <v>MUM/23-24/271</v>
          </cell>
          <cell r="F679" t="str">
            <v>being reward booked on insurance policies placed in Mar-23. Reverse Charge Mechanism Applicable - NO.</v>
          </cell>
          <cell r="G679">
            <v>399665.71</v>
          </cell>
          <cell r="H679">
            <v>60965.96</v>
          </cell>
          <cell r="I679">
            <v>338699.75</v>
          </cell>
        </row>
        <row r="680">
          <cell r="E680" t="str">
            <v>MUM/23-24/272</v>
          </cell>
          <cell r="F680" t="str">
            <v>being reward booked on insurance policies placed in Mar-23. Reverse Charge Mechanism Applicable - NO.</v>
          </cell>
          <cell r="G680">
            <v>14725.59</v>
          </cell>
          <cell r="H680">
            <v>2246.2800000000002</v>
          </cell>
          <cell r="I680">
            <v>12479.31</v>
          </cell>
        </row>
        <row r="681">
          <cell r="E681" t="str">
            <v>MUM/23-24/273</v>
          </cell>
          <cell r="F681" t="str">
            <v>being RI brokerage booked ; Insured: Hindustan Aeronautics Ltd ( 3rd installment out of 4)  ; Reinsured :The New India Assurance Co Ltd  Policy Period :01.10.22 to 30.09.23</v>
          </cell>
          <cell r="G681">
            <v>624999.98</v>
          </cell>
          <cell r="H681">
            <v>95338.98</v>
          </cell>
          <cell r="I681">
            <v>529661</v>
          </cell>
        </row>
        <row r="682">
          <cell r="E682" t="str">
            <v>MUM/23-24/274</v>
          </cell>
          <cell r="F682" t="str">
            <v>being RI brokerage booked ; Insured: APCO INFRATECH PRIVATE LIMITED - Endt ; Reinsured :The New India Assurance Co Ltd  Policy Period :30.07.2022 to 29.04.2023</v>
          </cell>
          <cell r="G682">
            <v>18226.28</v>
          </cell>
          <cell r="H682">
            <v>2780.28</v>
          </cell>
          <cell r="I682">
            <v>15446</v>
          </cell>
        </row>
        <row r="683">
          <cell r="E683" t="str">
            <v>MUM/23-24/275</v>
          </cell>
          <cell r="F683" t="str">
            <v>being RI brokerage booked ; Treaty : SOA Q2 2022-23 / United India Proportional Treaty Reinsured: United India Insurance Ltd ; Policy preiod: 17.07.2022 to 16.07.2023</v>
          </cell>
          <cell r="G683">
            <v>11972.28</v>
          </cell>
          <cell r="H683">
            <v>1826.28</v>
          </cell>
          <cell r="I683">
            <v>10146</v>
          </cell>
        </row>
        <row r="684">
          <cell r="E684" t="str">
            <v>MUM/23-24/276</v>
          </cell>
          <cell r="F684" t="str">
            <v>being RI brokerage booked ; Insured: Poonawala Aviation Pvt Ltd ( Hull + Liability + War) ; Reinsured :The New India Assurance Co Ltd  Policy Period :23.03.2023 to 22.03.2024)</v>
          </cell>
          <cell r="G684">
            <v>165721.56</v>
          </cell>
          <cell r="H684">
            <v>25279.56</v>
          </cell>
          <cell r="I684">
            <v>140442</v>
          </cell>
        </row>
        <row r="685">
          <cell r="E685" t="str">
            <v>MUM/23-24/277</v>
          </cell>
          <cell r="F685" t="str">
            <v>being RI brokerage booked USD 992 @ 83 = Rs.82336 + gst  ; Insured: Poonawala Aviation Pvt Ltd ( Hull + Liability) ; Reinsured :The New India Assurance Co Ltd  Policy Period :23.03.2023 to 22.03.2024)</v>
          </cell>
          <cell r="G685">
            <v>97156.479999999996</v>
          </cell>
          <cell r="H685">
            <v>14820.48</v>
          </cell>
          <cell r="I685">
            <v>82336</v>
          </cell>
        </row>
        <row r="686">
          <cell r="E686" t="str">
            <v>MUM/23-24/278</v>
          </cell>
          <cell r="F686" t="str">
            <v>being RI brokerage   ; Insured:Winbond Electronics Corporation (1st installment out of 2)  ; Reinsured :Richmond Reinsurance Brokers Pte Ltd  ; Policy Period :30.12.2022 to 30.06.2024</v>
          </cell>
          <cell r="G686">
            <v>45125.56</v>
          </cell>
          <cell r="H686">
            <v>6883.56</v>
          </cell>
          <cell r="I686">
            <v>38242</v>
          </cell>
        </row>
        <row r="687">
          <cell r="E687" t="str">
            <v>MUM/23-24/279</v>
          </cell>
          <cell r="F687" t="str">
            <v>being RI brokerage   ; Insured:Winbond Electronics Corporation (1st installment out of 2)  ; Reinsured :Richmond Reinsurance Brokers Pte Ltd  ; Policy Period :30.12.2022 to 30.06.2024</v>
          </cell>
          <cell r="G687">
            <v>14583.62</v>
          </cell>
          <cell r="H687">
            <v>2224.62</v>
          </cell>
          <cell r="I687">
            <v>12359</v>
          </cell>
        </row>
        <row r="688">
          <cell r="E688" t="str">
            <v>MUM/23-24/280</v>
          </cell>
          <cell r="F688" t="str">
            <v>being RI brokerage   ; Insured:Winbond Electronics Corporation (1st installment out of 2)  ; Reinsured :Richmond Reinsurance Brokers Pte Ltd  ; Policy Period :30.12.2022 to 30.06.2024</v>
          </cell>
          <cell r="G688">
            <v>96224.28</v>
          </cell>
          <cell r="H688">
            <v>14678.28</v>
          </cell>
          <cell r="I688">
            <v>81546</v>
          </cell>
        </row>
        <row r="689">
          <cell r="E689" t="str">
            <v>MUM/23-24/281</v>
          </cell>
          <cell r="F689" t="str">
            <v>being RI brokerage booked ; Insured : JJG Aero Pvt Ltd (2nd and 3rd installment out of 4)  ; Reinsurer : Bajaj Allianz General Insurance Co Ltd ; Policy Period :01.09.22 to 31.08.23</v>
          </cell>
          <cell r="G689">
            <v>136418.62</v>
          </cell>
          <cell r="H689">
            <v>20809.62</v>
          </cell>
          <cell r="I689">
            <v>115609</v>
          </cell>
        </row>
        <row r="690">
          <cell r="E690" t="str">
            <v>BLR/23-24/83</v>
          </cell>
          <cell r="F690" t="str">
            <v>being reward booked on insurance policies placed in Feb-23. We also declare that our revenue from other than insurance intermidition activities less than fifty percent of our total revenue from all the activities.</v>
          </cell>
          <cell r="G690">
            <v>606.79</v>
          </cell>
          <cell r="H690">
            <v>92.56</v>
          </cell>
          <cell r="I690">
            <v>514.23</v>
          </cell>
        </row>
        <row r="691">
          <cell r="E691" t="str">
            <v>BLR/23-24/84</v>
          </cell>
          <cell r="F691" t="str">
            <v>being reward booked on insurance policies placed in Feb-23. We also declare that our revenue from other than insurance intermidition activities less than fifty percent of our total revenue from all the activities.</v>
          </cell>
          <cell r="G691">
            <v>276917.68</v>
          </cell>
          <cell r="H691">
            <v>42241.68</v>
          </cell>
          <cell r="I691">
            <v>234676</v>
          </cell>
        </row>
        <row r="692">
          <cell r="E692" t="str">
            <v>BLR/23-24/85</v>
          </cell>
          <cell r="F692" t="str">
            <v>being reward booked on insurance policies placed in Mar-23. We also declare that our revenue from other than insurance intermidition activities less than fifty percent of our total revenue from all the activities.</v>
          </cell>
          <cell r="G692">
            <v>16990.32</v>
          </cell>
          <cell r="H692">
            <v>2591.7399999999998</v>
          </cell>
          <cell r="I692">
            <v>14398.58</v>
          </cell>
        </row>
        <row r="693">
          <cell r="E693" t="str">
            <v>BLR/23-24/86</v>
          </cell>
          <cell r="F693" t="str">
            <v>being reward booked on insurance policies placed in Mar-23. We also declare that our revenue from other than insurance intermidition activities less than fifty percent of our total revenue from all the activities.</v>
          </cell>
          <cell r="G693">
            <v>1215.1400000000001</v>
          </cell>
          <cell r="H693">
            <v>185.36</v>
          </cell>
          <cell r="I693">
            <v>1029.78</v>
          </cell>
        </row>
        <row r="694">
          <cell r="E694" t="str">
            <v>BLR/23-24/87</v>
          </cell>
          <cell r="F694" t="str">
            <v>being reward booked on insurance policies placed in Mar-23. We also declare that our revenue from other than insurance intermidition activities less than fifty percent of our total revenue from all the activities.</v>
          </cell>
          <cell r="G694">
            <v>1855.98</v>
          </cell>
          <cell r="H694">
            <v>283.12</v>
          </cell>
          <cell r="I694">
            <v>1572.86</v>
          </cell>
        </row>
        <row r="695">
          <cell r="E695" t="str">
            <v>BLR/23-24/88</v>
          </cell>
          <cell r="F695" t="str">
            <v>being brokerage booked on insurance policies placed in Apr-23.</v>
          </cell>
          <cell r="G695">
            <v>28025</v>
          </cell>
          <cell r="H695">
            <v>4275</v>
          </cell>
          <cell r="I695">
            <v>23750</v>
          </cell>
        </row>
        <row r="696">
          <cell r="E696" t="str">
            <v>CHN/23-24/57</v>
          </cell>
          <cell r="F696" t="str">
            <v>being brokerage booked on insurance policies placed in Apr-23.</v>
          </cell>
          <cell r="G696">
            <v>260.38</v>
          </cell>
          <cell r="H696">
            <v>39.72</v>
          </cell>
          <cell r="I696">
            <v>220.66</v>
          </cell>
        </row>
        <row r="697">
          <cell r="E697" t="str">
            <v>GGN/23-24/180</v>
          </cell>
          <cell r="F697" t="str">
            <v>being reward booked on insurance policies placed in Apr-23. We also declare that our revenue from other than insurance intermidition activities less than fifty percent of our total revenue from all the activities.</v>
          </cell>
          <cell r="G697">
            <v>133283.97</v>
          </cell>
          <cell r="H697">
            <v>20331.46</v>
          </cell>
          <cell r="I697">
            <v>112952.51</v>
          </cell>
        </row>
        <row r="698">
          <cell r="E698" t="str">
            <v>GGN/23-24/181</v>
          </cell>
          <cell r="F698" t="str">
            <v>being reward booked on insurance policies placed in Apr-23. We also declare that our revenue from other than insurance intermidition activities less than fifty percent of our total revenue from all the activities.</v>
          </cell>
          <cell r="G698">
            <v>763879.51</v>
          </cell>
          <cell r="H698">
            <v>116523.99</v>
          </cell>
          <cell r="I698">
            <v>647355.52</v>
          </cell>
        </row>
        <row r="699">
          <cell r="E699" t="str">
            <v>GGN/23-24/182</v>
          </cell>
          <cell r="F699" t="str">
            <v>being reward booked on insurance policies placed in month of Apr-23. We also declare that our revenue from other than insurance intermidition activities less than fifty percent of our total revenue from all the activities.</v>
          </cell>
          <cell r="G699">
            <v>2817.47</v>
          </cell>
          <cell r="H699">
            <v>429.78</v>
          </cell>
          <cell r="I699">
            <v>2387.69</v>
          </cell>
        </row>
        <row r="700">
          <cell r="E700" t="str">
            <v>GGN/23-24/183</v>
          </cell>
          <cell r="F700" t="str">
            <v>being brokerage booked on insurance policies placed in Apr-23.</v>
          </cell>
          <cell r="G700">
            <v>714636.52</v>
          </cell>
          <cell r="H700">
            <v>109012.35</v>
          </cell>
          <cell r="I700">
            <v>605624.17000000004</v>
          </cell>
        </row>
        <row r="701">
          <cell r="E701" t="str">
            <v>GGN/23-24/184</v>
          </cell>
          <cell r="F701" t="str">
            <v>being brokerage booked on insurance policies placed in nov-21 against 21-Jan-22	GGN/C/21-22/169 Nov-21.</v>
          </cell>
          <cell r="G701">
            <v>63010.82</v>
          </cell>
          <cell r="H701">
            <v>9611.82</v>
          </cell>
          <cell r="I701">
            <v>53399</v>
          </cell>
        </row>
        <row r="702">
          <cell r="E702" t="str">
            <v>MUM/23-24/282</v>
          </cell>
          <cell r="F702" t="str">
            <v>being brokerage booked on insurance policies placed in May-23 1st cycle retail.</v>
          </cell>
          <cell r="G702">
            <v>54.32</v>
          </cell>
          <cell r="H702">
            <v>8.2799999999999994</v>
          </cell>
          <cell r="I702">
            <v>46.04</v>
          </cell>
        </row>
        <row r="703">
          <cell r="E703" t="str">
            <v>MUM/23-24/283</v>
          </cell>
          <cell r="F703" t="str">
            <v>being brokerage booked on insurance policies placed in Apr-23.</v>
          </cell>
          <cell r="G703">
            <v>36083.61</v>
          </cell>
          <cell r="H703">
            <v>5504.28</v>
          </cell>
          <cell r="I703">
            <v>30579.33</v>
          </cell>
        </row>
        <row r="704">
          <cell r="E704" t="str">
            <v>BLR/23-24/89</v>
          </cell>
          <cell r="F704" t="str">
            <v>being brokerage booked on insurance policies placed in May-23 1st cycle.</v>
          </cell>
          <cell r="G704">
            <v>209.65</v>
          </cell>
          <cell r="H704">
            <v>31.98</v>
          </cell>
          <cell r="I704">
            <v>177.67</v>
          </cell>
        </row>
        <row r="705">
          <cell r="E705" t="str">
            <v>GGN/23-24/185</v>
          </cell>
          <cell r="F705" t="str">
            <v>being reward booked on insurance policies placed in 2022-23.</v>
          </cell>
          <cell r="G705">
            <v>249387.1</v>
          </cell>
          <cell r="H705">
            <v>38042.1</v>
          </cell>
          <cell r="I705">
            <v>211345</v>
          </cell>
        </row>
        <row r="706">
          <cell r="E706" t="str">
            <v>GGN/23-24/186</v>
          </cell>
          <cell r="F706" t="str">
            <v>being brokerage booked on insurance policies placed in May-23 1st cycle.</v>
          </cell>
          <cell r="G706">
            <v>294061.31</v>
          </cell>
          <cell r="H706">
            <v>44856.81</v>
          </cell>
          <cell r="I706">
            <v>249204.5</v>
          </cell>
        </row>
        <row r="707">
          <cell r="E707" t="str">
            <v>GGN/23-24/187</v>
          </cell>
          <cell r="F707" t="str">
            <v>being brokerage booked on insurance policies placed in May-23 1st cycle.</v>
          </cell>
          <cell r="G707">
            <v>74.650000000000006</v>
          </cell>
          <cell r="H707">
            <v>11.39</v>
          </cell>
          <cell r="I707">
            <v>63.26</v>
          </cell>
        </row>
        <row r="708">
          <cell r="E708" t="str">
            <v>HYD/23-24/35</v>
          </cell>
          <cell r="F708" t="str">
            <v>being brokerage booked on insurance policies placed in May-23 1st cycle.</v>
          </cell>
          <cell r="G708">
            <v>72.37</v>
          </cell>
          <cell r="H708">
            <v>11.04</v>
          </cell>
          <cell r="I708">
            <v>61.33</v>
          </cell>
        </row>
        <row r="709">
          <cell r="E709" t="str">
            <v>MUM/23-24/284</v>
          </cell>
          <cell r="F709" t="str">
            <v>being brokerage booked on insurance policies placed in month May-23. Reverse Charge Mechanism Applicable - NO.</v>
          </cell>
          <cell r="G709">
            <v>2583757.46</v>
          </cell>
          <cell r="H709">
            <v>394132.5</v>
          </cell>
          <cell r="I709">
            <v>2189624.96</v>
          </cell>
        </row>
        <row r="710">
          <cell r="E710" t="str">
            <v>MUM/23-24/285</v>
          </cell>
          <cell r="F710" t="str">
            <v>being brokerage booked on insurance policies placed in month May-23. Reverse Charge Mechanism Applicable - NO.</v>
          </cell>
          <cell r="G710">
            <v>444830.04</v>
          </cell>
          <cell r="H710">
            <v>67855.429999999993</v>
          </cell>
          <cell r="I710">
            <v>376974.61</v>
          </cell>
        </row>
        <row r="711">
          <cell r="E711" t="str">
            <v>MUM/23-24/286</v>
          </cell>
          <cell r="F711" t="str">
            <v>being brokerage booked on insurance policies placed in month May-23. Reverse Charge Mechanism Applicable - NO.</v>
          </cell>
          <cell r="G711">
            <v>131624.4</v>
          </cell>
          <cell r="H711">
            <v>20078.3</v>
          </cell>
          <cell r="I711">
            <v>111546.1</v>
          </cell>
        </row>
        <row r="712">
          <cell r="E712" t="str">
            <v>MUM/23-24/287</v>
          </cell>
          <cell r="F712" t="str">
            <v>being brokerage booked on insurance policies placed in month May-23. Reverse Charge Mechanism Applicable - NO.</v>
          </cell>
          <cell r="G712">
            <v>2435260.62</v>
          </cell>
          <cell r="H712">
            <v>371480.43</v>
          </cell>
          <cell r="I712">
            <v>2063780.19</v>
          </cell>
        </row>
        <row r="713">
          <cell r="E713" t="str">
            <v>MUM/23-24/288</v>
          </cell>
          <cell r="F713" t="str">
            <v>being brokerage booked on insurance policies placed in month May-23. Reverse Charge Mechanism Applicable - NO.</v>
          </cell>
          <cell r="G713">
            <v>297354.73</v>
          </cell>
          <cell r="H713">
            <v>45359.199999999997</v>
          </cell>
          <cell r="I713">
            <v>251995.53</v>
          </cell>
        </row>
        <row r="714">
          <cell r="E714" t="str">
            <v>MUM/23-24/289</v>
          </cell>
          <cell r="F714" t="str">
            <v>being brokerage booked on insurance policies placed in month May-23. Reverse Charge Mechanism Applicable - NO.</v>
          </cell>
          <cell r="G714">
            <v>187941.96</v>
          </cell>
          <cell r="H714">
            <v>28669.11</v>
          </cell>
          <cell r="I714">
            <v>159272.85</v>
          </cell>
        </row>
        <row r="715">
          <cell r="E715" t="str">
            <v>MUM/23-24/290</v>
          </cell>
          <cell r="F715" t="str">
            <v>being brokerage booked on insurance policies placed in month May-23. Reverse Charge Mechanism Applicable - NO.</v>
          </cell>
          <cell r="G715">
            <v>4565.09</v>
          </cell>
          <cell r="H715">
            <v>696.37</v>
          </cell>
          <cell r="I715">
            <v>3868.72</v>
          </cell>
        </row>
        <row r="716">
          <cell r="E716" t="str">
            <v>MUM/23-24/291</v>
          </cell>
          <cell r="F716" t="str">
            <v>being brokerage booked on insurance policies placed in month May-23. Reverse Charge Mechanism Applicable - NO.</v>
          </cell>
          <cell r="G716">
            <v>42390.21</v>
          </cell>
          <cell r="H716">
            <v>6466.3</v>
          </cell>
          <cell r="I716">
            <v>35923.910000000003</v>
          </cell>
        </row>
        <row r="717">
          <cell r="E717" t="str">
            <v>MUM/23-24/292</v>
          </cell>
          <cell r="F717" t="str">
            <v>being brokerage booked on insurance policies placed in month May-23. Reverse Charge Mechanism Applicable - NO.</v>
          </cell>
          <cell r="G717">
            <v>23346.62</v>
          </cell>
          <cell r="H717">
            <v>3561.35</v>
          </cell>
          <cell r="I717">
            <v>19785.27</v>
          </cell>
        </row>
        <row r="718">
          <cell r="E718" t="str">
            <v>MUM/23-24/293</v>
          </cell>
          <cell r="F718" t="str">
            <v>being reward booked on insurance policies placed in Jan-23 to Mar-23.</v>
          </cell>
          <cell r="G718">
            <v>88765.74</v>
          </cell>
          <cell r="H718">
            <v>13540.54</v>
          </cell>
          <cell r="I718">
            <v>75225.2</v>
          </cell>
        </row>
        <row r="719">
          <cell r="E719" t="str">
            <v>MUM/23-24/294</v>
          </cell>
          <cell r="F719" t="str">
            <v xml:space="preserve">being brokerage booked on insurance policies placed in May-23 1st cycle._x000D_
</v>
          </cell>
          <cell r="G719">
            <v>176868.67</v>
          </cell>
          <cell r="H719">
            <v>26979.96</v>
          </cell>
          <cell r="I719">
            <v>149888.71</v>
          </cell>
        </row>
        <row r="720">
          <cell r="E720" t="str">
            <v>BLR/23-24/90</v>
          </cell>
          <cell r="F720" t="str">
            <v>being brokerage booked on insurance policies placed in Apr-23.</v>
          </cell>
          <cell r="G720">
            <v>3858617.88</v>
          </cell>
          <cell r="H720">
            <v>588602.72</v>
          </cell>
          <cell r="I720">
            <v>3270015.16</v>
          </cell>
        </row>
        <row r="721">
          <cell r="E721" t="str">
            <v>CHN/23-24/58</v>
          </cell>
          <cell r="F721" t="str">
            <v>being brokerage booked on insurance policies placed in Apr-23.</v>
          </cell>
          <cell r="G721">
            <v>4999679.97</v>
          </cell>
          <cell r="H721">
            <v>762663.04</v>
          </cell>
          <cell r="I721">
            <v>4237016.93</v>
          </cell>
        </row>
        <row r="722">
          <cell r="E722" t="str">
            <v>GGN/23-24/188</v>
          </cell>
          <cell r="F722" t="str">
            <v>being brokerage booked on insurance policies placed in Apr-23.</v>
          </cell>
          <cell r="G722">
            <v>24979.38</v>
          </cell>
          <cell r="H722">
            <v>3810.42</v>
          </cell>
          <cell r="I722">
            <v>21168.959999999999</v>
          </cell>
        </row>
        <row r="723">
          <cell r="E723" t="str">
            <v>GGN/23-24/189</v>
          </cell>
          <cell r="F723" t="str">
            <v>being brokerage booked on insurance policies placed in Apr-23.</v>
          </cell>
          <cell r="G723">
            <v>23793381.260000002</v>
          </cell>
          <cell r="H723">
            <v>3629498.84</v>
          </cell>
          <cell r="I723">
            <v>20163882.420000002</v>
          </cell>
        </row>
        <row r="724">
          <cell r="E724" t="str">
            <v>GGN/23-24/190</v>
          </cell>
          <cell r="F724" t="str">
            <v>being brokerage booked on insurance policies placed in Apr-23.</v>
          </cell>
          <cell r="G724">
            <v>39832.97</v>
          </cell>
          <cell r="H724">
            <v>6076.22</v>
          </cell>
          <cell r="I724">
            <v>33756.75</v>
          </cell>
        </row>
        <row r="725">
          <cell r="E725" t="str">
            <v>GGN/23-24/191</v>
          </cell>
          <cell r="F725" t="str">
            <v>being brokerage booked on insurance policies placed in Apr-23.</v>
          </cell>
          <cell r="G725">
            <v>1131940.43</v>
          </cell>
          <cell r="H725">
            <v>172668.88</v>
          </cell>
          <cell r="I725">
            <v>959271.55</v>
          </cell>
        </row>
        <row r="726">
          <cell r="E726" t="str">
            <v>GGN/23-24/192</v>
          </cell>
          <cell r="F726" t="str">
            <v>being brokerage booked on insurance policies placed in Q4 2022-23.</v>
          </cell>
          <cell r="G726">
            <v>331967.56</v>
          </cell>
          <cell r="H726">
            <v>50639.12</v>
          </cell>
          <cell r="I726">
            <v>281328.44</v>
          </cell>
        </row>
        <row r="727">
          <cell r="E727" t="str">
            <v>GGN/23-24/193</v>
          </cell>
          <cell r="F727" t="str">
            <v>being brokerage booked on insurance policies placed in Apr-23.</v>
          </cell>
          <cell r="G727">
            <v>121152.6</v>
          </cell>
          <cell r="H727">
            <v>18480.900000000001</v>
          </cell>
          <cell r="I727">
            <v>102671.7</v>
          </cell>
        </row>
        <row r="728">
          <cell r="E728" t="str">
            <v>GGN/23-24/194</v>
          </cell>
          <cell r="F728" t="str">
            <v>being brokerage booked on insurance policies placed in Apr-23.</v>
          </cell>
          <cell r="G728">
            <v>48255.63</v>
          </cell>
          <cell r="H728">
            <v>7361.03</v>
          </cell>
          <cell r="I728">
            <v>40894.6</v>
          </cell>
        </row>
        <row r="729">
          <cell r="E729" t="str">
            <v>HYD/23-24/36</v>
          </cell>
          <cell r="F729" t="str">
            <v>being brokerage booked on insurance policies placed in Apr-23.</v>
          </cell>
          <cell r="G729">
            <v>14280.44</v>
          </cell>
          <cell r="H729">
            <v>2178.37</v>
          </cell>
          <cell r="I729">
            <v>12102.07</v>
          </cell>
        </row>
        <row r="730">
          <cell r="E730" t="str">
            <v>LUD/23-24/25</v>
          </cell>
          <cell r="F730" t="str">
            <v>being brokerage booked on insurance policies placed in Apr-23.</v>
          </cell>
          <cell r="G730">
            <v>1779.39</v>
          </cell>
          <cell r="H730">
            <v>271.44</v>
          </cell>
          <cell r="I730">
            <v>1507.95</v>
          </cell>
        </row>
        <row r="731">
          <cell r="E731" t="str">
            <v>MUM/23-24/295</v>
          </cell>
          <cell r="F731" t="str">
            <v>being brokerage booked on insurance policies placed in Apr-23.</v>
          </cell>
          <cell r="G731">
            <v>728710.02</v>
          </cell>
          <cell r="H731">
            <v>111159.16</v>
          </cell>
          <cell r="I731">
            <v>617550.86</v>
          </cell>
        </row>
        <row r="732">
          <cell r="E732" t="str">
            <v>MUM/23-24/296</v>
          </cell>
          <cell r="F732" t="str">
            <v>being brokerage booked on insurance policies placed in Apr-23.</v>
          </cell>
          <cell r="G732">
            <v>625769.34</v>
          </cell>
          <cell r="H732">
            <v>95456.34</v>
          </cell>
          <cell r="I732">
            <v>530313</v>
          </cell>
        </row>
        <row r="733">
          <cell r="E733" t="str">
            <v>MUM/23-24/297</v>
          </cell>
          <cell r="F733" t="str">
            <v>being brokerage booked on insurance policies placed in Apr-23.</v>
          </cell>
          <cell r="G733">
            <v>831653.08</v>
          </cell>
          <cell r="H733">
            <v>126862.34</v>
          </cell>
          <cell r="I733">
            <v>704790.74</v>
          </cell>
        </row>
        <row r="734">
          <cell r="E734" t="str">
            <v>MUM/23-24/298</v>
          </cell>
          <cell r="F734" t="str">
            <v>being brokerage booked on insurance policies placed in Apr-23.</v>
          </cell>
          <cell r="G734">
            <v>870809.87</v>
          </cell>
          <cell r="H734">
            <v>132835.4</v>
          </cell>
          <cell r="I734">
            <v>737974.47</v>
          </cell>
        </row>
        <row r="735">
          <cell r="E735" t="str">
            <v>MUM/23-24/299</v>
          </cell>
          <cell r="F735" t="str">
            <v>being brokerage booked on insurance policies placed in Apr-23.</v>
          </cell>
          <cell r="G735">
            <v>14568.07</v>
          </cell>
          <cell r="H735">
            <v>2222.2399999999998</v>
          </cell>
          <cell r="I735">
            <v>12345.83</v>
          </cell>
        </row>
        <row r="736">
          <cell r="E736" t="str">
            <v>MUM/23-24/300</v>
          </cell>
          <cell r="F736" t="str">
            <v>being brokerage booked on insurance policies placed in Apr-23.</v>
          </cell>
          <cell r="G736">
            <v>83452.899999999994</v>
          </cell>
          <cell r="H736">
            <v>12730.1</v>
          </cell>
          <cell r="I736">
            <v>70722.8</v>
          </cell>
        </row>
        <row r="737">
          <cell r="E737" t="str">
            <v>BLR/23-24/91</v>
          </cell>
          <cell r="F737" t="str">
            <v>being reward booked on insurance policies placed in Dec-22. We also declare that our revenue from other than insurance intermidition activities less than fifty percent of our total revenue from all the activities.</v>
          </cell>
          <cell r="G737">
            <v>1947.11</v>
          </cell>
          <cell r="H737">
            <v>297.02</v>
          </cell>
          <cell r="I737">
            <v>1650.09</v>
          </cell>
        </row>
        <row r="738">
          <cell r="E738" t="str">
            <v>BLR/23-24/92</v>
          </cell>
          <cell r="F738" t="str">
            <v>being reward booked on insurance policies placed in Jan-23. We also declare that our revenue from other than insurance intermidition activities less than fifty percent of our total revenue from all the activities.</v>
          </cell>
          <cell r="G738">
            <v>603.64</v>
          </cell>
          <cell r="H738">
            <v>92.08</v>
          </cell>
          <cell r="I738">
            <v>511.56</v>
          </cell>
        </row>
        <row r="739">
          <cell r="E739" t="str">
            <v>BLR/23-24/93</v>
          </cell>
          <cell r="F739" t="str">
            <v>being reward booked on insurance policies placed in Feb-23. We also declare that our revenue from other than insurance intermidition activities less than fifty percent of our total revenue from all the activities.</v>
          </cell>
          <cell r="G739">
            <v>632.51</v>
          </cell>
          <cell r="H739">
            <v>96.48</v>
          </cell>
          <cell r="I739">
            <v>536.03</v>
          </cell>
        </row>
        <row r="740">
          <cell r="E740" t="str">
            <v>BLR/23-24/94</v>
          </cell>
          <cell r="F740" t="str">
            <v>being reward booked on insurance policies placed in Apr-23. We also declare that our revenue from other than insurance intermidition activities less than fifty percent of our total revenue from all the activities.</v>
          </cell>
          <cell r="G740">
            <v>13.78</v>
          </cell>
          <cell r="H740">
            <v>2.1</v>
          </cell>
          <cell r="I740">
            <v>11.68</v>
          </cell>
        </row>
        <row r="741">
          <cell r="E741" t="str">
            <v>BLR/23-24/95</v>
          </cell>
          <cell r="F741" t="str">
            <v>being brokerage booked on insurance policies placed in Apr-23.</v>
          </cell>
          <cell r="G741">
            <v>2421.86</v>
          </cell>
          <cell r="H741">
            <v>369.44</v>
          </cell>
          <cell r="I741">
            <v>2052.42</v>
          </cell>
        </row>
        <row r="742">
          <cell r="E742" t="str">
            <v>GGN/23-24/195</v>
          </cell>
          <cell r="F742" t="str">
            <v>being brokerage booked on insurance policies placed in Apr-23. GST is not payable under reverse charge  on these services. The invoice is issued as per Section 31 of the CGST Act.</v>
          </cell>
          <cell r="G742">
            <v>127.44</v>
          </cell>
          <cell r="H742">
            <v>19.440000000000001</v>
          </cell>
          <cell r="I742">
            <v>108</v>
          </cell>
        </row>
        <row r="743">
          <cell r="E743" t="str">
            <v>GGN/23-24/196</v>
          </cell>
          <cell r="F743" t="str">
            <v>being brokerage booked on insurance policies placed in Apr-23.</v>
          </cell>
          <cell r="G743">
            <v>36652180.390000001</v>
          </cell>
          <cell r="H743">
            <v>5591010.5700000003</v>
          </cell>
          <cell r="I743">
            <v>31061169.82</v>
          </cell>
        </row>
        <row r="744">
          <cell r="E744" t="str">
            <v>GGN/23-24/197</v>
          </cell>
          <cell r="F744" t="str">
            <v>being reward booked on insurance policies placed in Apr-23.</v>
          </cell>
          <cell r="G744">
            <v>325906.57</v>
          </cell>
          <cell r="H744">
            <v>49714.559999999998</v>
          </cell>
          <cell r="I744">
            <v>276192.01</v>
          </cell>
        </row>
        <row r="745">
          <cell r="E745" t="str">
            <v>GGN/23-24/198</v>
          </cell>
          <cell r="F745" t="str">
            <v>being brokerage booked on insurance policies placed in Apr-23.</v>
          </cell>
          <cell r="G745">
            <v>40238.080000000002</v>
          </cell>
          <cell r="H745">
            <v>6138.02</v>
          </cell>
          <cell r="I745">
            <v>34100.06</v>
          </cell>
        </row>
        <row r="746">
          <cell r="E746" t="str">
            <v>GGN/23-24/199</v>
          </cell>
          <cell r="F746" t="str">
            <v>being brokerage booked on insurance policies placed in Apr-23.</v>
          </cell>
          <cell r="G746">
            <v>6654.14</v>
          </cell>
          <cell r="H746">
            <v>1015.04</v>
          </cell>
          <cell r="I746">
            <v>5639.1</v>
          </cell>
        </row>
        <row r="747">
          <cell r="E747" t="str">
            <v>GGN/23-24/200</v>
          </cell>
          <cell r="F747" t="str">
            <v>being brokerage booked on insurance policies placed in Apr-23.</v>
          </cell>
          <cell r="G747">
            <v>4130.8900000000003</v>
          </cell>
          <cell r="H747">
            <v>630.14</v>
          </cell>
          <cell r="I747">
            <v>3500.75</v>
          </cell>
        </row>
        <row r="748">
          <cell r="E748" t="str">
            <v>GGN/23-24/201</v>
          </cell>
          <cell r="F748" t="str">
            <v>bring reward booked on insurance policies placed for Chambal Fertilisers.</v>
          </cell>
          <cell r="G748">
            <v>1180000</v>
          </cell>
          <cell r="H748">
            <v>180000</v>
          </cell>
          <cell r="I748">
            <v>1000000</v>
          </cell>
        </row>
        <row r="749">
          <cell r="E749" t="str">
            <v>HYD/23-24/37</v>
          </cell>
          <cell r="F749" t="str">
            <v>being brokerage booked on insurance policies placed in Apr-23.</v>
          </cell>
          <cell r="G749">
            <v>7039.58</v>
          </cell>
          <cell r="H749">
            <v>1073.8399999999999</v>
          </cell>
          <cell r="I749">
            <v>5965.74</v>
          </cell>
        </row>
        <row r="750">
          <cell r="E750" t="str">
            <v>MUM/23-24/301</v>
          </cell>
          <cell r="F750" t="str">
            <v>Being reward booked on insurance policies placed in Jan to Mar-23 Q4.</v>
          </cell>
          <cell r="G750">
            <v>989831.29</v>
          </cell>
          <cell r="H750">
            <v>150991.22</v>
          </cell>
          <cell r="I750">
            <v>838840.07</v>
          </cell>
        </row>
        <row r="751">
          <cell r="E751" t="str">
            <v>MUM/23-24/302</v>
          </cell>
          <cell r="F751" t="str">
            <v>being brokerage booked on insurance policies placed in May-23.</v>
          </cell>
          <cell r="G751">
            <v>42411.78</v>
          </cell>
          <cell r="H751">
            <v>6469.6</v>
          </cell>
          <cell r="I751">
            <v>35942.18</v>
          </cell>
        </row>
        <row r="752">
          <cell r="E752" t="str">
            <v>MUM/23-24/303</v>
          </cell>
          <cell r="F752" t="str">
            <v>being brokerage booked on insurance policies placed in Apr-23.</v>
          </cell>
          <cell r="G752">
            <v>2937</v>
          </cell>
          <cell r="H752">
            <v>448.02</v>
          </cell>
          <cell r="I752">
            <v>2488.98</v>
          </cell>
        </row>
        <row r="753">
          <cell r="E753" t="str">
            <v>BLR/23-24/96</v>
          </cell>
          <cell r="F753" t="str">
            <v>being brokerage booked on insurance policies placed in Apr-23.</v>
          </cell>
          <cell r="G753">
            <v>1967640.21</v>
          </cell>
          <cell r="H753">
            <v>300148.5</v>
          </cell>
          <cell r="I753">
            <v>1667491.71</v>
          </cell>
        </row>
        <row r="754">
          <cell r="E754" t="str">
            <v>CHN/23-24/59</v>
          </cell>
          <cell r="F754" t="str">
            <v>being brokerage booked on insurance policies placed in Apr-23.</v>
          </cell>
          <cell r="G754">
            <v>176333.26</v>
          </cell>
          <cell r="H754">
            <v>26898.3</v>
          </cell>
          <cell r="I754">
            <v>149434.96</v>
          </cell>
        </row>
        <row r="755">
          <cell r="E755" t="str">
            <v>GGN/23-24/202</v>
          </cell>
          <cell r="F755" t="str">
            <v>being brokerage booked on insurance policies placed in Apr-23.</v>
          </cell>
          <cell r="G755">
            <v>568614.06999999995</v>
          </cell>
          <cell r="H755">
            <v>86737.74</v>
          </cell>
          <cell r="I755">
            <v>481876.33</v>
          </cell>
        </row>
        <row r="756">
          <cell r="E756" t="str">
            <v>GGN/23-24/203</v>
          </cell>
          <cell r="F756" t="str">
            <v>being brokerage booked on insurance policies placed in Apr-23.</v>
          </cell>
          <cell r="G756">
            <v>458688.19</v>
          </cell>
          <cell r="H756">
            <v>69969.38</v>
          </cell>
          <cell r="I756">
            <v>388718.81</v>
          </cell>
        </row>
        <row r="757">
          <cell r="E757" t="str">
            <v>GGN/23-24/204</v>
          </cell>
          <cell r="F757" t="str">
            <v>being brokerage booked on insurance policies placed in Apr-23.</v>
          </cell>
          <cell r="G757">
            <v>565327</v>
          </cell>
          <cell r="H757">
            <v>86236.32</v>
          </cell>
          <cell r="I757">
            <v>479090.68</v>
          </cell>
        </row>
        <row r="758">
          <cell r="E758" t="str">
            <v>GGN/23-24/205</v>
          </cell>
          <cell r="F758" t="str">
            <v>being brokerage booked on insurance policies placed in Apr-23.</v>
          </cell>
          <cell r="G758">
            <v>18877.43</v>
          </cell>
          <cell r="H758">
            <v>2879.61</v>
          </cell>
          <cell r="I758">
            <v>15997.82</v>
          </cell>
        </row>
        <row r="759">
          <cell r="E759" t="str">
            <v>GGN/23-24/206</v>
          </cell>
          <cell r="F759" t="str">
            <v>being brokerage booked on insurance policies placed in Apr-23.</v>
          </cell>
          <cell r="G759">
            <v>521.79999999999995</v>
          </cell>
          <cell r="H759">
            <v>79.599999999999994</v>
          </cell>
          <cell r="I759">
            <v>442.2</v>
          </cell>
        </row>
        <row r="760">
          <cell r="E760" t="str">
            <v>HYD/23-24/38</v>
          </cell>
          <cell r="F760" t="str">
            <v>being brokerage booked on insurance policies placed in Apr-23.</v>
          </cell>
          <cell r="G760">
            <v>236.87</v>
          </cell>
          <cell r="H760">
            <v>36.14</v>
          </cell>
          <cell r="I760">
            <v>200.73</v>
          </cell>
        </row>
        <row r="761">
          <cell r="E761" t="str">
            <v>MUM/23-24/304</v>
          </cell>
          <cell r="F761" t="str">
            <v>being brokerage booked on insurance policies placed in Apr-23.</v>
          </cell>
          <cell r="G761">
            <v>568991.01</v>
          </cell>
          <cell r="H761">
            <v>86795.24</v>
          </cell>
          <cell r="I761">
            <v>482195.77</v>
          </cell>
        </row>
        <row r="762">
          <cell r="E762" t="str">
            <v>MUM/23-24/305</v>
          </cell>
          <cell r="F762" t="str">
            <v>being brokerage booked on insurance policies placed in Apr-23.</v>
          </cell>
          <cell r="G762">
            <v>76839.94</v>
          </cell>
          <cell r="H762">
            <v>11721.35</v>
          </cell>
          <cell r="I762">
            <v>65118.59</v>
          </cell>
        </row>
        <row r="763">
          <cell r="E763" t="str">
            <v>PUN/23-24/24</v>
          </cell>
          <cell r="F763" t="str">
            <v>being brokerage booked on insurance policies placed in Apr-23.</v>
          </cell>
          <cell r="G763">
            <v>35705.21</v>
          </cell>
          <cell r="H763">
            <v>5446.56</v>
          </cell>
          <cell r="I763">
            <v>30258.65</v>
          </cell>
        </row>
        <row r="764">
          <cell r="E764" t="str">
            <v>GGN/23-24/207</v>
          </cell>
          <cell r="F764" t="str">
            <v>being brokerage booked on insurance policies placed in Aug-22.</v>
          </cell>
          <cell r="G764">
            <v>49816.06</v>
          </cell>
          <cell r="H764">
            <v>7599.06</v>
          </cell>
          <cell r="I764">
            <v>42217</v>
          </cell>
        </row>
        <row r="765">
          <cell r="E765" t="str">
            <v>GGN/23-24/208</v>
          </cell>
          <cell r="F765" t="str">
            <v>being brokerage booked on insurance policies placed in Oct-22.</v>
          </cell>
          <cell r="G765">
            <v>501176.68</v>
          </cell>
          <cell r="H765">
            <v>76450.679999999993</v>
          </cell>
          <cell r="I765">
            <v>424726</v>
          </cell>
        </row>
        <row r="766">
          <cell r="E766" t="str">
            <v>GFT/23-24/10</v>
          </cell>
          <cell r="F766" t="str">
            <v>being RI brokerage booked AED 6693.30 USD 1822.30 @ 83  ; Insured: Dubai Express, M/S. DANWAY LLC, M/S. Danway Electrical &amp; Mechanical Engineering LLC, AL NOWAIS INVESTMENTS LLC, Jaspa General Trading Co. LLC, New York Auto Spare Parts ; Cedant:Paraklis Insurance Solution ; Policy Period: 01.01.23 to 31.12.2023</v>
          </cell>
          <cell r="G766">
            <v>151251</v>
          </cell>
          <cell r="I766">
            <v>151251</v>
          </cell>
        </row>
        <row r="767">
          <cell r="E767" t="str">
            <v>GFT/23-24/11</v>
          </cell>
          <cell r="F767" t="str">
            <v>being RI brokerage booked AED 2915.17 = USD 793.68  @ 83  ; Insured:  M/S. DANWAY LLC, M/S. Danway Electrical &amp; Mechanical Engineering LLC, AL NOWAIS INVESTMENTS LLC,  ; Cedant:Paraklis Insurance Solution ; Policy Period: 01.01.23 to 31.12.2023</v>
          </cell>
          <cell r="G767">
            <v>65876</v>
          </cell>
          <cell r="I767">
            <v>65876</v>
          </cell>
        </row>
        <row r="768">
          <cell r="E768" t="str">
            <v>MUM/23-24/306</v>
          </cell>
          <cell r="F768" t="str">
            <v>being RI brokerage booked ; Cedant: INDO ARAB INSURANCE AND REINSURANCE  ;  Insured:  TOTAL ENERGIES UPSTREAM NIGERIA LTD. ; policy period:01.12.2022 to 01.12.2023</v>
          </cell>
          <cell r="G768">
            <v>50782.48</v>
          </cell>
          <cell r="H768">
            <v>7746.48</v>
          </cell>
          <cell r="I768">
            <v>43036</v>
          </cell>
        </row>
        <row r="769">
          <cell r="E769" t="str">
            <v>BLR/23-24/97</v>
          </cell>
          <cell r="F769" t="str">
            <v>being brokerage booked on insurance policies placed in Apr-23.</v>
          </cell>
          <cell r="G769">
            <v>399251.73</v>
          </cell>
          <cell r="H769">
            <v>60902.8</v>
          </cell>
          <cell r="I769">
            <v>338348.93</v>
          </cell>
        </row>
        <row r="770">
          <cell r="E770" t="str">
            <v>CHN/23-24/60</v>
          </cell>
          <cell r="F770" t="str">
            <v>being brokerage booked on insurance policies placed in Apr-23.</v>
          </cell>
          <cell r="G770">
            <v>255.1</v>
          </cell>
          <cell r="H770">
            <v>38.92</v>
          </cell>
          <cell r="I770">
            <v>216.18</v>
          </cell>
        </row>
        <row r="771">
          <cell r="E771" t="str">
            <v>GGN/23-24/209</v>
          </cell>
          <cell r="F771" t="str">
            <v>being brokerage booked on insurance policies placed in Apr-23.</v>
          </cell>
          <cell r="G771">
            <v>2592872.23</v>
          </cell>
          <cell r="H771">
            <v>395522.88</v>
          </cell>
          <cell r="I771">
            <v>2197349.35</v>
          </cell>
        </row>
        <row r="772">
          <cell r="E772" t="str">
            <v>LUD/23-24/26</v>
          </cell>
          <cell r="F772" t="str">
            <v>being brokerage booked on insurance policies placed in Apr-23.</v>
          </cell>
          <cell r="G772">
            <v>2206.25</v>
          </cell>
          <cell r="H772">
            <v>336.54</v>
          </cell>
          <cell r="I772">
            <v>1869.71</v>
          </cell>
        </row>
        <row r="773">
          <cell r="E773" t="str">
            <v>MUM/23-24/307</v>
          </cell>
          <cell r="F773" t="str">
            <v>being brokerage booked on insurance policies placed in Apr-23.</v>
          </cell>
          <cell r="G773">
            <v>1464798.35</v>
          </cell>
          <cell r="H773">
            <v>223443.82</v>
          </cell>
          <cell r="I773">
            <v>1241354.53</v>
          </cell>
        </row>
        <row r="774">
          <cell r="E774" t="str">
            <v>MUM/23-24/308</v>
          </cell>
          <cell r="F774" t="str">
            <v>being brokerage booked on insurance policies placed in Apr-23.</v>
          </cell>
          <cell r="G774">
            <v>9703.73</v>
          </cell>
          <cell r="H774">
            <v>1480.23</v>
          </cell>
          <cell r="I774">
            <v>8223.5</v>
          </cell>
        </row>
        <row r="775">
          <cell r="E775" t="str">
            <v>GGN/23-24/210</v>
          </cell>
          <cell r="F775" t="str">
            <v>being brokerage booked on insurance policies placed in Apr-23.</v>
          </cell>
          <cell r="G775">
            <v>3186127.98</v>
          </cell>
          <cell r="H775">
            <v>486019.52</v>
          </cell>
          <cell r="I775">
            <v>2700108.46</v>
          </cell>
        </row>
        <row r="776">
          <cell r="E776" t="str">
            <v>GGN/23-24/211</v>
          </cell>
          <cell r="F776" t="str">
            <v>being brokerage booked on insurance policies placed in Mar-23.</v>
          </cell>
          <cell r="G776">
            <v>474273.58</v>
          </cell>
          <cell r="H776">
            <v>72346.820000000007</v>
          </cell>
          <cell r="I776">
            <v>401926.76</v>
          </cell>
        </row>
        <row r="777">
          <cell r="E777" t="str">
            <v>MUM/23-24/309</v>
          </cell>
          <cell r="F777" t="str">
            <v>being brokerage booked on insurance policies placed in Apr-23.</v>
          </cell>
          <cell r="G777">
            <v>9392239.5</v>
          </cell>
          <cell r="H777">
            <v>1432714.5</v>
          </cell>
          <cell r="I777">
            <v>7959525</v>
          </cell>
        </row>
        <row r="778">
          <cell r="E778" t="str">
            <v>MUM/23-24/310</v>
          </cell>
          <cell r="F778" t="str">
            <v>being brokerage booked on insurance policies placed in Apr-23.</v>
          </cell>
          <cell r="G778">
            <v>8579.26</v>
          </cell>
          <cell r="H778">
            <v>1308.7</v>
          </cell>
          <cell r="I778">
            <v>7270.56</v>
          </cell>
        </row>
        <row r="779">
          <cell r="E779" t="str">
            <v>MUM/23-24/311</v>
          </cell>
          <cell r="F779" t="str">
            <v>being brokerage booked on insurance policies placed in May-23.</v>
          </cell>
          <cell r="G779">
            <v>1372368.93</v>
          </cell>
          <cell r="H779">
            <v>209344.42</v>
          </cell>
          <cell r="I779">
            <v>1163024.51</v>
          </cell>
        </row>
        <row r="780">
          <cell r="E780" t="str">
            <v>PUN/23-24/25</v>
          </cell>
          <cell r="F780" t="str">
            <v>being professional fees charged for Claim Consultancy Fees  (RM Akshay Kokate) Total Invoice to be raiesd of 5 Lac + 18% GST out of which 50% advance invoice raised as per instruction. Purchase Order No. : U323050009 Purchase Order Date. 18-05-2023.</v>
          </cell>
          <cell r="G780">
            <v>295000</v>
          </cell>
          <cell r="H780">
            <v>45000</v>
          </cell>
          <cell r="I780">
            <v>250000</v>
          </cell>
        </row>
        <row r="781">
          <cell r="E781" t="str">
            <v>BLR/23-24/98</v>
          </cell>
          <cell r="F781" t="str">
            <v>being reward booked on insurance policies placed in month Mar-23.</v>
          </cell>
          <cell r="G781">
            <v>64812.01</v>
          </cell>
          <cell r="H781">
            <v>9886.58</v>
          </cell>
          <cell r="I781">
            <v>54925.43</v>
          </cell>
        </row>
        <row r="782">
          <cell r="E782" t="str">
            <v>BLR/23-24/99</v>
          </cell>
          <cell r="F782" t="str">
            <v xml:space="preserve">being reward on insurance polices placed in Apr-23. We also declare that our revenue from other than insurance intermidition activities less than fifty percent of our total revenue from all the activities_x000D_
</v>
          </cell>
          <cell r="G782">
            <v>802.7</v>
          </cell>
          <cell r="H782">
            <v>122.44</v>
          </cell>
          <cell r="I782">
            <v>680.26</v>
          </cell>
        </row>
        <row r="783">
          <cell r="E783" t="str">
            <v>CHN/23-24/61</v>
          </cell>
          <cell r="F783" t="str">
            <v>being reward booked on insurance policies placed in Mar-23.</v>
          </cell>
          <cell r="G783">
            <v>41476.58</v>
          </cell>
          <cell r="H783">
            <v>6326.94</v>
          </cell>
          <cell r="I783">
            <v>35149.64</v>
          </cell>
        </row>
        <row r="784">
          <cell r="E784" t="str">
            <v>CHN/23-24/62</v>
          </cell>
          <cell r="F784" t="str">
            <v xml:space="preserve">being reward on insurance polices placed in Apr-23. We also declare that our revenue from other than insurance intermidition activities less than fifty percent of our total revenue from all the activities_x000D_
</v>
          </cell>
          <cell r="G784">
            <v>10566.9</v>
          </cell>
          <cell r="H784">
            <v>1611.9</v>
          </cell>
          <cell r="I784">
            <v>8955</v>
          </cell>
        </row>
        <row r="785">
          <cell r="E785" t="str">
            <v>GGN/23-24/212</v>
          </cell>
          <cell r="F785" t="str">
            <v>being reward booked on insurance policies placed in month Mar-23.</v>
          </cell>
          <cell r="G785">
            <v>421391.97</v>
          </cell>
          <cell r="H785">
            <v>64280.13</v>
          </cell>
          <cell r="I785">
            <v>357111.84</v>
          </cell>
        </row>
        <row r="786">
          <cell r="E786" t="str">
            <v>GGN/23-24/213</v>
          </cell>
          <cell r="F786" t="str">
            <v>being reward booked on insurance policies placed in month Mar-23.</v>
          </cell>
          <cell r="G786">
            <v>8025.49</v>
          </cell>
          <cell r="H786">
            <v>1224.23</v>
          </cell>
          <cell r="I786">
            <v>6801.26</v>
          </cell>
        </row>
        <row r="787">
          <cell r="E787" t="str">
            <v>GGN/23-24/214</v>
          </cell>
          <cell r="F787" t="str">
            <v>being reward booked on insurance policies placed in month Mar-23.</v>
          </cell>
          <cell r="G787">
            <v>159300</v>
          </cell>
          <cell r="H787">
            <v>24300</v>
          </cell>
          <cell r="I787">
            <v>135000</v>
          </cell>
        </row>
        <row r="788">
          <cell r="E788" t="str">
            <v>GFT/23-24/12</v>
          </cell>
          <cell r="F788" t="str">
            <v>being RI brokerage booked USD 6647.73 @ 83 ( AED 24647.30 = USD 6647.73) ; Insured: Mercure Hotel Suites &amp; Apartments; Cedant: Orient Takaful PJSC; Policy Period: 01.01.23 to 31.12.2023</v>
          </cell>
          <cell r="G788">
            <v>551761</v>
          </cell>
          <cell r="H788">
            <v>84166.93</v>
          </cell>
          <cell r="I788">
            <v>467594.07</v>
          </cell>
        </row>
        <row r="789">
          <cell r="E789" t="str">
            <v>GFT/23-24/13</v>
          </cell>
          <cell r="F789" t="str">
            <v>being RI brokerage booked USD 493.56 @ 83  ( AED 1826.62  = USD 493.83) ; Insured: Mercure Hotel Suites &amp; Apartments; Cedant: Orient Takaful PJSC; Policy Period: 01.01.23 to 31.12.2023</v>
          </cell>
          <cell r="G789">
            <v>40966</v>
          </cell>
          <cell r="H789">
            <v>6249.05</v>
          </cell>
          <cell r="I789">
            <v>34716.949999999997</v>
          </cell>
        </row>
        <row r="790">
          <cell r="E790" t="str">
            <v>GFT/23-24/14</v>
          </cell>
          <cell r="F790" t="str">
            <v>being RI brokerage booked USD 658.42 @ 83 ( AED 2435.50 = USD 658.42) ; Insured: Mercure Hotel Suites &amp; Apartments; Cedant: Orient Takaful PJSC; Policy Period: 01.01.23 to 31.12.2023</v>
          </cell>
          <cell r="G790">
            <v>54649</v>
          </cell>
          <cell r="H790">
            <v>8336.2900000000009</v>
          </cell>
          <cell r="I790">
            <v>46312.71</v>
          </cell>
        </row>
        <row r="791">
          <cell r="E791" t="str">
            <v>GFT/23-24/15</v>
          </cell>
          <cell r="F791" t="str">
            <v>being RI brokerage booked USD 487.30 @ 83 ( AED 131.48 = USD 487.30 ) ; Insured: Mercure Hotel Suites &amp; Apartments; Cedant: Orient Takaful PJSC; Policy Period: 01.01.23 to 31.12.2023</v>
          </cell>
          <cell r="G791">
            <v>10913</v>
          </cell>
          <cell r="H791">
            <v>1664.7</v>
          </cell>
          <cell r="I791">
            <v>9248.2999999999993</v>
          </cell>
        </row>
        <row r="792">
          <cell r="E792" t="str">
            <v>GFT/23-24/16</v>
          </cell>
          <cell r="F792" t="str">
            <v>being RI brokerage booked USD 175.19 @ 83 ( AED 643.81 = USD 175.19) ; Insured: SWISS SINGAPORE OVERSESE ENTERPRISES PVT LTD; Cedant: NOOR TAKAFUL GENERAL PJSC ; Policy Period: 01.11.2022 to 31.12.2022</v>
          </cell>
          <cell r="G792">
            <v>14540</v>
          </cell>
          <cell r="H792">
            <v>2217.9699999999998</v>
          </cell>
          <cell r="I792">
            <v>12322.03</v>
          </cell>
        </row>
        <row r="793">
          <cell r="E793" t="str">
            <v>GFT/23-24/17</v>
          </cell>
          <cell r="F793" t="str">
            <v>being RI brokerage booked USD 18.17 @ 83 ( AED 66.75 = USD 18.17 ) ; Insured: SWISS SINGAPORE OVERSESE ENTERPRISES PVT LTD; Cedant: NOOR TAKAFUL GENERAL PJSC ; Policy Period: 01.01.2023 to 31.01.2023</v>
          </cell>
          <cell r="G793">
            <v>1508</v>
          </cell>
          <cell r="H793">
            <v>230.03</v>
          </cell>
          <cell r="I793">
            <v>1277.97</v>
          </cell>
        </row>
        <row r="794">
          <cell r="E794" t="str">
            <v>GFT/23-24/18</v>
          </cell>
          <cell r="F794" t="str">
            <v>being RI brokerage booked USD 3380 @ 83  ; Insured: Emerald Sri Lanka Fund I Limited ; Cedant: THE MAURITIUS UNION ASSURANCE CY LTD  ; Policy Period:22.01.2023 to 21.01.2024</v>
          </cell>
          <cell r="G794">
            <v>280540</v>
          </cell>
          <cell r="H794">
            <v>42794.239999999998</v>
          </cell>
          <cell r="I794">
            <v>237745.76</v>
          </cell>
        </row>
        <row r="795">
          <cell r="E795" t="str">
            <v>GFT/23-24/19</v>
          </cell>
          <cell r="F795" t="str">
            <v>being RI brokerage booked USD 2880 @ 83  ; Insured: NDB ZEPHYR PARTNERS LIMITED - MANAGER (MAURITIUS) &amp; (LANKA) ; Cedant: THE MAURITIUS UNION ASSURANCE CY LTD  ; Policy Period:22.01.2023 to 21.01.2024</v>
          </cell>
          <cell r="G795">
            <v>239040</v>
          </cell>
          <cell r="H795">
            <v>36463.730000000003</v>
          </cell>
          <cell r="I795">
            <v>202576.27</v>
          </cell>
        </row>
        <row r="796">
          <cell r="E796" t="str">
            <v>GFT/23-24/20</v>
          </cell>
          <cell r="F796" t="str">
            <v>being RI brokerage booked AED 6693.30 USD 1822.30 @ 83  ; Insured: Dubai Express, M/S. DANWAY LLC, M/S. Danway Electrical &amp; Mechanical Engineering LLC, AL NOWAIS INVESTMENTS LLC, Jaspa General Trading Co. LLC, New York Auto Spare Parts ; Cedant:Paraklis Insurance Solution ; Policy Period: 01.01.23 to 31.12.2023</v>
          </cell>
          <cell r="G796">
            <v>151251</v>
          </cell>
          <cell r="H796">
            <v>23072.19</v>
          </cell>
          <cell r="I796">
            <v>128178.81</v>
          </cell>
        </row>
        <row r="797">
          <cell r="E797" t="str">
            <v>GFT/23-24/21</v>
          </cell>
          <cell r="F797" t="str">
            <v>being RI brokerage booked AED 2915.17 = USD 793.68  @ 83  ; Insured:  M/S. DANWAY LLC, M/S. Danway Electrical &amp; Mechanical Engineering LLC, AL NOWAIS INVESTMENTS LLC,  ; Cedant:Paraklis Insurance Solution ; Policy Period: 01.01.23 to 31.12.2023</v>
          </cell>
          <cell r="G797">
            <v>65876</v>
          </cell>
          <cell r="H797">
            <v>10048.879999999999</v>
          </cell>
          <cell r="I797">
            <v>55827.12</v>
          </cell>
        </row>
        <row r="798">
          <cell r="E798" t="str">
            <v>GFT/23-24/22</v>
          </cell>
          <cell r="F798" t="str">
            <v>being RI brokerage booked USD 2880 @ 83  ; Insured: Centro Nacional De Inteligencia ; Cedant:THB Mexico Intermediario   ; Policy Period: 01.01.2023 to 31.12.2023</v>
          </cell>
          <cell r="G798">
            <v>38906</v>
          </cell>
          <cell r="H798">
            <v>5934.81</v>
          </cell>
          <cell r="I798">
            <v>32971.19</v>
          </cell>
        </row>
        <row r="799">
          <cell r="E799" t="str">
            <v>LUD/23-24/27</v>
          </cell>
          <cell r="F799" t="str">
            <v>being reward booked on insurance policies placed in month Mar-23.</v>
          </cell>
          <cell r="G799">
            <v>43766.62</v>
          </cell>
          <cell r="H799">
            <v>6676.26</v>
          </cell>
          <cell r="I799">
            <v>37090.36</v>
          </cell>
        </row>
        <row r="800">
          <cell r="E800" t="str">
            <v>MUM/23-24/312</v>
          </cell>
          <cell r="F800" t="str">
            <v>being reward booked on insurance policies placed in month Mar-23.</v>
          </cell>
          <cell r="G800">
            <v>70637.509999999995</v>
          </cell>
          <cell r="H800">
            <v>10775.22</v>
          </cell>
          <cell r="I800">
            <v>59862.29</v>
          </cell>
        </row>
        <row r="801">
          <cell r="E801" t="str">
            <v>MUM/23-24/313</v>
          </cell>
          <cell r="F801" t="str">
            <v>being reward booked on insurance policies placed in month Mar-23.</v>
          </cell>
          <cell r="G801">
            <v>796.64</v>
          </cell>
          <cell r="H801">
            <v>121.52</v>
          </cell>
          <cell r="I801">
            <v>675.12</v>
          </cell>
        </row>
        <row r="802">
          <cell r="E802" t="str">
            <v>MUM/23-24/314</v>
          </cell>
          <cell r="F802" t="str">
            <v>being RI brokerage booked ; Insured: Whole Account Excess of Loss Treaty ( 1st installment out of 4); Reinsured :Zuno General Insurance Co Ltd  Policy Period :01.04.2023 to 31.03.2024</v>
          </cell>
          <cell r="G802">
            <v>73672.12</v>
          </cell>
          <cell r="H802">
            <v>11238.12</v>
          </cell>
          <cell r="I802">
            <v>62434</v>
          </cell>
        </row>
        <row r="803">
          <cell r="E803" t="str">
            <v>MUM/23-24/315</v>
          </cell>
          <cell r="F803" t="str">
            <v>being reward booked on insurance policies placed in Q4 2022-23.</v>
          </cell>
          <cell r="G803">
            <v>4286439.76</v>
          </cell>
          <cell r="H803">
            <v>653863.69999999995</v>
          </cell>
          <cell r="I803">
            <v>3632576.06</v>
          </cell>
        </row>
        <row r="804">
          <cell r="E804" t="str">
            <v>MUM/23-24/316</v>
          </cell>
          <cell r="F804" t="str">
            <v>being brokerage booked on insurance policies placed in May-23.</v>
          </cell>
          <cell r="G804">
            <v>133079.65</v>
          </cell>
          <cell r="H804">
            <v>20300.28</v>
          </cell>
          <cell r="I804">
            <v>112779.37</v>
          </cell>
        </row>
        <row r="805">
          <cell r="E805" t="str">
            <v>PUN/23-24/26</v>
          </cell>
          <cell r="F805" t="str">
            <v>being brokerage booked on insurance policies placed in May-23.</v>
          </cell>
          <cell r="G805">
            <v>3935680.22</v>
          </cell>
          <cell r="H805">
            <v>600358</v>
          </cell>
          <cell r="I805">
            <v>3335322.22</v>
          </cell>
        </row>
        <row r="806">
          <cell r="E806" t="str">
            <v>BLR/23-24/100</v>
          </cell>
          <cell r="F806" t="str">
            <v>being brokerage booked on insurance policies placed in May-23.</v>
          </cell>
          <cell r="G806">
            <v>1872466.24</v>
          </cell>
          <cell r="H806">
            <v>285630.44</v>
          </cell>
          <cell r="I806">
            <v>1586835.8</v>
          </cell>
        </row>
        <row r="807">
          <cell r="E807" t="str">
            <v>BLR/23-24/101</v>
          </cell>
          <cell r="F807" t="str">
            <v>being brokerage booked on insurance policies placed in May-23.</v>
          </cell>
          <cell r="G807">
            <v>141072.66</v>
          </cell>
          <cell r="H807">
            <v>21519.56</v>
          </cell>
          <cell r="I807">
            <v>119553.1</v>
          </cell>
        </row>
        <row r="808">
          <cell r="E808" t="str">
            <v>BLR/23-24/102</v>
          </cell>
          <cell r="F808" t="str">
            <v>being brokerage booked on insurance policies placed in May-23.</v>
          </cell>
          <cell r="G808">
            <v>568390.09</v>
          </cell>
          <cell r="H808">
            <v>86703.58</v>
          </cell>
          <cell r="I808">
            <v>481686.51</v>
          </cell>
        </row>
        <row r="809">
          <cell r="E809" t="str">
            <v>BLR/23-24/103</v>
          </cell>
          <cell r="F809" t="str">
            <v>being brokerage booked on insurance policies placed in May-23.</v>
          </cell>
          <cell r="G809">
            <v>980.58</v>
          </cell>
          <cell r="H809">
            <v>149.58000000000001</v>
          </cell>
          <cell r="I809">
            <v>831</v>
          </cell>
        </row>
        <row r="810">
          <cell r="E810" t="str">
            <v>BLR/23-24/104</v>
          </cell>
          <cell r="F810" t="str">
            <v>being brokerage booked on insurance policies placed in May-23.</v>
          </cell>
          <cell r="G810">
            <v>2787.16</v>
          </cell>
          <cell r="H810">
            <v>425.16</v>
          </cell>
          <cell r="I810">
            <v>2362</v>
          </cell>
        </row>
        <row r="811">
          <cell r="E811" t="str">
            <v>BLR/23-24/105</v>
          </cell>
          <cell r="F811" t="str">
            <v>being brokerage booked on insurance policies placed in May-23.</v>
          </cell>
          <cell r="G811">
            <v>8353.6299999999992</v>
          </cell>
          <cell r="H811">
            <v>1274.28</v>
          </cell>
          <cell r="I811">
            <v>7079.35</v>
          </cell>
        </row>
        <row r="812">
          <cell r="E812" t="str">
            <v>CHN/23-24/63</v>
          </cell>
          <cell r="F812" t="str">
            <v>being brokerage booked on insurance policies placed in May-23.</v>
          </cell>
          <cell r="G812">
            <v>2363.4</v>
          </cell>
          <cell r="H812">
            <v>360.52</v>
          </cell>
          <cell r="I812">
            <v>2002.88</v>
          </cell>
        </row>
        <row r="813">
          <cell r="E813" t="str">
            <v>CHN/23-24/64</v>
          </cell>
          <cell r="F813" t="str">
            <v>being brokerage booked on insurance policies placed in May-23.</v>
          </cell>
          <cell r="G813">
            <v>1106.3599999999999</v>
          </cell>
          <cell r="H813">
            <v>168.76</v>
          </cell>
          <cell r="I813">
            <v>937.6</v>
          </cell>
        </row>
        <row r="814">
          <cell r="E814" t="str">
            <v>CHN/23-24/65</v>
          </cell>
          <cell r="F814" t="str">
            <v>being brokerage booked on insurance policies placed in May-23.</v>
          </cell>
          <cell r="G814">
            <v>911.37</v>
          </cell>
          <cell r="H814">
            <v>139.02000000000001</v>
          </cell>
          <cell r="I814">
            <v>772.35</v>
          </cell>
        </row>
        <row r="815">
          <cell r="E815" t="str">
            <v>CHN/23-24/66</v>
          </cell>
          <cell r="F815" t="str">
            <v>being brokerage booked on insurance policies placed in May-23.</v>
          </cell>
          <cell r="G815">
            <v>1498.6</v>
          </cell>
          <cell r="H815">
            <v>228.6</v>
          </cell>
          <cell r="I815">
            <v>1270</v>
          </cell>
        </row>
        <row r="816">
          <cell r="E816" t="str">
            <v>CHN/23-24/67</v>
          </cell>
          <cell r="F816" t="str">
            <v>being brokerage booked on insurance policies placed in May-23.</v>
          </cell>
          <cell r="G816">
            <v>238021.23</v>
          </cell>
          <cell r="H816">
            <v>36308.32</v>
          </cell>
          <cell r="I816">
            <v>201712.91</v>
          </cell>
        </row>
        <row r="817">
          <cell r="E817" t="str">
            <v>CHN/23-24/68</v>
          </cell>
          <cell r="F817" t="str">
            <v>being brokerage booked on insurance policies placed in May-23.</v>
          </cell>
          <cell r="G817">
            <v>5546.89</v>
          </cell>
          <cell r="H817">
            <v>846.14</v>
          </cell>
          <cell r="I817">
            <v>4700.75</v>
          </cell>
        </row>
        <row r="818">
          <cell r="E818" t="str">
            <v>GGN/23-24/215</v>
          </cell>
          <cell r="F818" t="str">
            <v>being brokerage booked on insurance policies placed in May-23.</v>
          </cell>
          <cell r="G818">
            <v>451101.02</v>
          </cell>
          <cell r="H818">
            <v>68812.02</v>
          </cell>
          <cell r="I818">
            <v>382289</v>
          </cell>
        </row>
        <row r="819">
          <cell r="E819" t="str">
            <v>GGN/23-24/216</v>
          </cell>
          <cell r="F819" t="str">
            <v>being brokerage booked on insurance policies placed in May-23.</v>
          </cell>
          <cell r="G819">
            <v>52436.84</v>
          </cell>
          <cell r="H819">
            <v>7998.84</v>
          </cell>
          <cell r="I819">
            <v>44438</v>
          </cell>
        </row>
        <row r="820">
          <cell r="E820" t="str">
            <v>GGN/23-24/217</v>
          </cell>
          <cell r="F820" t="str">
            <v>being brokerage booked on insurance policies placed in May-23.</v>
          </cell>
          <cell r="G820">
            <v>491059.36</v>
          </cell>
          <cell r="H820">
            <v>74907.360000000001</v>
          </cell>
          <cell r="I820">
            <v>416152</v>
          </cell>
        </row>
        <row r="821">
          <cell r="E821" t="str">
            <v>GGN/23-24/218</v>
          </cell>
          <cell r="F821" t="str">
            <v>being brokerage booked on insurance policies placed in May-23.</v>
          </cell>
          <cell r="G821">
            <v>1244878.3700000001</v>
          </cell>
          <cell r="H821">
            <v>189896.7</v>
          </cell>
          <cell r="I821">
            <v>1054981.67</v>
          </cell>
        </row>
        <row r="822">
          <cell r="E822" t="str">
            <v>GGN/23-24/219</v>
          </cell>
          <cell r="F822" t="str">
            <v>being brokerage booked on insurance policies placed in May-23.</v>
          </cell>
          <cell r="G822">
            <v>1655.54</v>
          </cell>
          <cell r="H822">
            <v>252.54</v>
          </cell>
          <cell r="I822">
            <v>1403</v>
          </cell>
        </row>
        <row r="823">
          <cell r="E823" t="str">
            <v>GGN/23-24/220</v>
          </cell>
          <cell r="F823" t="str">
            <v>being brokerage booked on insurance policies placed in May-23.</v>
          </cell>
          <cell r="G823">
            <v>1479.72</v>
          </cell>
          <cell r="H823">
            <v>225.72</v>
          </cell>
          <cell r="I823">
            <v>1254</v>
          </cell>
        </row>
        <row r="824">
          <cell r="E824" t="str">
            <v>GGN/23-24/221</v>
          </cell>
          <cell r="F824" t="str">
            <v>being brokerage booked on insurance policies placed in May-23.</v>
          </cell>
          <cell r="G824">
            <v>105856.62</v>
          </cell>
          <cell r="H824">
            <v>16147.62</v>
          </cell>
          <cell r="I824">
            <v>89709</v>
          </cell>
        </row>
        <row r="825">
          <cell r="E825" t="str">
            <v>GGN/23-24/222</v>
          </cell>
          <cell r="F825" t="str">
            <v>being brokerage booked on insurance policies placed in May-23.</v>
          </cell>
          <cell r="G825">
            <v>38952.980000000003</v>
          </cell>
          <cell r="H825">
            <v>5941.98</v>
          </cell>
          <cell r="I825">
            <v>33011</v>
          </cell>
        </row>
        <row r="826">
          <cell r="E826" t="str">
            <v>GGN/23-24/223</v>
          </cell>
          <cell r="F826" t="str">
            <v>being brokerage booked on insurance policies placed in May-23.</v>
          </cell>
          <cell r="G826">
            <v>3497289.91</v>
          </cell>
          <cell r="H826">
            <v>533484.9</v>
          </cell>
          <cell r="I826">
            <v>2963805.01</v>
          </cell>
        </row>
        <row r="827">
          <cell r="E827" t="str">
            <v>GGN/23-24/224</v>
          </cell>
          <cell r="F827" t="str">
            <v>being brokerage booked on insurance policies placed in May-23.</v>
          </cell>
          <cell r="G827">
            <v>7999.49</v>
          </cell>
          <cell r="H827">
            <v>1220.26</v>
          </cell>
          <cell r="I827">
            <v>6779.23</v>
          </cell>
        </row>
        <row r="828">
          <cell r="E828" t="str">
            <v>GGN/23-24/225</v>
          </cell>
          <cell r="F828" t="str">
            <v>being brokerage booked on insurance policies placed in May-23.</v>
          </cell>
          <cell r="G828">
            <v>123594.38</v>
          </cell>
          <cell r="H828">
            <v>18853.38</v>
          </cell>
          <cell r="I828">
            <v>104741</v>
          </cell>
        </row>
        <row r="829">
          <cell r="E829" t="str">
            <v>GGN/23-24/226</v>
          </cell>
          <cell r="F829" t="str">
            <v>being brokerage booked on insurance policies placed in  May-23.</v>
          </cell>
          <cell r="G829">
            <v>23388.78</v>
          </cell>
          <cell r="H829">
            <v>3567.78</v>
          </cell>
          <cell r="I829">
            <v>19821</v>
          </cell>
        </row>
        <row r="830">
          <cell r="E830" t="str">
            <v>GGN/23-24/227</v>
          </cell>
          <cell r="F830" t="str">
            <v>being brokerage booked on insurance policies placed in May-23.</v>
          </cell>
          <cell r="G830">
            <v>8553.82</v>
          </cell>
          <cell r="H830">
            <v>1304.82</v>
          </cell>
          <cell r="I830">
            <v>7249</v>
          </cell>
        </row>
        <row r="831">
          <cell r="E831" t="str">
            <v>GGN/23-24/228</v>
          </cell>
          <cell r="F831" t="str">
            <v>being brokerage booked on insurance policies placed in Q4 2022-23.</v>
          </cell>
          <cell r="G831">
            <v>217878.95</v>
          </cell>
          <cell r="H831">
            <v>33235.769999999997</v>
          </cell>
          <cell r="I831">
            <v>184643.18</v>
          </cell>
        </row>
        <row r="832">
          <cell r="E832" t="str">
            <v>HYD/23-24/39</v>
          </cell>
          <cell r="F832" t="str">
            <v>being brokerage booked on insurance policies placed in May-23.</v>
          </cell>
          <cell r="G832">
            <v>1833602.01</v>
          </cell>
          <cell r="H832">
            <v>279702</v>
          </cell>
          <cell r="I832">
            <v>1553900.01</v>
          </cell>
        </row>
        <row r="833">
          <cell r="E833" t="str">
            <v>HYD/23-24/40</v>
          </cell>
          <cell r="F833" t="str">
            <v>being brokerage booked on insurance policies placed in May-23.</v>
          </cell>
          <cell r="G833">
            <v>410050</v>
          </cell>
          <cell r="H833">
            <v>62550</v>
          </cell>
          <cell r="I833">
            <v>347500</v>
          </cell>
        </row>
        <row r="834">
          <cell r="E834" t="str">
            <v>LUD/23-24/28</v>
          </cell>
          <cell r="F834" t="str">
            <v>being brokerage booked on insurance policies placed in May-23.</v>
          </cell>
          <cell r="G834">
            <v>29405.599999999999</v>
          </cell>
          <cell r="H834">
            <v>4485.6000000000004</v>
          </cell>
          <cell r="I834">
            <v>24920</v>
          </cell>
        </row>
        <row r="835">
          <cell r="E835" t="str">
            <v>LUD/23-24/29</v>
          </cell>
          <cell r="F835" t="str">
            <v>being brokerage booked on insurance policies placed in May-23.</v>
          </cell>
          <cell r="G835">
            <v>105830.9</v>
          </cell>
          <cell r="H835">
            <v>16143.7</v>
          </cell>
          <cell r="I835">
            <v>89687.2</v>
          </cell>
        </row>
        <row r="836">
          <cell r="E836" t="str">
            <v>LUD/23-24/30</v>
          </cell>
          <cell r="F836" t="str">
            <v>being brokerage booked on insurance policies placed in May-23.</v>
          </cell>
          <cell r="G836">
            <v>4825.0200000000004</v>
          </cell>
          <cell r="H836">
            <v>736.02</v>
          </cell>
          <cell r="I836">
            <v>4089</v>
          </cell>
        </row>
        <row r="837">
          <cell r="E837" t="str">
            <v>MUM/23-24/317</v>
          </cell>
          <cell r="F837" t="str">
            <v>being brokerage booked on insurance policies placed in May-23.</v>
          </cell>
          <cell r="G837">
            <v>1387376.74</v>
          </cell>
          <cell r="H837">
            <v>211633.74</v>
          </cell>
          <cell r="I837">
            <v>1175743</v>
          </cell>
        </row>
        <row r="838">
          <cell r="E838" t="str">
            <v>MUM/23-24/318</v>
          </cell>
          <cell r="F838" t="str">
            <v>being brokerage booked on insurance policies placed in May-23.</v>
          </cell>
          <cell r="G838">
            <v>218064</v>
          </cell>
          <cell r="H838">
            <v>33264</v>
          </cell>
          <cell r="I838">
            <v>184800</v>
          </cell>
        </row>
        <row r="839">
          <cell r="E839" t="str">
            <v>MUM/23-24/319</v>
          </cell>
          <cell r="F839" t="str">
            <v>being brokerage booked on insurance policies placed in May-23.</v>
          </cell>
          <cell r="G839">
            <v>1500.91</v>
          </cell>
          <cell r="H839">
            <v>228.96</v>
          </cell>
          <cell r="I839">
            <v>1271.95</v>
          </cell>
        </row>
        <row r="840">
          <cell r="E840" t="str">
            <v>MUM/23-24/320</v>
          </cell>
          <cell r="F840" t="str">
            <v>being brokerage booked on insurance policies placed in May-23.</v>
          </cell>
          <cell r="G840">
            <v>44680.7</v>
          </cell>
          <cell r="H840">
            <v>6815.7</v>
          </cell>
          <cell r="I840">
            <v>37865</v>
          </cell>
        </row>
        <row r="841">
          <cell r="E841" t="str">
            <v>MUM/23-24/321</v>
          </cell>
          <cell r="F841" t="str">
            <v>being brokerage booked on insurance policies placed in May-23.</v>
          </cell>
          <cell r="G841">
            <v>82008.820000000007</v>
          </cell>
          <cell r="H841">
            <v>12509.82</v>
          </cell>
          <cell r="I841">
            <v>69499</v>
          </cell>
        </row>
        <row r="842">
          <cell r="E842" t="str">
            <v>MUM/23-24/322</v>
          </cell>
          <cell r="F842" t="str">
            <v>being brokerage booked on insurance policies placed in Apr-23.</v>
          </cell>
          <cell r="G842">
            <v>15908526.630000001</v>
          </cell>
          <cell r="H842">
            <v>2426724.4</v>
          </cell>
          <cell r="I842">
            <v>13481802.23</v>
          </cell>
        </row>
        <row r="843">
          <cell r="E843" t="str">
            <v>MUM/23-24/323</v>
          </cell>
          <cell r="F843" t="str">
            <v>Being Reward booked on insurance policies placed in Apr-23.</v>
          </cell>
          <cell r="G843">
            <v>32401.64</v>
          </cell>
          <cell r="H843">
            <v>4942.62</v>
          </cell>
          <cell r="I843">
            <v>27459.02</v>
          </cell>
        </row>
        <row r="844">
          <cell r="E844" t="str">
            <v>MUM/23-24/324</v>
          </cell>
          <cell r="F844" t="str">
            <v>being brokerage booked on insurnace polices placed in Apr-23.</v>
          </cell>
          <cell r="G844">
            <v>92827.66</v>
          </cell>
          <cell r="H844">
            <v>14160.16</v>
          </cell>
          <cell r="I844">
            <v>78667.5</v>
          </cell>
        </row>
        <row r="845">
          <cell r="E845" t="str">
            <v>PUN/23-24/27</v>
          </cell>
          <cell r="F845" t="str">
            <v>being brokerage booked on insurance policies placed in May-23.</v>
          </cell>
          <cell r="G845">
            <v>49687.01</v>
          </cell>
          <cell r="H845">
            <v>7579.38</v>
          </cell>
          <cell r="I845">
            <v>42107.63</v>
          </cell>
        </row>
        <row r="846">
          <cell r="E846" t="str">
            <v>BLR/23-24/106</v>
          </cell>
          <cell r="F846" t="str">
            <v>being brokerage booked on insurance policies placed in May-23.</v>
          </cell>
          <cell r="G846">
            <v>20701.11</v>
          </cell>
          <cell r="H846">
            <v>3157.8</v>
          </cell>
          <cell r="I846">
            <v>17543.310000000001</v>
          </cell>
        </row>
        <row r="847">
          <cell r="E847" t="str">
            <v>BLR/23-24/107</v>
          </cell>
          <cell r="F847" t="str">
            <v>being brokerage booked on insurance policies placed in May-23.</v>
          </cell>
          <cell r="G847">
            <v>63548.19</v>
          </cell>
          <cell r="H847">
            <v>9693.7999999999993</v>
          </cell>
          <cell r="I847">
            <v>53854.39</v>
          </cell>
        </row>
        <row r="848">
          <cell r="E848" t="str">
            <v>BLR/23-24/108</v>
          </cell>
          <cell r="F848" t="str">
            <v>being brokerage booked on insurance policies placed in May-23.</v>
          </cell>
          <cell r="G848">
            <v>5406.33</v>
          </cell>
          <cell r="H848">
            <v>824.7</v>
          </cell>
          <cell r="I848">
            <v>4581.63</v>
          </cell>
        </row>
        <row r="849">
          <cell r="E849" t="str">
            <v>CHN/23-24/69</v>
          </cell>
          <cell r="F849" t="str">
            <v>being brokerage booked on insurance policies placed in May-23.</v>
          </cell>
          <cell r="G849">
            <v>3790.11</v>
          </cell>
          <cell r="H849">
            <v>578.16</v>
          </cell>
          <cell r="I849">
            <v>3211.95</v>
          </cell>
        </row>
        <row r="850">
          <cell r="E850" t="str">
            <v>CHN/23-24/70</v>
          </cell>
          <cell r="F850" t="str">
            <v>being brokerage booked on insurance policies placed in May-23.</v>
          </cell>
          <cell r="G850">
            <v>17174</v>
          </cell>
          <cell r="H850">
            <v>2619.7600000000002</v>
          </cell>
          <cell r="I850">
            <v>14554.24</v>
          </cell>
        </row>
        <row r="851">
          <cell r="E851" t="str">
            <v>GGN/23-24/229</v>
          </cell>
          <cell r="F851" t="str">
            <v>being brokerage booked on insurance policies placed for Scheme BSB Scheme, Rabi 2022-2023 Season in South Dinajpur.</v>
          </cell>
          <cell r="G851">
            <v>5481568.9000000004</v>
          </cell>
          <cell r="H851">
            <v>836171.53</v>
          </cell>
          <cell r="I851">
            <v>4645397.37</v>
          </cell>
        </row>
        <row r="852">
          <cell r="E852" t="str">
            <v>GGN/23-24/230</v>
          </cell>
          <cell r="F852" t="str">
            <v>being brokerage booked on insurance policies placed in May-23.</v>
          </cell>
          <cell r="G852">
            <v>131584.07</v>
          </cell>
          <cell r="H852">
            <v>20072.150000000001</v>
          </cell>
          <cell r="I852">
            <v>111511.92</v>
          </cell>
        </row>
        <row r="853">
          <cell r="E853" t="str">
            <v>GGN/23-24/231</v>
          </cell>
          <cell r="F853" t="str">
            <v>being brokerage booked on insurance policies placed in May-23.</v>
          </cell>
          <cell r="G853">
            <v>36006.54</v>
          </cell>
          <cell r="H853">
            <v>5492.52</v>
          </cell>
          <cell r="I853">
            <v>30514.02</v>
          </cell>
        </row>
        <row r="854">
          <cell r="E854" t="str">
            <v>GGN/23-24/232</v>
          </cell>
          <cell r="F854" t="str">
            <v>being brokerage booked on insurance policies placed in Apr-23.</v>
          </cell>
          <cell r="G854">
            <v>3636.24</v>
          </cell>
          <cell r="H854">
            <v>554.67999999999995</v>
          </cell>
          <cell r="I854">
            <v>3081.56</v>
          </cell>
        </row>
        <row r="855">
          <cell r="E855" t="str">
            <v>GGN/23-24/233</v>
          </cell>
          <cell r="F855" t="str">
            <v>being brokerage booked on insurance policies placed in May-23.</v>
          </cell>
          <cell r="G855">
            <v>539130.97</v>
          </cell>
          <cell r="H855">
            <v>82240.320000000007</v>
          </cell>
          <cell r="I855">
            <v>456890.65</v>
          </cell>
        </row>
        <row r="856">
          <cell r="E856" t="str">
            <v>GGN/23-24/234</v>
          </cell>
          <cell r="F856" t="str">
            <v>being brokerage booked on insurance policies placed in May-23.</v>
          </cell>
          <cell r="G856">
            <v>6728869.3499999996</v>
          </cell>
          <cell r="H856">
            <v>1026437.7</v>
          </cell>
          <cell r="I856">
            <v>5702431.6500000004</v>
          </cell>
        </row>
        <row r="857">
          <cell r="E857" t="str">
            <v>GGN/23-24/235</v>
          </cell>
          <cell r="F857" t="str">
            <v>being brokerage booked on insurance policies placed in May-23.</v>
          </cell>
          <cell r="G857">
            <v>486.75</v>
          </cell>
          <cell r="H857">
            <v>74.25</v>
          </cell>
          <cell r="I857">
            <v>412.5</v>
          </cell>
        </row>
        <row r="858">
          <cell r="E858" t="str">
            <v>MUM/23-24/325</v>
          </cell>
          <cell r="F858" t="str">
            <v>being brokerage booked on insurance policies placed in May-23.</v>
          </cell>
          <cell r="G858">
            <v>237.08</v>
          </cell>
          <cell r="H858">
            <v>36.159999999999997</v>
          </cell>
          <cell r="I858">
            <v>200.92</v>
          </cell>
        </row>
        <row r="859">
          <cell r="E859" t="str">
            <v>MUM/23-24/326</v>
          </cell>
          <cell r="F859" t="str">
            <v>being reward booked on insurance policies placed in Apr-23.</v>
          </cell>
          <cell r="G859">
            <v>52981.85</v>
          </cell>
          <cell r="H859">
            <v>8081.98</v>
          </cell>
          <cell r="I859">
            <v>44899.87</v>
          </cell>
        </row>
        <row r="860">
          <cell r="E860" t="str">
            <v>MUM/23-24/327</v>
          </cell>
          <cell r="F860" t="str">
            <v>being reward booked on insurance policies placed in Jun, Aug &amp; Dec-22.</v>
          </cell>
          <cell r="G860">
            <v>2699514.58</v>
          </cell>
          <cell r="H860">
            <v>411790.36</v>
          </cell>
          <cell r="I860">
            <v>2287724.2200000002</v>
          </cell>
        </row>
        <row r="861">
          <cell r="E861" t="str">
            <v>MUM/23-24/328</v>
          </cell>
          <cell r="F861" t="str">
            <v>being reward booked on insurance policies placed in Jan to Mar-23.</v>
          </cell>
          <cell r="G861">
            <v>3768728.22</v>
          </cell>
          <cell r="H861">
            <v>574890.74</v>
          </cell>
          <cell r="I861">
            <v>3193837.48</v>
          </cell>
        </row>
        <row r="862">
          <cell r="E862" t="str">
            <v>MUM/23-24/329</v>
          </cell>
          <cell r="F862" t="str">
            <v>being reward booked on insurance policies placed in Apr-23.</v>
          </cell>
          <cell r="G862">
            <v>471649.63</v>
          </cell>
          <cell r="H862">
            <v>71946.559999999998</v>
          </cell>
          <cell r="I862">
            <v>399703.07</v>
          </cell>
        </row>
        <row r="863">
          <cell r="E863" t="str">
            <v>MUM/23-24/330</v>
          </cell>
          <cell r="F863" t="str">
            <v>being brokerage booked on insurance policies placed in Jun-23.</v>
          </cell>
          <cell r="G863">
            <v>1943945.32</v>
          </cell>
          <cell r="H863">
            <v>296534.03999999998</v>
          </cell>
          <cell r="I863">
            <v>1647411.28</v>
          </cell>
        </row>
        <row r="864">
          <cell r="E864" t="str">
            <v>MUM/23-24/331</v>
          </cell>
          <cell r="F864" t="str">
            <v>being brokerage booked on insurance policies placed in Jun-23.</v>
          </cell>
          <cell r="G864">
            <v>12089.49</v>
          </cell>
          <cell r="H864">
            <v>1844.16</v>
          </cell>
          <cell r="I864">
            <v>10245.33</v>
          </cell>
        </row>
        <row r="865">
          <cell r="E865" t="str">
            <v>MUM/23-24/332</v>
          </cell>
          <cell r="F865" t="str">
            <v>Being 2 laptop transfered to Gift city branch.</v>
          </cell>
          <cell r="G865">
            <v>139240</v>
          </cell>
          <cell r="H865">
            <v>21240</v>
          </cell>
          <cell r="I865">
            <v>118000</v>
          </cell>
        </row>
        <row r="866">
          <cell r="E866" t="str">
            <v>MUM/23-24/333</v>
          </cell>
          <cell r="F866" t="str">
            <v>being brokerage booked on insurance policies placed in month May-23. Reverse Charge Mechanism Applicable - NO.</v>
          </cell>
          <cell r="G866">
            <v>3239476.94</v>
          </cell>
          <cell r="H866">
            <v>494157.5</v>
          </cell>
          <cell r="I866">
            <v>2745319.44</v>
          </cell>
        </row>
        <row r="867">
          <cell r="E867" t="str">
            <v>MUM/23-24/334</v>
          </cell>
          <cell r="F867" t="str">
            <v>being brokerage booked on insurance policies placed in month May-23. Reverse Charge Mechanism Applicable - NO.</v>
          </cell>
          <cell r="G867">
            <v>869295.18</v>
          </cell>
          <cell r="H867">
            <v>132604.35</v>
          </cell>
          <cell r="I867">
            <v>736690.83</v>
          </cell>
        </row>
        <row r="868">
          <cell r="E868" t="str">
            <v>MUM/23-24/335</v>
          </cell>
          <cell r="F868" t="str">
            <v>being brokerage booked on insurance policies placed in month May-23. Reverse Charge Mechanism Applicable - NO.</v>
          </cell>
          <cell r="G868">
            <v>81074.67</v>
          </cell>
          <cell r="H868">
            <v>12367.32</v>
          </cell>
          <cell r="I868">
            <v>68707.350000000006</v>
          </cell>
        </row>
        <row r="869">
          <cell r="E869" t="str">
            <v>MUM/23-24/336</v>
          </cell>
          <cell r="F869" t="str">
            <v>being brokerage booked on insurance policies placed in month May-23. Reverse Charge Mechanism Applicable - NO.</v>
          </cell>
          <cell r="G869">
            <v>6585140.6900000004</v>
          </cell>
          <cell r="H869">
            <v>1004512.99</v>
          </cell>
          <cell r="I869">
            <v>5580627.7000000002</v>
          </cell>
        </row>
        <row r="870">
          <cell r="E870" t="str">
            <v>MUM/23-24/337</v>
          </cell>
          <cell r="F870" t="str">
            <v>being brokerage booked on insurance policies placed in month May-23. Reverse Charge Mechanism Applicable - NO.</v>
          </cell>
          <cell r="G870">
            <v>836994.32</v>
          </cell>
          <cell r="H870">
            <v>127677.1</v>
          </cell>
          <cell r="I870">
            <v>709317.22</v>
          </cell>
        </row>
        <row r="871">
          <cell r="E871" t="str">
            <v>MUM/23-24/338</v>
          </cell>
          <cell r="F871" t="str">
            <v>being brokerage booked on insurance policies placed in month May-23. Reverse Charge Mechanism Applicable - NO.</v>
          </cell>
          <cell r="G871">
            <v>80373.72</v>
          </cell>
          <cell r="H871">
            <v>12260.4</v>
          </cell>
          <cell r="I871">
            <v>68113.320000000007</v>
          </cell>
        </row>
        <row r="872">
          <cell r="E872" t="str">
            <v>MUM/23-24/339</v>
          </cell>
          <cell r="F872" t="str">
            <v>being brokerage booked on insurance policies placed in month May-23. Reverse Charge Mechanism Applicable - NO.</v>
          </cell>
          <cell r="G872">
            <v>124678.79</v>
          </cell>
          <cell r="H872">
            <v>19018.8</v>
          </cell>
          <cell r="I872">
            <v>105659.99</v>
          </cell>
        </row>
        <row r="873">
          <cell r="E873" t="str">
            <v>MUM/23-24/340</v>
          </cell>
          <cell r="F873" t="str">
            <v>being brokerage booked on insurance policies placed in month May-23. Reverse Charge Mechanism Applicable - NO.</v>
          </cell>
          <cell r="G873">
            <v>1371.11</v>
          </cell>
          <cell r="H873">
            <v>209.15</v>
          </cell>
          <cell r="I873">
            <v>1161.96</v>
          </cell>
        </row>
        <row r="874">
          <cell r="E874" t="str">
            <v>MUM/23-24/341</v>
          </cell>
          <cell r="F874" t="str">
            <v>being brokerage booked on insurance policies placed in month May-23. Reverse Charge Mechanism Applicable - NO.</v>
          </cell>
          <cell r="G874">
            <v>60124.33</v>
          </cell>
          <cell r="H874">
            <v>9171.51</v>
          </cell>
          <cell r="I874">
            <v>50952.82</v>
          </cell>
        </row>
        <row r="875">
          <cell r="E875" t="str">
            <v>MUM/23-24/342</v>
          </cell>
          <cell r="F875" t="str">
            <v>being brokerage booked on insurance policies placed in month May-23. Reverse Charge Mechanism Applicable - NO.</v>
          </cell>
          <cell r="G875">
            <v>3191.23</v>
          </cell>
          <cell r="H875">
            <v>486.8</v>
          </cell>
          <cell r="I875">
            <v>2704.43</v>
          </cell>
        </row>
        <row r="876">
          <cell r="E876" t="str">
            <v>MUM/23-24/343</v>
          </cell>
          <cell r="F876" t="str">
            <v>being brokerage booked on insurance policies placed in month May-23. Reverse Charge Mechanism Applicable - NO.</v>
          </cell>
          <cell r="G876">
            <v>50150</v>
          </cell>
          <cell r="H876">
            <v>7650</v>
          </cell>
          <cell r="I876">
            <v>42500</v>
          </cell>
        </row>
        <row r="877">
          <cell r="E877" t="str">
            <v>MUM/23-24/344</v>
          </cell>
          <cell r="F877" t="str">
            <v>being brokerage booked on insurance policies placed in May-23.</v>
          </cell>
          <cell r="G877">
            <v>3164248.19</v>
          </cell>
          <cell r="H877">
            <v>482681.92</v>
          </cell>
          <cell r="I877">
            <v>2681566.27</v>
          </cell>
        </row>
        <row r="878">
          <cell r="E878" t="str">
            <v>MUM/23-24/345</v>
          </cell>
          <cell r="F878" t="str">
            <v>being brokerage booked on insurance policies placed in May-23.</v>
          </cell>
          <cell r="G878">
            <v>14750</v>
          </cell>
          <cell r="H878">
            <v>2250</v>
          </cell>
          <cell r="I878">
            <v>12500</v>
          </cell>
        </row>
        <row r="879">
          <cell r="E879" t="str">
            <v>MUM/23-24/346</v>
          </cell>
          <cell r="F879" t="str">
            <v>being brokerage booked on insurance policies placed in May-23.</v>
          </cell>
          <cell r="G879">
            <v>4022.98</v>
          </cell>
          <cell r="H879">
            <v>613.67999999999995</v>
          </cell>
          <cell r="I879">
            <v>3409.3</v>
          </cell>
        </row>
        <row r="880">
          <cell r="E880" t="str">
            <v>MUM/23-24/347</v>
          </cell>
          <cell r="F880" t="str">
            <v>being brokerage booked on insurance policies placed in May-23.</v>
          </cell>
          <cell r="G880">
            <v>38354.980000000003</v>
          </cell>
          <cell r="H880">
            <v>5850.76</v>
          </cell>
          <cell r="I880">
            <v>32504.22</v>
          </cell>
        </row>
        <row r="881">
          <cell r="E881" t="str">
            <v>MUM/23-24/348</v>
          </cell>
          <cell r="F881" t="str">
            <v>being brokerage booked on insurance policies placed in May-23.</v>
          </cell>
          <cell r="G881">
            <v>17353.75</v>
          </cell>
          <cell r="H881">
            <v>2647.18</v>
          </cell>
          <cell r="I881">
            <v>14706.57</v>
          </cell>
        </row>
        <row r="882">
          <cell r="E882" t="str">
            <v>MUM/23-24/349</v>
          </cell>
          <cell r="F882" t="str">
            <v>being brokerage booked on insurance policies placed in May-23.</v>
          </cell>
          <cell r="G882">
            <v>19907.45</v>
          </cell>
          <cell r="H882">
            <v>3036.73</v>
          </cell>
          <cell r="I882">
            <v>16870.72</v>
          </cell>
        </row>
        <row r="883">
          <cell r="E883" t="str">
            <v>MUM/23-24/350</v>
          </cell>
          <cell r="F883" t="str">
            <v>being brokerage booked on insurance policies placed in May-23.</v>
          </cell>
          <cell r="G883">
            <v>16.25</v>
          </cell>
          <cell r="H883">
            <v>2.48</v>
          </cell>
          <cell r="I883">
            <v>13.77</v>
          </cell>
        </row>
        <row r="884">
          <cell r="E884" t="str">
            <v>MUM/23-24/351</v>
          </cell>
          <cell r="F884" t="str">
            <v>Being brokerage booked on insurance policies placed in May-23.</v>
          </cell>
          <cell r="G884">
            <v>122165977.02</v>
          </cell>
          <cell r="H884">
            <v>18635488.02</v>
          </cell>
          <cell r="I884">
            <v>103530489</v>
          </cell>
        </row>
        <row r="885">
          <cell r="E885" t="str">
            <v>MUM/23-24/352</v>
          </cell>
          <cell r="F885" t="str">
            <v>being brokerage booked on insurance policies placed in May-23.</v>
          </cell>
          <cell r="G885">
            <v>5693.09</v>
          </cell>
          <cell r="H885">
            <v>868.44</v>
          </cell>
          <cell r="I885">
            <v>4824.6499999999996</v>
          </cell>
        </row>
        <row r="886">
          <cell r="E886" t="str">
            <v>MUM/23-24/353</v>
          </cell>
          <cell r="F886" t="str">
            <v>being brokerage booked on insurance policies placed in May-23.</v>
          </cell>
          <cell r="G886">
            <v>460.38</v>
          </cell>
          <cell r="H886">
            <v>70.23</v>
          </cell>
          <cell r="I886">
            <v>390.15</v>
          </cell>
        </row>
        <row r="887">
          <cell r="E887" t="str">
            <v>PUN/23-24/28</v>
          </cell>
          <cell r="F887" t="str">
            <v>being brokerage booked on insurance policies placed in May-23.</v>
          </cell>
          <cell r="G887">
            <v>480959.74</v>
          </cell>
          <cell r="H887">
            <v>73366.740000000005</v>
          </cell>
          <cell r="I887">
            <v>407593</v>
          </cell>
        </row>
        <row r="888">
          <cell r="E888" t="str">
            <v>PUN/23-24/29</v>
          </cell>
          <cell r="F888" t="str">
            <v>being brokerage booked on insurance policies placed in May-23.</v>
          </cell>
          <cell r="G888">
            <v>3468.63</v>
          </cell>
          <cell r="H888">
            <v>529.12</v>
          </cell>
          <cell r="I888">
            <v>2939.51</v>
          </cell>
        </row>
        <row r="889">
          <cell r="E889" t="str">
            <v>BLR/23-24/109</v>
          </cell>
          <cell r="F889" t="str">
            <v>being brokerage booked on insurance policies placed in May-23.</v>
          </cell>
          <cell r="G889">
            <v>2594602.64</v>
          </cell>
          <cell r="H889">
            <v>395786.84</v>
          </cell>
          <cell r="I889">
            <v>2198815.7999999998</v>
          </cell>
        </row>
        <row r="890">
          <cell r="E890" t="str">
            <v>BLR/23-24/110</v>
          </cell>
          <cell r="F890" t="str">
            <v>being brokerage booked on insurance policies placed in May-23.</v>
          </cell>
          <cell r="G890">
            <v>2723737.36</v>
          </cell>
          <cell r="H890">
            <v>415485.36</v>
          </cell>
          <cell r="I890">
            <v>2308252</v>
          </cell>
        </row>
        <row r="891">
          <cell r="E891" t="str">
            <v>BLR/23-24/111</v>
          </cell>
          <cell r="F891" t="str">
            <v>being brokerage booked on insurance policies placed in May-23.</v>
          </cell>
          <cell r="G891">
            <v>2498.06</v>
          </cell>
          <cell r="H891">
            <v>381.06</v>
          </cell>
          <cell r="I891">
            <v>2117</v>
          </cell>
        </row>
        <row r="892">
          <cell r="E892" t="str">
            <v>BLR/23-24/112</v>
          </cell>
          <cell r="F892" t="str">
            <v>being brokerage booked on insurance policies placed in May-23.</v>
          </cell>
          <cell r="G892">
            <v>2676.27</v>
          </cell>
          <cell r="H892">
            <v>408.24</v>
          </cell>
          <cell r="I892">
            <v>2268.0300000000002</v>
          </cell>
        </row>
        <row r="893">
          <cell r="E893" t="str">
            <v>CHN/23-24/71</v>
          </cell>
          <cell r="F893" t="str">
            <v>being brokerage booked on insurance policies placed in May-23.</v>
          </cell>
          <cell r="G893">
            <v>3179.05</v>
          </cell>
          <cell r="H893">
            <v>484.94</v>
          </cell>
          <cell r="I893">
            <v>2694.11</v>
          </cell>
        </row>
        <row r="894">
          <cell r="E894" t="str">
            <v>CHN/23-24/72</v>
          </cell>
          <cell r="F894" t="str">
            <v>being brokerage booked on insurance policies placed in May-23.</v>
          </cell>
          <cell r="G894">
            <v>381682.8</v>
          </cell>
          <cell r="H894">
            <v>58222.8</v>
          </cell>
          <cell r="I894">
            <v>323460</v>
          </cell>
        </row>
        <row r="895">
          <cell r="E895" t="str">
            <v>CHN/23-24/73</v>
          </cell>
          <cell r="F895" t="str">
            <v>being brokerage booked on insurance policies placed in May-23.</v>
          </cell>
          <cell r="G895">
            <v>9754.43</v>
          </cell>
          <cell r="H895">
            <v>1487.96</v>
          </cell>
          <cell r="I895">
            <v>8266.4699999999993</v>
          </cell>
        </row>
        <row r="896">
          <cell r="E896" t="str">
            <v>GGN/23-24/236</v>
          </cell>
          <cell r="F896" t="str">
            <v>being brokerage booked on insurance policies placed in May-23.</v>
          </cell>
          <cell r="G896">
            <v>660890.35</v>
          </cell>
          <cell r="H896">
            <v>100813.78</v>
          </cell>
          <cell r="I896">
            <v>560076.56999999995</v>
          </cell>
        </row>
        <row r="897">
          <cell r="E897" t="str">
            <v>GGN/23-24/237</v>
          </cell>
          <cell r="F897" t="str">
            <v>being brokerage booked on insurance policies placed in May-23.</v>
          </cell>
          <cell r="G897">
            <v>15811.92</v>
          </cell>
          <cell r="H897">
            <v>2411.9899999999998</v>
          </cell>
          <cell r="I897">
            <v>13399.93</v>
          </cell>
        </row>
        <row r="898">
          <cell r="E898" t="str">
            <v>GGN/23-24/238</v>
          </cell>
          <cell r="F898" t="str">
            <v>being brokerage booked on insurance policies placed in May-23.</v>
          </cell>
          <cell r="G898">
            <v>27435</v>
          </cell>
          <cell r="H898">
            <v>4185</v>
          </cell>
          <cell r="I898">
            <v>23250</v>
          </cell>
        </row>
        <row r="899">
          <cell r="E899" t="str">
            <v>GGN/23-24/239</v>
          </cell>
          <cell r="F899" t="str">
            <v>being brokerage booked on insurance policies placed in May-23.</v>
          </cell>
          <cell r="G899">
            <v>151207.20000000001</v>
          </cell>
          <cell r="H899">
            <v>23065.5</v>
          </cell>
          <cell r="I899">
            <v>128141.7</v>
          </cell>
        </row>
        <row r="900">
          <cell r="E900" t="str">
            <v>GGN/23-24/240</v>
          </cell>
          <cell r="F900" t="str">
            <v>being brokerage booked on insurance policies placed in May-23.</v>
          </cell>
          <cell r="G900">
            <v>29082.28</v>
          </cell>
          <cell r="H900">
            <v>4436.28</v>
          </cell>
          <cell r="I900">
            <v>24646</v>
          </cell>
        </row>
        <row r="901">
          <cell r="E901" t="str">
            <v>GGN/23-24/241</v>
          </cell>
          <cell r="F901" t="str">
            <v>being brokerage booked on insurance policies placed in May-23.</v>
          </cell>
          <cell r="G901">
            <v>164801.07</v>
          </cell>
          <cell r="H901">
            <v>25139.15</v>
          </cell>
          <cell r="I901">
            <v>139661.92000000001</v>
          </cell>
        </row>
        <row r="902">
          <cell r="E902" t="str">
            <v>HYD/23-24/41</v>
          </cell>
          <cell r="F902" t="str">
            <v>being brokerage booked on insurance policies placed in May-23.</v>
          </cell>
          <cell r="G902">
            <v>271324.87</v>
          </cell>
          <cell r="H902">
            <v>41388.54</v>
          </cell>
          <cell r="I902">
            <v>229936.33</v>
          </cell>
        </row>
        <row r="903">
          <cell r="E903" t="str">
            <v>HYD/23-24/42</v>
          </cell>
          <cell r="F903" t="str">
            <v>being brokerage booked on insurance policies placed in May-23.</v>
          </cell>
          <cell r="G903">
            <v>842511.74</v>
          </cell>
          <cell r="H903">
            <v>128518.74</v>
          </cell>
          <cell r="I903">
            <v>713993</v>
          </cell>
        </row>
        <row r="904">
          <cell r="E904" t="str">
            <v>HYD/23-24/43</v>
          </cell>
          <cell r="F904" t="str">
            <v>being brokerage booked on insurance policies placed in May-23.</v>
          </cell>
          <cell r="G904">
            <v>17.829999999999998</v>
          </cell>
          <cell r="H904">
            <v>2.72</v>
          </cell>
          <cell r="I904">
            <v>15.11</v>
          </cell>
        </row>
        <row r="905">
          <cell r="E905" t="str">
            <v>LUD/23-24/31</v>
          </cell>
          <cell r="F905" t="str">
            <v>being brokerage booked on insurance policies placed in May-23.</v>
          </cell>
          <cell r="G905">
            <v>830282.99</v>
          </cell>
          <cell r="H905">
            <v>126653.34</v>
          </cell>
          <cell r="I905">
            <v>703629.65</v>
          </cell>
        </row>
        <row r="906">
          <cell r="E906" t="str">
            <v>MUM/23-24/354</v>
          </cell>
          <cell r="F906" t="str">
            <v>being brokerage booked on insurance policies placed in May-23.</v>
          </cell>
          <cell r="G906">
            <v>656412.99</v>
          </cell>
          <cell r="H906">
            <v>100130.8</v>
          </cell>
          <cell r="I906">
            <v>556282.18999999994</v>
          </cell>
        </row>
        <row r="907">
          <cell r="E907" t="str">
            <v>MUM/23-24/355</v>
          </cell>
          <cell r="F907" t="str">
            <v>being brokerage booked on insurance policies placed in May-23.</v>
          </cell>
          <cell r="G907">
            <v>2920.5</v>
          </cell>
          <cell r="H907">
            <v>445.5</v>
          </cell>
          <cell r="I907">
            <v>2475</v>
          </cell>
        </row>
        <row r="908">
          <cell r="E908" t="str">
            <v>MUM/23-24/356</v>
          </cell>
          <cell r="F908" t="str">
            <v>being brokerage booked on insurance policies placed in May-23.</v>
          </cell>
          <cell r="G908">
            <v>1089721.82</v>
          </cell>
          <cell r="H908">
            <v>166228.76</v>
          </cell>
          <cell r="I908">
            <v>923493.06</v>
          </cell>
        </row>
        <row r="909">
          <cell r="E909" t="str">
            <v>MUM/23-24/357</v>
          </cell>
          <cell r="F909" t="str">
            <v>being brokerage booked on insurance policies placed in May-23.</v>
          </cell>
          <cell r="G909">
            <v>250825.52</v>
          </cell>
          <cell r="H909">
            <v>38261.519999999997</v>
          </cell>
          <cell r="I909">
            <v>212564</v>
          </cell>
        </row>
        <row r="910">
          <cell r="E910" t="str">
            <v>MUM/23-24/358</v>
          </cell>
          <cell r="F910" t="str">
            <v>being brokerage booked on insurance policies placed in May-23.</v>
          </cell>
          <cell r="G910">
            <v>3013.72</v>
          </cell>
          <cell r="H910">
            <v>459.72</v>
          </cell>
          <cell r="I910">
            <v>2554</v>
          </cell>
        </row>
        <row r="911">
          <cell r="E911" t="str">
            <v>MUM/23-24/359</v>
          </cell>
          <cell r="F911" t="str">
            <v>being brokerage booked on insurance policies placed in May-23.</v>
          </cell>
          <cell r="G911">
            <v>2512749.5099999998</v>
          </cell>
          <cell r="H911">
            <v>383300.78</v>
          </cell>
          <cell r="I911">
            <v>2129448.73</v>
          </cell>
        </row>
        <row r="912">
          <cell r="E912" t="str">
            <v>MUM/23-24/360</v>
          </cell>
          <cell r="F912" t="str">
            <v>being brokerage booked on insurance policies placed in May-23.</v>
          </cell>
          <cell r="G912">
            <v>352.35</v>
          </cell>
          <cell r="H912">
            <v>53.74</v>
          </cell>
          <cell r="I912">
            <v>298.61</v>
          </cell>
        </row>
        <row r="913">
          <cell r="E913" t="str">
            <v>MUM/23-24/361</v>
          </cell>
          <cell r="F913" t="str">
            <v>being brokerage booked on insurance policies placed in May-23.</v>
          </cell>
          <cell r="G913">
            <v>10939.88</v>
          </cell>
          <cell r="H913">
            <v>1668.8</v>
          </cell>
          <cell r="I913">
            <v>9271.08</v>
          </cell>
        </row>
        <row r="914">
          <cell r="E914" t="str">
            <v>BLR/23-24/113</v>
          </cell>
          <cell r="F914" t="str">
            <v>being brokerage booked on insurance policies placed in May-23.</v>
          </cell>
          <cell r="G914">
            <v>1986.75</v>
          </cell>
          <cell r="H914">
            <v>303.06</v>
          </cell>
          <cell r="I914">
            <v>1683.69</v>
          </cell>
        </row>
        <row r="915">
          <cell r="E915" t="str">
            <v>BLR/23-24/114</v>
          </cell>
          <cell r="F915" t="str">
            <v>being brokerage booked on insurance policies placed in May-23.</v>
          </cell>
          <cell r="G915">
            <v>400.7</v>
          </cell>
          <cell r="H915">
            <v>61.12</v>
          </cell>
          <cell r="I915">
            <v>339.58</v>
          </cell>
        </row>
        <row r="916">
          <cell r="E916" t="str">
            <v>BLR/23-24/115</v>
          </cell>
          <cell r="F916" t="str">
            <v>being brokerage booked on insurance policies placed in May-23.</v>
          </cell>
          <cell r="G916">
            <v>375209.8</v>
          </cell>
          <cell r="H916">
            <v>57235.4</v>
          </cell>
          <cell r="I916">
            <v>317974.40000000002</v>
          </cell>
        </row>
        <row r="917">
          <cell r="E917" t="str">
            <v>BLR/23-24/116</v>
          </cell>
          <cell r="F917" t="str">
            <v>being brokerage booked on insurance policies placed in May-23.</v>
          </cell>
          <cell r="G917">
            <v>6495.68</v>
          </cell>
          <cell r="H917">
            <v>990.86</v>
          </cell>
          <cell r="I917">
            <v>5504.82</v>
          </cell>
        </row>
        <row r="918">
          <cell r="E918" t="str">
            <v>BLR/23-24/117</v>
          </cell>
          <cell r="F918" t="str">
            <v>being brokerage booked on insurance policies placed in May-23.</v>
          </cell>
          <cell r="G918">
            <v>256.33</v>
          </cell>
          <cell r="H918">
            <v>39.1</v>
          </cell>
          <cell r="I918">
            <v>217.23</v>
          </cell>
        </row>
        <row r="919">
          <cell r="E919" t="str">
            <v>BLR/23-24/118</v>
          </cell>
          <cell r="F919" t="str">
            <v>being brokerage booked on insurance policies placed in May-23.</v>
          </cell>
          <cell r="G919">
            <v>6602.75</v>
          </cell>
          <cell r="H919">
            <v>1007.2</v>
          </cell>
          <cell r="I919">
            <v>5595.55</v>
          </cell>
        </row>
        <row r="920">
          <cell r="E920" t="str">
            <v>BLR/23-24/119</v>
          </cell>
          <cell r="F920" t="str">
            <v>being brokerage booked on insurance policies placed in May-23. (Whether the Tax is payable on reverse charge basis: NO).</v>
          </cell>
          <cell r="G920">
            <v>3098458.27</v>
          </cell>
          <cell r="H920">
            <v>472646.18</v>
          </cell>
          <cell r="I920">
            <v>2625812.09</v>
          </cell>
        </row>
        <row r="921">
          <cell r="E921" t="str">
            <v>BLR/23-24/120</v>
          </cell>
          <cell r="F921" t="str">
            <v>being brokerage booked on insurance policies placed in May-23.</v>
          </cell>
          <cell r="G921">
            <v>3103426.86</v>
          </cell>
          <cell r="H921">
            <v>473404.1</v>
          </cell>
          <cell r="I921">
            <v>2630022.7599999998</v>
          </cell>
        </row>
        <row r="922">
          <cell r="E922" t="str">
            <v>BLR/23-24/121</v>
          </cell>
          <cell r="F922" t="str">
            <v>being brokerage booked on insurance policies placed in May-23. GST is not payable under reverse charge  on these services. The invoice is issued as per Section 31 of the CGST Act.</v>
          </cell>
          <cell r="G922">
            <v>305347.42</v>
          </cell>
          <cell r="H922">
            <v>46578.42</v>
          </cell>
          <cell r="I922">
            <v>258769</v>
          </cell>
        </row>
        <row r="923">
          <cell r="E923" t="str">
            <v>CHN/23-24/74</v>
          </cell>
          <cell r="F923" t="str">
            <v>being brokerage booked on insurance policies placed in May-23.</v>
          </cell>
          <cell r="G923">
            <v>22931.95</v>
          </cell>
          <cell r="H923">
            <v>3498.1</v>
          </cell>
          <cell r="I923">
            <v>19433.849999999999</v>
          </cell>
        </row>
        <row r="924">
          <cell r="E924" t="str">
            <v>CHN/23-24/75</v>
          </cell>
          <cell r="F924" t="str">
            <v>being brokerage booked on insurance policies placed in May-23.</v>
          </cell>
          <cell r="G924">
            <v>143104.5</v>
          </cell>
          <cell r="H924">
            <v>21829.5</v>
          </cell>
          <cell r="I924">
            <v>121275</v>
          </cell>
        </row>
        <row r="925">
          <cell r="E925" t="str">
            <v>CHN/23-24/76</v>
          </cell>
          <cell r="F925" t="str">
            <v>being brokerage booked on insurance policies placed in May-23.</v>
          </cell>
          <cell r="G925">
            <v>2634.65</v>
          </cell>
          <cell r="H925">
            <v>401.9</v>
          </cell>
          <cell r="I925">
            <v>2232.75</v>
          </cell>
        </row>
        <row r="926">
          <cell r="E926" t="str">
            <v>CHN/23-24/77</v>
          </cell>
          <cell r="F926" t="str">
            <v>being brokerage booked on insurance policies placed in May-23.</v>
          </cell>
          <cell r="G926">
            <v>1019.65</v>
          </cell>
          <cell r="H926">
            <v>155.54</v>
          </cell>
          <cell r="I926">
            <v>864.11</v>
          </cell>
        </row>
        <row r="927">
          <cell r="E927" t="str">
            <v>CHN/23-24/78</v>
          </cell>
          <cell r="F927" t="str">
            <v>being brokerage booked on insurance policies placed in May-23.</v>
          </cell>
          <cell r="G927">
            <v>177.44</v>
          </cell>
          <cell r="H927">
            <v>27.06</v>
          </cell>
          <cell r="I927">
            <v>150.38</v>
          </cell>
        </row>
        <row r="928">
          <cell r="E928" t="str">
            <v>CHN/23-24/79</v>
          </cell>
          <cell r="F928" t="str">
            <v>being brokerage booked on insurance policies placed in May-23.</v>
          </cell>
          <cell r="G928">
            <v>134952.75</v>
          </cell>
          <cell r="H928">
            <v>20586.02</v>
          </cell>
          <cell r="I928">
            <v>114366.73</v>
          </cell>
        </row>
        <row r="929">
          <cell r="E929" t="str">
            <v>CHN/23-24/80</v>
          </cell>
          <cell r="F929" t="str">
            <v>being brokerage booked on insurance policies placed in May-23. (Whether the Tax is payable on reverse charge basis: NO).</v>
          </cell>
          <cell r="G929">
            <v>155731.98000000001</v>
          </cell>
          <cell r="H929">
            <v>23755.72</v>
          </cell>
          <cell r="I929">
            <v>131976.26</v>
          </cell>
        </row>
        <row r="930">
          <cell r="E930" t="str">
            <v>CHN/23-24/81</v>
          </cell>
          <cell r="F930" t="str">
            <v>being brokerage booked on insurance policies placed in May-23.</v>
          </cell>
          <cell r="G930">
            <v>60228.09</v>
          </cell>
          <cell r="H930">
            <v>9187.34</v>
          </cell>
          <cell r="I930">
            <v>51040.75</v>
          </cell>
        </row>
        <row r="931">
          <cell r="E931" t="str">
            <v>CHN/23-24/82</v>
          </cell>
          <cell r="F931" t="str">
            <v>being brokerage booked on insurance policies placed in May-23. GST is not payable under reverse charge  on these services. The invoice is issued as per Section 31 of the CGST Act.</v>
          </cell>
          <cell r="G931">
            <v>336622.14</v>
          </cell>
          <cell r="H931">
            <v>51349.14</v>
          </cell>
          <cell r="I931">
            <v>285273</v>
          </cell>
        </row>
        <row r="932">
          <cell r="E932" t="str">
            <v>GGN/23-24/242</v>
          </cell>
          <cell r="F932" t="str">
            <v>being brokerage booked on insurance policies placed in May-23.</v>
          </cell>
          <cell r="G932">
            <v>62863.32</v>
          </cell>
          <cell r="H932">
            <v>9589.32</v>
          </cell>
          <cell r="I932">
            <v>53274</v>
          </cell>
        </row>
        <row r="933">
          <cell r="E933" t="str">
            <v>GGN/23-24/243</v>
          </cell>
          <cell r="F933" t="str">
            <v>being brokerage booked on insurance policies placed in May-23.</v>
          </cell>
          <cell r="G933">
            <v>498856.84</v>
          </cell>
          <cell r="H933">
            <v>76096.81</v>
          </cell>
          <cell r="I933">
            <v>422760.03</v>
          </cell>
        </row>
        <row r="934">
          <cell r="E934" t="str">
            <v>GGN/23-24/244</v>
          </cell>
          <cell r="F934" t="str">
            <v>being brokerage booked on insurance policies placed in May-23.</v>
          </cell>
          <cell r="G934">
            <v>153852.35</v>
          </cell>
          <cell r="H934">
            <v>23469</v>
          </cell>
          <cell r="I934">
            <v>130383.35</v>
          </cell>
        </row>
        <row r="935">
          <cell r="E935" t="str">
            <v>GGN/23-24/245</v>
          </cell>
          <cell r="F935" t="str">
            <v>being brokerage booked on insurance policies placed in May-23.</v>
          </cell>
          <cell r="G935">
            <v>30004.91</v>
          </cell>
          <cell r="H935">
            <v>4577.0200000000004</v>
          </cell>
          <cell r="I935">
            <v>25427.89</v>
          </cell>
        </row>
        <row r="936">
          <cell r="E936" t="str">
            <v>GGN/23-24/246</v>
          </cell>
          <cell r="F936" t="str">
            <v>being brokerage booked on insurance policies placed in May-23.</v>
          </cell>
          <cell r="G936">
            <v>695.61</v>
          </cell>
          <cell r="H936">
            <v>106.11</v>
          </cell>
          <cell r="I936">
            <v>589.5</v>
          </cell>
        </row>
        <row r="937">
          <cell r="E937" t="str">
            <v>GGN/23-24/247</v>
          </cell>
          <cell r="F937" t="str">
            <v>being brokerage booked on insurance policies placed in May-23.</v>
          </cell>
          <cell r="G937">
            <v>468316.89</v>
          </cell>
          <cell r="H937">
            <v>71438.17</v>
          </cell>
          <cell r="I937">
            <v>396878.72</v>
          </cell>
        </row>
        <row r="938">
          <cell r="E938" t="str">
            <v>GGN/23-24/248</v>
          </cell>
          <cell r="F938" t="str">
            <v>being brokerage booked on insurance policies placed in May-23.</v>
          </cell>
          <cell r="G938">
            <v>2470.61</v>
          </cell>
          <cell r="H938">
            <v>376.87</v>
          </cell>
          <cell r="I938">
            <v>2093.7399999999998</v>
          </cell>
        </row>
        <row r="939">
          <cell r="E939" t="str">
            <v>GGN/23-24/249</v>
          </cell>
          <cell r="F939" t="str">
            <v>being brokerage booked on insurance policies placed in May-23.</v>
          </cell>
          <cell r="G939">
            <v>744.34</v>
          </cell>
          <cell r="H939">
            <v>113.54</v>
          </cell>
          <cell r="I939">
            <v>630.79999999999995</v>
          </cell>
        </row>
        <row r="940">
          <cell r="E940" t="str">
            <v>GGN/23-24/250</v>
          </cell>
          <cell r="F940" t="str">
            <v>being brokerage booked on insurance policies placed in May-23.</v>
          </cell>
          <cell r="G940">
            <v>1928.24</v>
          </cell>
          <cell r="H940">
            <v>294.14</v>
          </cell>
          <cell r="I940">
            <v>1634.1</v>
          </cell>
        </row>
        <row r="941">
          <cell r="E941" t="str">
            <v>GGN/23-24/251</v>
          </cell>
          <cell r="F941" t="str">
            <v>being brokerage booked on insurance policies placed in May-23.</v>
          </cell>
          <cell r="G941">
            <v>58563.199999999997</v>
          </cell>
          <cell r="H941">
            <v>8933.3700000000008</v>
          </cell>
          <cell r="I941">
            <v>49629.83</v>
          </cell>
        </row>
        <row r="942">
          <cell r="E942" t="str">
            <v>GGN/23-24/252</v>
          </cell>
          <cell r="F942" t="str">
            <v>being brokerage booked on insurance policies placed in Apr-23.</v>
          </cell>
          <cell r="G942">
            <v>819072.22</v>
          </cell>
          <cell r="H942">
            <v>124943.22</v>
          </cell>
          <cell r="I942">
            <v>694129</v>
          </cell>
        </row>
        <row r="943">
          <cell r="E943" t="str">
            <v>GGN/23-24/253</v>
          </cell>
          <cell r="F943" t="str">
            <v>being brokerage booked on insurance policies placed in May-23. (Whether the Tax is payable on reverse charge basis: NO).</v>
          </cell>
          <cell r="G943">
            <v>2982065.35</v>
          </cell>
          <cell r="H943">
            <v>454891.32</v>
          </cell>
          <cell r="I943">
            <v>2527174.0299999998</v>
          </cell>
        </row>
        <row r="944">
          <cell r="E944" t="str">
            <v>GGN/23-24/254</v>
          </cell>
          <cell r="F944" t="str">
            <v>being brokerage booked on insurance policies placed in May-23. (Whether the Tax is payable on reverse charge basis: NO).</v>
          </cell>
          <cell r="G944">
            <v>7920.34</v>
          </cell>
          <cell r="H944">
            <v>1208.19</v>
          </cell>
          <cell r="I944">
            <v>6712.15</v>
          </cell>
        </row>
        <row r="945">
          <cell r="E945" t="str">
            <v>GGN/23-24/255</v>
          </cell>
          <cell r="F945" t="str">
            <v>being brokerage booked on insurance policies placed in May-23.</v>
          </cell>
          <cell r="G945">
            <v>101511.59</v>
          </cell>
          <cell r="H945">
            <v>15484.82</v>
          </cell>
          <cell r="I945">
            <v>86026.77</v>
          </cell>
        </row>
        <row r="946">
          <cell r="E946" t="str">
            <v>GGN/23-24/256</v>
          </cell>
          <cell r="F946" t="str">
            <v>being brokerage booked on insurance policies placed in May-23.</v>
          </cell>
          <cell r="G946">
            <v>7884322.7699999996</v>
          </cell>
          <cell r="H946">
            <v>1202693.3</v>
          </cell>
          <cell r="I946">
            <v>6681629.4699999997</v>
          </cell>
        </row>
        <row r="947">
          <cell r="E947" t="str">
            <v>GGN/23-24/257</v>
          </cell>
          <cell r="F947" t="str">
            <v>being brokerage booked on insurance policies placed in May-23.</v>
          </cell>
          <cell r="G947">
            <v>4778.92</v>
          </cell>
          <cell r="H947">
            <v>728.99</v>
          </cell>
          <cell r="I947">
            <v>4049.93</v>
          </cell>
        </row>
        <row r="948">
          <cell r="E948" t="str">
            <v>GGN/23-24/258</v>
          </cell>
          <cell r="F948" t="str">
            <v>being brokerage booked on insurance policies placed in May-23.</v>
          </cell>
          <cell r="G948">
            <v>10591.33</v>
          </cell>
          <cell r="H948">
            <v>1615.63</v>
          </cell>
          <cell r="I948">
            <v>8975.7000000000007</v>
          </cell>
        </row>
        <row r="949">
          <cell r="E949" t="str">
            <v>GGN/23-24/259</v>
          </cell>
          <cell r="F949" t="str">
            <v>being brokerage booked on insurance policies placed in May-23.</v>
          </cell>
          <cell r="G949">
            <v>3736.47</v>
          </cell>
          <cell r="H949">
            <v>569.97</v>
          </cell>
          <cell r="I949">
            <v>3166.5</v>
          </cell>
        </row>
        <row r="950">
          <cell r="E950" t="str">
            <v>GGN/23-24/260</v>
          </cell>
          <cell r="F950" t="str">
            <v>being brokerage booked on insurance policies placed in May-23.</v>
          </cell>
          <cell r="G950">
            <v>9155.07</v>
          </cell>
          <cell r="H950">
            <v>1396.54</v>
          </cell>
          <cell r="I950">
            <v>7758.53</v>
          </cell>
        </row>
        <row r="951">
          <cell r="E951" t="str">
            <v>GGN/23-24/261</v>
          </cell>
          <cell r="F951" t="str">
            <v>being brokerage booked on insurance policies placed in May-23. GST is not payable under reverse charge  on these services. The invoice is issued as per Section 31 of the CGST Act.</v>
          </cell>
          <cell r="G951">
            <v>544665.57999999996</v>
          </cell>
          <cell r="H951">
            <v>83084.58</v>
          </cell>
          <cell r="I951">
            <v>461581</v>
          </cell>
        </row>
        <row r="952">
          <cell r="E952" t="str">
            <v>HYD/23-24/44</v>
          </cell>
          <cell r="F952" t="str">
            <v>being brokerage booked on insurance policies placed in May-23.</v>
          </cell>
          <cell r="G952">
            <v>36272.26</v>
          </cell>
          <cell r="H952">
            <v>5533.06</v>
          </cell>
          <cell r="I952">
            <v>30739.200000000001</v>
          </cell>
        </row>
        <row r="953">
          <cell r="E953" t="str">
            <v>HYD/23-24/45</v>
          </cell>
          <cell r="F953" t="str">
            <v>being brokerage booked on insurance policies placed in May-23. (Whether the Tax is payable on reverse charge basis: NO).</v>
          </cell>
          <cell r="G953">
            <v>5733.5</v>
          </cell>
          <cell r="H953">
            <v>874.6</v>
          </cell>
          <cell r="I953">
            <v>4858.8999999999996</v>
          </cell>
        </row>
        <row r="954">
          <cell r="E954" t="str">
            <v>HYD/23-24/46</v>
          </cell>
          <cell r="F954" t="str">
            <v>being brokerage booked on insurance policies placed in May-23.</v>
          </cell>
          <cell r="G954">
            <v>779819.28</v>
          </cell>
          <cell r="H954">
            <v>118955.48</v>
          </cell>
          <cell r="I954">
            <v>660863.80000000005</v>
          </cell>
        </row>
        <row r="955">
          <cell r="E955" t="str">
            <v>LUD/23-24/32</v>
          </cell>
          <cell r="F955" t="str">
            <v>being brokerage booked on insurance policies placed in May-23.</v>
          </cell>
          <cell r="G955">
            <v>44306.5</v>
          </cell>
          <cell r="H955">
            <v>6758.62</v>
          </cell>
          <cell r="I955">
            <v>37547.879999999997</v>
          </cell>
        </row>
        <row r="956">
          <cell r="E956" t="str">
            <v>LUD/23-24/33</v>
          </cell>
          <cell r="F956" t="str">
            <v>being brokerage booked on insurance policies placed in May-23.</v>
          </cell>
          <cell r="G956">
            <v>102726.43</v>
          </cell>
          <cell r="H956">
            <v>15670.14</v>
          </cell>
          <cell r="I956">
            <v>87056.29</v>
          </cell>
        </row>
        <row r="957">
          <cell r="E957" t="str">
            <v>LUD/23-24/34</v>
          </cell>
          <cell r="F957" t="str">
            <v>being brokerage booked on insurance policies placed in May-23. GST is not payable under reverse charge  on these services. The invoice is issued as per Section 31 of the CGST Act.</v>
          </cell>
          <cell r="G957">
            <v>47679.08</v>
          </cell>
          <cell r="H957">
            <v>7273.08</v>
          </cell>
          <cell r="I957">
            <v>40406</v>
          </cell>
        </row>
        <row r="958">
          <cell r="E958" t="str">
            <v>MUM/23-24/362</v>
          </cell>
          <cell r="F958" t="str">
            <v>being brokerage booked on insurance policies placed in May-23.</v>
          </cell>
          <cell r="G958">
            <v>30255.95</v>
          </cell>
          <cell r="H958">
            <v>4615.32</v>
          </cell>
          <cell r="I958">
            <v>25640.63</v>
          </cell>
        </row>
        <row r="959">
          <cell r="E959" t="str">
            <v>MUM/23-24/363</v>
          </cell>
          <cell r="F959" t="str">
            <v>being brokerage booked on insurance policies placed in May-23.</v>
          </cell>
          <cell r="G959">
            <v>586493.31999999995</v>
          </cell>
          <cell r="H959">
            <v>89465.08</v>
          </cell>
          <cell r="I959">
            <v>497028.24</v>
          </cell>
        </row>
        <row r="960">
          <cell r="E960" t="str">
            <v>MUM/23-24/364</v>
          </cell>
          <cell r="F960" t="str">
            <v>being brokerage booked on insurance policies placed in May-23.</v>
          </cell>
          <cell r="G960">
            <v>121282.55</v>
          </cell>
          <cell r="H960">
            <v>18500.72</v>
          </cell>
          <cell r="I960">
            <v>102781.83</v>
          </cell>
        </row>
        <row r="961">
          <cell r="E961" t="str">
            <v>MUM/23-24/365</v>
          </cell>
          <cell r="F961" t="str">
            <v>being brokerage booked on insurance policies placed in May-23.</v>
          </cell>
          <cell r="G961">
            <v>2654551.2000000002</v>
          </cell>
          <cell r="H961">
            <v>404931.54</v>
          </cell>
          <cell r="I961">
            <v>2249619.66</v>
          </cell>
        </row>
        <row r="962">
          <cell r="E962" t="str">
            <v>MUM/23-24/366</v>
          </cell>
          <cell r="F962" t="str">
            <v>being brokerage booked on insurance policies placed in May-23.</v>
          </cell>
          <cell r="G962">
            <v>6574.17</v>
          </cell>
          <cell r="H962">
            <v>1002.84</v>
          </cell>
          <cell r="I962">
            <v>5571.33</v>
          </cell>
        </row>
        <row r="963">
          <cell r="E963" t="str">
            <v>MUM/23-24/367</v>
          </cell>
          <cell r="F963" t="str">
            <v>being brokerage booked on insurance policies placed in May-23.</v>
          </cell>
          <cell r="G963">
            <v>9976.1299999999992</v>
          </cell>
          <cell r="H963">
            <v>1521.78</v>
          </cell>
          <cell r="I963">
            <v>8454.35</v>
          </cell>
        </row>
        <row r="964">
          <cell r="E964" t="str">
            <v>MUM/23-24/369</v>
          </cell>
          <cell r="F964" t="str">
            <v>being brokerage booked on insurance policies placed in May-23.</v>
          </cell>
          <cell r="G964">
            <v>24004.48</v>
          </cell>
          <cell r="H964">
            <v>3661.7</v>
          </cell>
          <cell r="I964">
            <v>20342.78</v>
          </cell>
        </row>
        <row r="965">
          <cell r="E965" t="str">
            <v>MUM/23-24/368</v>
          </cell>
          <cell r="F965" t="str">
            <v>being brokerage booked on insurance policies placed in May-23.</v>
          </cell>
          <cell r="G965">
            <v>123174.6</v>
          </cell>
          <cell r="H965">
            <v>18789.34</v>
          </cell>
          <cell r="I965">
            <v>104385.26</v>
          </cell>
        </row>
        <row r="966">
          <cell r="E966" t="str">
            <v>MUM/23-24/370</v>
          </cell>
          <cell r="F966" t="str">
            <v>being brokerage booked on insurance policies placed in May-23. (Whether the Tax is payable on reverse charge basis: NO).</v>
          </cell>
          <cell r="G966">
            <v>1113419.9099999999</v>
          </cell>
          <cell r="H966">
            <v>169843.72</v>
          </cell>
          <cell r="I966">
            <v>943576.19</v>
          </cell>
        </row>
        <row r="967">
          <cell r="E967" t="str">
            <v>MUM/23-24/371</v>
          </cell>
          <cell r="F967" t="str">
            <v>being brokerage booked on insurance policies placed in May-23.</v>
          </cell>
          <cell r="G967">
            <v>39312</v>
          </cell>
          <cell r="H967">
            <v>5996.74</v>
          </cell>
          <cell r="I967">
            <v>33315.26</v>
          </cell>
        </row>
        <row r="968">
          <cell r="E968" t="str">
            <v>MUM/23-24/372</v>
          </cell>
          <cell r="F968" t="str">
            <v>being brokerage booked on insurance policies placed in May-23.</v>
          </cell>
          <cell r="G968">
            <v>8668230.5600000005</v>
          </cell>
          <cell r="H968">
            <v>1322272.46</v>
          </cell>
          <cell r="I968">
            <v>7345958.0999999996</v>
          </cell>
        </row>
        <row r="969">
          <cell r="E969" t="str">
            <v>MUM/23-24/373</v>
          </cell>
          <cell r="F969" t="str">
            <v>being brokerage booked on insurance policies placed in May-23.</v>
          </cell>
          <cell r="G969">
            <v>2219.69</v>
          </cell>
          <cell r="H969">
            <v>338.6</v>
          </cell>
          <cell r="I969">
            <v>1881.09</v>
          </cell>
        </row>
        <row r="970">
          <cell r="E970" t="str">
            <v>MUM/23-24/374</v>
          </cell>
          <cell r="F970" t="str">
            <v>being brokerage booked on insurance policies placed in May-23.</v>
          </cell>
          <cell r="G970">
            <v>3762.75</v>
          </cell>
          <cell r="H970">
            <v>573.98</v>
          </cell>
          <cell r="I970">
            <v>3188.77</v>
          </cell>
        </row>
        <row r="971">
          <cell r="E971" t="str">
            <v>MUM/23-24/375</v>
          </cell>
          <cell r="F971" t="str">
            <v>being brokerage booked on insurance policies placed in May-23.</v>
          </cell>
          <cell r="G971">
            <v>9741.64</v>
          </cell>
          <cell r="H971">
            <v>1486.01</v>
          </cell>
          <cell r="I971">
            <v>8255.6299999999992</v>
          </cell>
        </row>
        <row r="972">
          <cell r="E972" t="str">
            <v>MUM/23-24/376</v>
          </cell>
          <cell r="F972" t="str">
            <v>being brokerage booked on insurance policies placed in Dec to Jan 2022-23.</v>
          </cell>
          <cell r="G972">
            <v>1821.92</v>
          </cell>
          <cell r="H972">
            <v>277.92</v>
          </cell>
          <cell r="I972">
            <v>1544</v>
          </cell>
        </row>
        <row r="973">
          <cell r="E973" t="str">
            <v>MUM/23-24/377</v>
          </cell>
          <cell r="F973" t="str">
            <v>being brokerage booked on insurance policies placed in May-23.</v>
          </cell>
          <cell r="G973">
            <v>3246538.07</v>
          </cell>
          <cell r="H973">
            <v>495234.62</v>
          </cell>
          <cell r="I973">
            <v>2751303.45</v>
          </cell>
        </row>
        <row r="974">
          <cell r="E974" t="str">
            <v>MUM/23-24/378</v>
          </cell>
          <cell r="F974" t="str">
            <v>being brokerage booked on insurance policies placed in May-23. GST is not payable under reverse charge  on these services. The invoice is issued as per Section 31 of the CGST Act.</v>
          </cell>
          <cell r="G974">
            <v>1711153.4</v>
          </cell>
          <cell r="H974">
            <v>261023.4</v>
          </cell>
          <cell r="I974">
            <v>1450130</v>
          </cell>
        </row>
        <row r="975">
          <cell r="E975" t="str">
            <v>MUM/23-24/379</v>
          </cell>
          <cell r="F975" t="str">
            <v>being brokerage booked on insurance policies placed in May-23. GST is not payable under reverse charge  on these services. The invoice is issued as per Section 31 of the CGST Act.</v>
          </cell>
          <cell r="G975">
            <v>92457.72</v>
          </cell>
          <cell r="H975">
            <v>14103.72</v>
          </cell>
          <cell r="I975">
            <v>78354</v>
          </cell>
        </row>
        <row r="976">
          <cell r="E976" t="str">
            <v>MUM/23-24/380</v>
          </cell>
          <cell r="F976" t="str">
            <v>being brokerage booked on insurance policies placed in May-23. GST is not payable under reverse charge  on these services. The invoice is issued as per Section 31 of the CGST Act.</v>
          </cell>
          <cell r="G976">
            <v>1613.06</v>
          </cell>
          <cell r="H976">
            <v>246.06</v>
          </cell>
          <cell r="I976">
            <v>1367</v>
          </cell>
        </row>
        <row r="977">
          <cell r="E977" t="str">
            <v>PUN/23-24/30</v>
          </cell>
          <cell r="F977" t="str">
            <v>being brokerage booked on insurance policies placed in May-23.</v>
          </cell>
          <cell r="G977">
            <v>232725.62</v>
          </cell>
          <cell r="H977">
            <v>35500.519999999997</v>
          </cell>
          <cell r="I977">
            <v>197225.1</v>
          </cell>
        </row>
        <row r="978">
          <cell r="E978" t="str">
            <v>PUN/23-24/31</v>
          </cell>
          <cell r="F978" t="str">
            <v>being brokerage booked on insurance policies placed in May-23.</v>
          </cell>
          <cell r="G978">
            <v>193652.41</v>
          </cell>
          <cell r="H978">
            <v>29540.2</v>
          </cell>
          <cell r="I978">
            <v>164112.21</v>
          </cell>
        </row>
        <row r="979">
          <cell r="E979" t="str">
            <v>PUN/23-24/32</v>
          </cell>
          <cell r="F979" t="str">
            <v>being brokerage booked on insurance policies placed in May-23.</v>
          </cell>
          <cell r="G979">
            <v>2180758</v>
          </cell>
          <cell r="H979">
            <v>332658</v>
          </cell>
          <cell r="I979">
            <v>1848100</v>
          </cell>
        </row>
        <row r="980">
          <cell r="E980" t="str">
            <v>PUN/23-24/33</v>
          </cell>
          <cell r="F980" t="str">
            <v>being brokerage booked on insurance policies placed in May-23. GST is not payable under reverse charge  on these services. The invoice is issued as per Section 31 of the CGST Act.</v>
          </cell>
          <cell r="G980">
            <v>2762262</v>
          </cell>
          <cell r="H980">
            <v>421362</v>
          </cell>
          <cell r="I980">
            <v>2340900</v>
          </cell>
        </row>
        <row r="981">
          <cell r="E981" t="str">
            <v>CHN/23-24/83</v>
          </cell>
          <cell r="F981" t="str">
            <v>being brokerage booked on insurance policies placed in Apr-23.</v>
          </cell>
          <cell r="G981">
            <v>189327.08</v>
          </cell>
          <cell r="H981">
            <v>28880.400000000001</v>
          </cell>
          <cell r="I981">
            <v>160446.68</v>
          </cell>
        </row>
        <row r="982">
          <cell r="E982" t="str">
            <v>GGN/23-24/262</v>
          </cell>
          <cell r="F982" t="str">
            <v>being brokerage booked on insurance policies placed in Apr-23.</v>
          </cell>
          <cell r="G982">
            <v>635.01</v>
          </cell>
          <cell r="H982">
            <v>96.87</v>
          </cell>
          <cell r="I982">
            <v>538.14</v>
          </cell>
        </row>
        <row r="983">
          <cell r="E983" t="str">
            <v>GGN/23-24/263</v>
          </cell>
          <cell r="F983" t="str">
            <v>being brokerage booked on insurance policies placed in Apr-23.</v>
          </cell>
          <cell r="G983">
            <v>3259951.73</v>
          </cell>
          <cell r="H983">
            <v>497280.77</v>
          </cell>
          <cell r="I983">
            <v>2762670.96</v>
          </cell>
        </row>
        <row r="984">
          <cell r="E984" t="str">
            <v>GGN/23-24/264</v>
          </cell>
          <cell r="F984" t="str">
            <v>being brokerage booked on insurance policies placed in Apr-23.</v>
          </cell>
          <cell r="G984">
            <v>583389.68000000005</v>
          </cell>
          <cell r="H984">
            <v>88991.65</v>
          </cell>
          <cell r="I984">
            <v>494398.03</v>
          </cell>
        </row>
        <row r="985">
          <cell r="E985" t="str">
            <v>GGN/23-24/265</v>
          </cell>
          <cell r="F985" t="str">
            <v>being reward booked on insurance policies placed in month of Dec-22. We also declare that our revenue from other than insurance intermidition activities less than fifty percent of our total revenue from all the activities.</v>
          </cell>
          <cell r="G985">
            <v>49099.67</v>
          </cell>
          <cell r="H985">
            <v>7489.78</v>
          </cell>
          <cell r="I985">
            <v>41609.89</v>
          </cell>
        </row>
        <row r="986">
          <cell r="E986" t="str">
            <v>GGN/23-24/266</v>
          </cell>
          <cell r="F986" t="str">
            <v>being reward booked on insurance policies placed in month of Jan-23. We also declare that our revenue from other than insurance intermidition activities less than fifty percent of our total revenue from all the activities.</v>
          </cell>
          <cell r="G986">
            <v>31123.67</v>
          </cell>
          <cell r="H986">
            <v>4747.68</v>
          </cell>
          <cell r="I986">
            <v>26375.99</v>
          </cell>
        </row>
        <row r="987">
          <cell r="E987" t="str">
            <v>GGN/23-24/267</v>
          </cell>
          <cell r="F987" t="str">
            <v>being reward booked on insurance policies placed in month of Feb-23. We also declare that our revenue from other than insurance intermidition activities less than fifty percent of our total revenue from all the activities.</v>
          </cell>
          <cell r="G987">
            <v>1441.91</v>
          </cell>
          <cell r="H987">
            <v>219.95</v>
          </cell>
          <cell r="I987">
            <v>1221.96</v>
          </cell>
        </row>
        <row r="988">
          <cell r="E988" t="str">
            <v>GGN/23-24/268</v>
          </cell>
          <cell r="F988" t="str">
            <v>being reward booked on insurance policies placed in month of Feb-23. We also declare that our revenue from other than insurance intermidition activities less than fifty percent of our total revenue from all the activities.</v>
          </cell>
          <cell r="G988">
            <v>27554.57</v>
          </cell>
          <cell r="H988">
            <v>4203.24</v>
          </cell>
          <cell r="I988">
            <v>23351.33</v>
          </cell>
        </row>
        <row r="989">
          <cell r="E989" t="str">
            <v>GGN/23-24/269</v>
          </cell>
          <cell r="F989" t="str">
            <v>being reward booked on insurance policies placed in month of Mar-23. We also declare that our revenue from other than insurance intermidition activities less than fifty percent of our total revenue from all the activities.</v>
          </cell>
          <cell r="G989">
            <v>116213.28</v>
          </cell>
          <cell r="H989">
            <v>17727.45</v>
          </cell>
          <cell r="I989">
            <v>98485.83</v>
          </cell>
        </row>
        <row r="990">
          <cell r="E990" t="str">
            <v>GGN/23-24/270</v>
          </cell>
          <cell r="F990" t="str">
            <v>being reward booked on insurance policies placed in month of Apr-23. We also declare that our revenue from other than insurance intermidition activities less than fifty percent of our total revenue from all the activities.</v>
          </cell>
          <cell r="G990">
            <v>113543.49</v>
          </cell>
          <cell r="H990">
            <v>17320.189999999999</v>
          </cell>
          <cell r="I990">
            <v>96223.3</v>
          </cell>
        </row>
        <row r="991">
          <cell r="E991" t="str">
            <v>GGN/23-24/271</v>
          </cell>
          <cell r="F991" t="str">
            <v>being reward booked on insurance policies placed in month of May-23. We also declare that our revenue from other than insurance intermidition activities less than fifty percent of our total revenue from all the activities.</v>
          </cell>
          <cell r="G991">
            <v>161739.44</v>
          </cell>
          <cell r="H991">
            <v>24672.12</v>
          </cell>
          <cell r="I991">
            <v>137067.32</v>
          </cell>
        </row>
        <row r="992">
          <cell r="E992" t="str">
            <v>GGN/23-24/272</v>
          </cell>
          <cell r="F992" t="str">
            <v>being reward booked on insurance policies placed in month of May-23. We also declare that our revenue from other than insurance intermidition activities less than fifty percent of our total revenue from all the activities.</v>
          </cell>
          <cell r="G992">
            <v>137205</v>
          </cell>
          <cell r="H992">
            <v>20929.580000000002</v>
          </cell>
          <cell r="I992">
            <v>116275.42</v>
          </cell>
        </row>
        <row r="993">
          <cell r="E993" t="str">
            <v>MUM/23-24/381</v>
          </cell>
          <cell r="F993" t="str">
            <v>being brokerage booked on insurance policies placed in Apr-23.</v>
          </cell>
          <cell r="G993">
            <v>587795.65</v>
          </cell>
          <cell r="H993">
            <v>89663.74</v>
          </cell>
          <cell r="I993">
            <v>498131.91</v>
          </cell>
        </row>
        <row r="994">
          <cell r="E994" t="str">
            <v>MUM/23-24/382</v>
          </cell>
          <cell r="F994" t="str">
            <v>being reward booked on insurance policies placed in May-23.</v>
          </cell>
          <cell r="G994">
            <v>17751.740000000002</v>
          </cell>
          <cell r="H994">
            <v>2707.9</v>
          </cell>
          <cell r="I994">
            <v>15043.84</v>
          </cell>
        </row>
        <row r="995">
          <cell r="E995" t="str">
            <v>MUM/23-24/383</v>
          </cell>
          <cell r="F995" t="str">
            <v>being reward booked on insurance policies placed in May-23.</v>
          </cell>
          <cell r="G995">
            <v>1622857.46</v>
          </cell>
          <cell r="H995">
            <v>247554.52</v>
          </cell>
          <cell r="I995">
            <v>1375302.94</v>
          </cell>
        </row>
        <row r="996">
          <cell r="E996" t="str">
            <v>MUM/23-24/384</v>
          </cell>
          <cell r="F996" t="str">
            <v>being reward booked on insurance policies placed in Mar-23. We also declare that our revenue from other than insurance intermidition activities less than fifty percent of their total revenue from all the activities.</v>
          </cell>
          <cell r="G996">
            <v>58.41</v>
          </cell>
          <cell r="H996">
            <v>8.91</v>
          </cell>
          <cell r="I996">
            <v>49.5</v>
          </cell>
        </row>
        <row r="997">
          <cell r="E997" t="str">
            <v>MUM/23-24/385</v>
          </cell>
          <cell r="F997" t="str">
            <v>being reward booked on insurance policies placed in Apr-23. We also declare that our revenue from other than insurance intermidition activities less than fifty percent of their total revenue from all the activities.</v>
          </cell>
          <cell r="G997">
            <v>969.81</v>
          </cell>
          <cell r="H997">
            <v>147.94</v>
          </cell>
          <cell r="I997">
            <v>821.87</v>
          </cell>
        </row>
        <row r="998">
          <cell r="E998" t="str">
            <v>MUM/23-24/386</v>
          </cell>
          <cell r="F998" t="str">
            <v>being reward booked on insurance policies placed for Apr-23. We confirm that our revenue from insurance intermediation activities is more than 50% of our total revenue.</v>
          </cell>
          <cell r="G998">
            <v>16760.38</v>
          </cell>
          <cell r="H998">
            <v>2556.66</v>
          </cell>
          <cell r="I998">
            <v>14203.72</v>
          </cell>
        </row>
        <row r="999">
          <cell r="E999" t="str">
            <v>MUM/23-24/387</v>
          </cell>
          <cell r="F999" t="str">
            <v>being reward booked on insurance policies placed in Apr to Mar 2022-23.</v>
          </cell>
          <cell r="G999">
            <v>1757361.78</v>
          </cell>
          <cell r="H999">
            <v>268072.14</v>
          </cell>
          <cell r="I999">
            <v>1489289.64</v>
          </cell>
        </row>
        <row r="1000">
          <cell r="E1000" t="str">
            <v>MUM/23-24/388</v>
          </cell>
          <cell r="F1000" t="str">
            <v>being reward booked on insurance policies placed in Mar-23. GST is not payable under reverse charge  on these services. The invoice is issued as per Section 31 of the CGST Act.</v>
          </cell>
          <cell r="G1000">
            <v>549780.88</v>
          </cell>
          <cell r="H1000">
            <v>83864.88</v>
          </cell>
          <cell r="I1000">
            <v>465916</v>
          </cell>
        </row>
        <row r="1001">
          <cell r="E1001" t="str">
            <v>MUM/23-24/389</v>
          </cell>
          <cell r="F1001" t="str">
            <v>being brokerage booked on insurnace polices placed in May-23.</v>
          </cell>
          <cell r="G1001">
            <v>196234.48</v>
          </cell>
          <cell r="H1001">
            <v>29934.080000000002</v>
          </cell>
          <cell r="I1001">
            <v>166300.4</v>
          </cell>
        </row>
        <row r="1002">
          <cell r="E1002" t="str">
            <v>PUN/23-24/34</v>
          </cell>
          <cell r="F1002" t="str">
            <v>being brokerage booked on insurance policies placed in Jun-23.</v>
          </cell>
          <cell r="G1002">
            <v>139814.31</v>
          </cell>
          <cell r="H1002">
            <v>21327.599999999999</v>
          </cell>
          <cell r="I1002">
            <v>118486.71</v>
          </cell>
        </row>
        <row r="1003">
          <cell r="E1003" t="str">
            <v>BLR/23-24/122</v>
          </cell>
          <cell r="F1003" t="str">
            <v>being brokerage booked on insurance policies placed in Apr-23.</v>
          </cell>
          <cell r="G1003">
            <v>64658.720000000001</v>
          </cell>
          <cell r="H1003">
            <v>9863.2000000000007</v>
          </cell>
          <cell r="I1003">
            <v>54795.519999999997</v>
          </cell>
        </row>
        <row r="1004">
          <cell r="E1004" t="str">
            <v>CHN/23-24/84</v>
          </cell>
          <cell r="F1004" t="str">
            <v>being brokerage booked on insurance policies placed in Apr-23.</v>
          </cell>
          <cell r="G1004">
            <v>1739418.43</v>
          </cell>
          <cell r="H1004">
            <v>265335.02</v>
          </cell>
          <cell r="I1004">
            <v>1474083.41</v>
          </cell>
        </row>
        <row r="1005">
          <cell r="E1005" t="str">
            <v>GGN/23-24/273</v>
          </cell>
          <cell r="F1005" t="str">
            <v>being brokerage booked on insurance policies placed in Apr-23.</v>
          </cell>
          <cell r="G1005">
            <v>4183512.68</v>
          </cell>
          <cell r="H1005">
            <v>638162.94999999995</v>
          </cell>
          <cell r="I1005">
            <v>3545349.73</v>
          </cell>
        </row>
        <row r="1006">
          <cell r="E1006" t="str">
            <v>HYD/23-24/47</v>
          </cell>
          <cell r="F1006" t="str">
            <v>being brokerage booked on insurance policies placed in Apr-23.</v>
          </cell>
          <cell r="G1006">
            <v>15367.56</v>
          </cell>
          <cell r="H1006">
            <v>2344.1999999999998</v>
          </cell>
          <cell r="I1006">
            <v>13023.36</v>
          </cell>
        </row>
        <row r="1007">
          <cell r="E1007" t="str">
            <v>MUM/23-24/390</v>
          </cell>
          <cell r="F1007" t="str">
            <v>being brokerage booked on insurance policies placed in Apr-23.</v>
          </cell>
          <cell r="G1007">
            <v>153282.71</v>
          </cell>
          <cell r="H1007">
            <v>23382.1</v>
          </cell>
          <cell r="I1007">
            <v>129900.61</v>
          </cell>
        </row>
        <row r="1008">
          <cell r="E1008" t="str">
            <v>MUM/23-24/391</v>
          </cell>
          <cell r="F1008" t="str">
            <v>being invoice booked for ( USD 3188.09 @ 83) against various installments</v>
          </cell>
          <cell r="G1008">
            <v>264611.46000000002</v>
          </cell>
          <cell r="H1008">
            <v>40364.46</v>
          </cell>
          <cell r="I1008">
            <v>224247</v>
          </cell>
        </row>
        <row r="1009">
          <cell r="E1009" t="str">
            <v>BLR/23-24/123</v>
          </cell>
          <cell r="F1009" t="str">
            <v>being brokerage booked on insurance policies placed in May-23.</v>
          </cell>
          <cell r="G1009">
            <v>52811.47</v>
          </cell>
          <cell r="H1009">
            <v>8055.98</v>
          </cell>
          <cell r="I1009">
            <v>44755.49</v>
          </cell>
        </row>
        <row r="1010">
          <cell r="E1010" t="str">
            <v>BLR/23-24/124</v>
          </cell>
          <cell r="F1010" t="str">
            <v>being brokerage booked on insurance policies placed in May-23.</v>
          </cell>
          <cell r="G1010">
            <v>205840.55</v>
          </cell>
          <cell r="H1010">
            <v>31399.4</v>
          </cell>
          <cell r="I1010">
            <v>174441.15</v>
          </cell>
        </row>
        <row r="1011">
          <cell r="E1011" t="str">
            <v>CHN/23-24/85</v>
          </cell>
          <cell r="F1011" t="str">
            <v>being brokerage booked on insurance policies placed in May-23.</v>
          </cell>
          <cell r="G1011">
            <v>55.83</v>
          </cell>
          <cell r="H1011">
            <v>8.52</v>
          </cell>
          <cell r="I1011">
            <v>47.31</v>
          </cell>
        </row>
        <row r="1012">
          <cell r="E1012" t="str">
            <v>GGN/23-24/274</v>
          </cell>
          <cell r="F1012" t="str">
            <v>being brokerage booked on insurance policies placed in May-23.</v>
          </cell>
          <cell r="G1012">
            <v>100258.41</v>
          </cell>
          <cell r="H1012">
            <v>15293.66</v>
          </cell>
          <cell r="I1012">
            <v>84964.75</v>
          </cell>
        </row>
        <row r="1013">
          <cell r="E1013" t="str">
            <v>GGN/23-24/275</v>
          </cell>
          <cell r="F1013" t="str">
            <v>being brokerage booked on insurance policies placed in May-23.</v>
          </cell>
          <cell r="G1013">
            <v>72207.740000000005</v>
          </cell>
          <cell r="H1013">
            <v>11014.74</v>
          </cell>
          <cell r="I1013">
            <v>61193</v>
          </cell>
        </row>
        <row r="1014">
          <cell r="E1014" t="str">
            <v>GGN/23-24/276</v>
          </cell>
          <cell r="F1014" t="str">
            <v>being brokerage booked on insurance policies placed in May-23.</v>
          </cell>
          <cell r="G1014">
            <v>29527.52</v>
          </cell>
          <cell r="H1014">
            <v>4504.2</v>
          </cell>
          <cell r="I1014">
            <v>25023.32</v>
          </cell>
        </row>
        <row r="1015">
          <cell r="E1015" t="str">
            <v>GGN/23-24/277</v>
          </cell>
          <cell r="F1015" t="str">
            <v>being brokerage booked on insurance policies placed in May-23.</v>
          </cell>
          <cell r="G1015">
            <v>1721393.12</v>
          </cell>
          <cell r="H1015">
            <v>262585.39</v>
          </cell>
          <cell r="I1015">
            <v>1458807.73</v>
          </cell>
        </row>
        <row r="1016">
          <cell r="E1016" t="str">
            <v>GGN/23-24/278</v>
          </cell>
          <cell r="F1016" t="str">
            <v>being brokerage booked on insurance policies placed in May-23.</v>
          </cell>
          <cell r="G1016">
            <v>90100.35</v>
          </cell>
          <cell r="H1016">
            <v>13744.12</v>
          </cell>
          <cell r="I1016">
            <v>76356.23</v>
          </cell>
        </row>
        <row r="1017">
          <cell r="E1017" t="str">
            <v>GGN/23-24/279</v>
          </cell>
          <cell r="F1017" t="str">
            <v>being brokerage booked on insurance policies placed in May-23.</v>
          </cell>
          <cell r="G1017">
            <v>1623543.14</v>
          </cell>
          <cell r="H1017">
            <v>247659.12</v>
          </cell>
          <cell r="I1017">
            <v>1375884.02</v>
          </cell>
        </row>
        <row r="1018">
          <cell r="E1018" t="str">
            <v>HYD/23-24/48</v>
          </cell>
          <cell r="F1018" t="str">
            <v>being brokerage booked on insurance policies placed in May-23.</v>
          </cell>
          <cell r="G1018">
            <v>783296.81</v>
          </cell>
          <cell r="H1018">
            <v>119485.95</v>
          </cell>
          <cell r="I1018">
            <v>663810.86</v>
          </cell>
        </row>
        <row r="1019">
          <cell r="E1019" t="str">
            <v>HYD/23-24/49</v>
          </cell>
          <cell r="F1019" t="str">
            <v>being brokerage booked on insurance policies placed in May-23.</v>
          </cell>
          <cell r="G1019">
            <v>26219.599999999999</v>
          </cell>
          <cell r="H1019">
            <v>3999.6</v>
          </cell>
          <cell r="I1019">
            <v>22220</v>
          </cell>
        </row>
        <row r="1020">
          <cell r="E1020" t="str">
            <v>HYD/23-24/50</v>
          </cell>
          <cell r="F1020" t="str">
            <v>being brokerage booked on insurance policies placed in May-23.</v>
          </cell>
          <cell r="G1020">
            <v>175381.33</v>
          </cell>
          <cell r="H1020">
            <v>26753.08</v>
          </cell>
          <cell r="I1020">
            <v>148628.25</v>
          </cell>
        </row>
        <row r="1021">
          <cell r="E1021" t="str">
            <v>HYD/23-24/51</v>
          </cell>
          <cell r="F1021" t="str">
            <v>being brokerage booked on insurance policies placed in May-23.</v>
          </cell>
          <cell r="G1021">
            <v>27696.959999999999</v>
          </cell>
          <cell r="H1021">
            <v>4224.96</v>
          </cell>
          <cell r="I1021">
            <v>23472</v>
          </cell>
        </row>
        <row r="1022">
          <cell r="E1022" t="str">
            <v>MUM/23-24/392</v>
          </cell>
          <cell r="F1022" t="str">
            <v>being reward booked on insurance policies placed in May-23. We also declare that our revenue from other than insurance intermidition activities less than fifty percent of our total revenue from all the activities.</v>
          </cell>
          <cell r="G1022">
            <v>5971.98</v>
          </cell>
          <cell r="H1022">
            <v>910.98</v>
          </cell>
          <cell r="I1022">
            <v>5061</v>
          </cell>
        </row>
        <row r="1023">
          <cell r="E1023" t="str">
            <v>MUM/23-24/393</v>
          </cell>
          <cell r="F1023" t="str">
            <v>being reward booked on insurance policies placed in Apr-23. We also declare that our revenue from other than insurance intermidition activities less than fifty percent of our total revenue from all the activities.</v>
          </cell>
          <cell r="G1023">
            <v>87615</v>
          </cell>
          <cell r="H1023">
            <v>13365</v>
          </cell>
          <cell r="I1023">
            <v>74250</v>
          </cell>
        </row>
        <row r="1024">
          <cell r="E1024" t="str">
            <v>MUM/23-24/394</v>
          </cell>
          <cell r="F1024" t="str">
            <v>being reward booked on insurance policies placed in May-23. We also declare that our revenue from other than insurance intermidition activities less than fifty percent of our total revenue from all the activities.</v>
          </cell>
          <cell r="G1024">
            <v>3687.5</v>
          </cell>
          <cell r="H1024">
            <v>562.5</v>
          </cell>
          <cell r="I1024">
            <v>3125</v>
          </cell>
        </row>
        <row r="1025">
          <cell r="E1025" t="str">
            <v>MUM/23-24/395</v>
          </cell>
          <cell r="F1025" t="str">
            <v>being brokerage booked on insurance policies placed in May-23.</v>
          </cell>
          <cell r="G1025">
            <v>59970.66</v>
          </cell>
          <cell r="H1025">
            <v>9148.06</v>
          </cell>
          <cell r="I1025">
            <v>50822.6</v>
          </cell>
        </row>
        <row r="1026">
          <cell r="E1026" t="str">
            <v>MUM/23-24/396</v>
          </cell>
          <cell r="F1026" t="str">
            <v>being brokerage booked on insurance policies placed in May-23.</v>
          </cell>
          <cell r="G1026">
            <v>11884.87</v>
          </cell>
          <cell r="H1026">
            <v>1812.94</v>
          </cell>
          <cell r="I1026">
            <v>10071.93</v>
          </cell>
        </row>
        <row r="1027">
          <cell r="E1027" t="str">
            <v>MUM/23-24/397</v>
          </cell>
          <cell r="F1027" t="str">
            <v>being brokerage booked on insurance policies placed in May-23.</v>
          </cell>
          <cell r="G1027">
            <v>2007338.91</v>
          </cell>
          <cell r="H1027">
            <v>306204.24</v>
          </cell>
          <cell r="I1027">
            <v>1701134.67</v>
          </cell>
        </row>
        <row r="1028">
          <cell r="E1028" t="str">
            <v>MUM/23-24/398</v>
          </cell>
          <cell r="F1028" t="str">
            <v>being brokerage booked on insurance policies placed in May-23.</v>
          </cell>
          <cell r="G1028">
            <v>906129.5</v>
          </cell>
          <cell r="H1028">
            <v>138223.14000000001</v>
          </cell>
          <cell r="I1028">
            <v>767906.36</v>
          </cell>
        </row>
        <row r="1029">
          <cell r="E1029" t="str">
            <v>BLR/23-24/125</v>
          </cell>
          <cell r="F1029" t="str">
            <v>being brokerage booked on insurance policies placed in May-23.</v>
          </cell>
          <cell r="G1029">
            <v>3536815.14</v>
          </cell>
          <cell r="H1029">
            <v>539514.18000000005</v>
          </cell>
          <cell r="I1029">
            <v>2997300.96</v>
          </cell>
        </row>
        <row r="1030">
          <cell r="E1030" t="str">
            <v>BLR/23-24/126</v>
          </cell>
          <cell r="F1030" t="str">
            <v>being brokerage booked on insurance policies placed in May-23.</v>
          </cell>
          <cell r="G1030">
            <v>841160.53</v>
          </cell>
          <cell r="H1030">
            <v>128312.62</v>
          </cell>
          <cell r="I1030">
            <v>712847.91</v>
          </cell>
        </row>
        <row r="1031">
          <cell r="E1031" t="str">
            <v>CHN/23-24/86</v>
          </cell>
          <cell r="F1031" t="str">
            <v>being brokerage booked on insurance policies placed in May-23.</v>
          </cell>
          <cell r="G1031">
            <v>3383260.65</v>
          </cell>
          <cell r="H1031">
            <v>516090.6</v>
          </cell>
          <cell r="I1031">
            <v>2867170.05</v>
          </cell>
        </row>
        <row r="1032">
          <cell r="E1032" t="str">
            <v>CHN/23-24/87</v>
          </cell>
          <cell r="F1032" t="str">
            <v>being brokerage booked on insurance policies placed in May-23.</v>
          </cell>
          <cell r="G1032">
            <v>8801.08</v>
          </cell>
          <cell r="H1032">
            <v>1342.54</v>
          </cell>
          <cell r="I1032">
            <v>7458.54</v>
          </cell>
        </row>
        <row r="1033">
          <cell r="E1033" t="str">
            <v>CHN/23-24/88</v>
          </cell>
          <cell r="F1033" t="str">
            <v>being brokerage booked on insurance policies placed in Apr-23. GST is not payable under reverse charge  on these services. The invoice is issued as per Section 31 of the CGST Act.</v>
          </cell>
          <cell r="G1033">
            <v>123326.52</v>
          </cell>
          <cell r="H1033">
            <v>18812.52</v>
          </cell>
          <cell r="I1033">
            <v>104514</v>
          </cell>
        </row>
        <row r="1034">
          <cell r="E1034" t="str">
            <v>CHN/23-24/89</v>
          </cell>
          <cell r="F1034" t="str">
            <v>being brokerage booked on insurance policies placed in May-23.</v>
          </cell>
          <cell r="G1034">
            <v>835.44</v>
          </cell>
          <cell r="H1034">
            <v>127.44</v>
          </cell>
          <cell r="I1034">
            <v>708</v>
          </cell>
        </row>
        <row r="1035">
          <cell r="E1035" t="str">
            <v>GGN/23-24/289</v>
          </cell>
          <cell r="F1035" t="str">
            <v>being brokerage booked on insurance poliices placed in May-23.</v>
          </cell>
          <cell r="G1035">
            <v>103384.71</v>
          </cell>
          <cell r="H1035">
            <v>15770.55</v>
          </cell>
          <cell r="I1035">
            <v>87614.16</v>
          </cell>
        </row>
        <row r="1036">
          <cell r="E1036" t="str">
            <v>GGN/23-24/280</v>
          </cell>
          <cell r="F1036" t="str">
            <v>being brokerage booked on insurance policies placed in May-23.</v>
          </cell>
          <cell r="G1036">
            <v>483210.26</v>
          </cell>
          <cell r="H1036">
            <v>73710.039999999994</v>
          </cell>
          <cell r="I1036">
            <v>409500.22</v>
          </cell>
        </row>
        <row r="1037">
          <cell r="E1037" t="str">
            <v>GGN/23-24/281</v>
          </cell>
          <cell r="F1037" t="str">
            <v>being brokerage booked on insurance policies placed in May-23.</v>
          </cell>
          <cell r="G1037">
            <v>3429721.64</v>
          </cell>
          <cell r="H1037">
            <v>523177.88</v>
          </cell>
          <cell r="I1037">
            <v>2906543.76</v>
          </cell>
        </row>
        <row r="1038">
          <cell r="E1038" t="str">
            <v>GGN/23-24/282</v>
          </cell>
          <cell r="F1038" t="str">
            <v>being brokerage booked on insurance policies placed in May-23.</v>
          </cell>
          <cell r="G1038">
            <v>4356.8100000000004</v>
          </cell>
          <cell r="H1038">
            <v>664.6</v>
          </cell>
          <cell r="I1038">
            <v>3692.21</v>
          </cell>
        </row>
        <row r="1039">
          <cell r="E1039" t="str">
            <v>GGN/23-24/283</v>
          </cell>
          <cell r="F1039" t="str">
            <v>being brokerage booked on insurance policies placed in May-23.</v>
          </cell>
          <cell r="G1039">
            <v>2139.92</v>
          </cell>
          <cell r="H1039">
            <v>326.43</v>
          </cell>
          <cell r="I1039">
            <v>1813.49</v>
          </cell>
        </row>
        <row r="1040">
          <cell r="E1040" t="str">
            <v>GGN/23-24/284</v>
          </cell>
          <cell r="F1040" t="str">
            <v>being brokerage booked on insurance policies placed in May-23.</v>
          </cell>
          <cell r="G1040">
            <v>64809.79</v>
          </cell>
          <cell r="H1040">
            <v>9886.24</v>
          </cell>
          <cell r="I1040">
            <v>54923.55</v>
          </cell>
        </row>
        <row r="1041">
          <cell r="E1041" t="str">
            <v>GGN/23-24/285</v>
          </cell>
          <cell r="F1041" t="str">
            <v>being brokerage booked on insurance policies placed in May-23.</v>
          </cell>
          <cell r="G1041">
            <v>26090.2</v>
          </cell>
          <cell r="H1041">
            <v>3979.86</v>
          </cell>
          <cell r="I1041">
            <v>22110.34</v>
          </cell>
        </row>
        <row r="1042">
          <cell r="E1042" t="str">
            <v>GGN/23-24/286</v>
          </cell>
          <cell r="F1042" t="str">
            <v>being brokerage booked on insurance policies placed in May-23.</v>
          </cell>
          <cell r="G1042">
            <v>803797.12</v>
          </cell>
          <cell r="H1042">
            <v>122613.12</v>
          </cell>
          <cell r="I1042">
            <v>681184</v>
          </cell>
        </row>
        <row r="1043">
          <cell r="E1043" t="str">
            <v>GGN/23-24/287</v>
          </cell>
          <cell r="F1043" t="str">
            <v>being reward booked on insurance policies placed. ( Whether the Tax is payable on reverse charge basis: NO, Prudent State Code: 06 - Care Health State Code: 06, Place of Supply  - Gurgaon Haryana.)</v>
          </cell>
          <cell r="G1043">
            <v>7150680.7800000003</v>
          </cell>
          <cell r="H1043">
            <v>1090781.82</v>
          </cell>
          <cell r="I1043">
            <v>6059898.96</v>
          </cell>
        </row>
        <row r="1044">
          <cell r="E1044" t="str">
            <v>GGN/23-24/288</v>
          </cell>
          <cell r="F1044" t="str">
            <v>being brokerage booked on insurance poliices placed in May-23.</v>
          </cell>
          <cell r="G1044">
            <v>686746.14</v>
          </cell>
          <cell r="H1044">
            <v>104757.88</v>
          </cell>
          <cell r="I1044">
            <v>581988.26</v>
          </cell>
        </row>
        <row r="1045">
          <cell r="E1045" t="str">
            <v>GGN/23-24/290</v>
          </cell>
          <cell r="F1045" t="str">
            <v>being brokerage booked on insurance policies placed in May-23.</v>
          </cell>
          <cell r="G1045">
            <v>10689.62</v>
          </cell>
          <cell r="H1045">
            <v>1630.62</v>
          </cell>
          <cell r="I1045">
            <v>9059</v>
          </cell>
        </row>
        <row r="1046">
          <cell r="E1046" t="str">
            <v>GGN/23-24/291</v>
          </cell>
          <cell r="F1046" t="str">
            <v>being brokerage booked on insurance policies placed in May-23.</v>
          </cell>
          <cell r="G1046">
            <v>2337.58</v>
          </cell>
          <cell r="H1046">
            <v>356.58</v>
          </cell>
          <cell r="I1046">
            <v>1981</v>
          </cell>
        </row>
        <row r="1047">
          <cell r="E1047" t="str">
            <v>HYD/23-24/52</v>
          </cell>
          <cell r="F1047" t="str">
            <v>being brokerage booked on insurance policies placed in May-23.</v>
          </cell>
          <cell r="G1047">
            <v>972394.51</v>
          </cell>
          <cell r="H1047">
            <v>148331.35999999999</v>
          </cell>
          <cell r="I1047">
            <v>824063.15</v>
          </cell>
        </row>
        <row r="1048">
          <cell r="E1048" t="str">
            <v>LUD/23-24/35</v>
          </cell>
          <cell r="F1048" t="str">
            <v>being brokerage booked on insuarance policies placed in May-23.</v>
          </cell>
          <cell r="G1048">
            <v>51596.9</v>
          </cell>
          <cell r="H1048">
            <v>7870.72</v>
          </cell>
          <cell r="I1048">
            <v>43726.18</v>
          </cell>
        </row>
        <row r="1049">
          <cell r="E1049" t="str">
            <v>LUD/23-24/36</v>
          </cell>
          <cell r="F1049" t="str">
            <v>being brokerage booked on insurance policies placed in May-23.</v>
          </cell>
          <cell r="G1049">
            <v>20883.64</v>
          </cell>
          <cell r="H1049">
            <v>3185.64</v>
          </cell>
          <cell r="I1049">
            <v>17698</v>
          </cell>
        </row>
        <row r="1050">
          <cell r="E1050" t="str">
            <v>MUM/23-24/399</v>
          </cell>
          <cell r="F1050" t="str">
            <v>being reward booked on insurance policies placed in May-23.</v>
          </cell>
          <cell r="G1050">
            <v>209199.8</v>
          </cell>
          <cell r="H1050">
            <v>31911.84</v>
          </cell>
          <cell r="I1050">
            <v>177287.96</v>
          </cell>
        </row>
        <row r="1051">
          <cell r="E1051" t="str">
            <v>MUM/23-24/400</v>
          </cell>
          <cell r="F1051" t="str">
            <v>being brokerage booked on insurance policies placed in May-23.</v>
          </cell>
          <cell r="G1051">
            <v>1353783.54</v>
          </cell>
          <cell r="H1051">
            <v>206509.36</v>
          </cell>
          <cell r="I1051">
            <v>1147274.18</v>
          </cell>
        </row>
        <row r="1052">
          <cell r="E1052" t="str">
            <v>MUM/23-24/401</v>
          </cell>
          <cell r="F1052" t="str">
            <v>being brokerage booked on insurance policies placed in May-23.</v>
          </cell>
          <cell r="G1052">
            <v>3891</v>
          </cell>
          <cell r="H1052">
            <v>593.54</v>
          </cell>
          <cell r="I1052">
            <v>3297.46</v>
          </cell>
        </row>
        <row r="1053">
          <cell r="E1053" t="str">
            <v>MUM/23-24/402</v>
          </cell>
          <cell r="F1053" t="str">
            <v>being reward booked on insurance policies placed in Mar-23.</v>
          </cell>
          <cell r="G1053">
            <v>690280.16</v>
          </cell>
          <cell r="H1053">
            <v>105296.98</v>
          </cell>
          <cell r="I1053">
            <v>584983.18000000005</v>
          </cell>
        </row>
        <row r="1054">
          <cell r="E1054" t="str">
            <v>MUM/23-24/403</v>
          </cell>
          <cell r="F1054" t="str">
            <v>being brokerage booked on insurance policies placed in May-23.</v>
          </cell>
          <cell r="G1054">
            <v>6282.81</v>
          </cell>
          <cell r="H1054">
            <v>958.4</v>
          </cell>
          <cell r="I1054">
            <v>5324.41</v>
          </cell>
        </row>
        <row r="1055">
          <cell r="E1055" t="str">
            <v>MUM/23-24/404</v>
          </cell>
          <cell r="F1055" t="str">
            <v>being brokerage booked on insurance policies placed in May-23.</v>
          </cell>
          <cell r="G1055">
            <v>80698.149999999994</v>
          </cell>
          <cell r="H1055">
            <v>12309.88</v>
          </cell>
          <cell r="I1055">
            <v>68388.27</v>
          </cell>
        </row>
        <row r="1056">
          <cell r="E1056" t="str">
            <v>MUM/23-24/405</v>
          </cell>
          <cell r="F1056" t="str">
            <v>being brokerage booked on insurance policies placed in Jun-23.</v>
          </cell>
          <cell r="G1056">
            <v>1938640.77</v>
          </cell>
          <cell r="H1056">
            <v>295724.86</v>
          </cell>
          <cell r="I1056">
            <v>1642915.91</v>
          </cell>
        </row>
        <row r="1057">
          <cell r="E1057" t="str">
            <v>MUM/23-24/406</v>
          </cell>
          <cell r="F1057" t="str">
            <v>being reward booked on insurance policies placed in Mar-23. GST is not payable under reverse charge  on these services. The invoice is issued as per Section 31 of the CGST Act.</v>
          </cell>
          <cell r="G1057">
            <v>1216930.46</v>
          </cell>
          <cell r="H1057">
            <v>185633.46</v>
          </cell>
          <cell r="I1057">
            <v>1031297</v>
          </cell>
        </row>
        <row r="1058">
          <cell r="E1058" t="str">
            <v>MUM/23-24/407</v>
          </cell>
          <cell r="F1058" t="str">
            <v>being brokerage booked on insurance policies placed in May-23.</v>
          </cell>
          <cell r="G1058">
            <v>80274.990000000005</v>
          </cell>
          <cell r="H1058">
            <v>12245.34</v>
          </cell>
          <cell r="I1058">
            <v>68029.649999999994</v>
          </cell>
        </row>
        <row r="1059">
          <cell r="E1059" t="str">
            <v>MUM/23-24/408</v>
          </cell>
          <cell r="F1059" t="str">
            <v>being brokerage booked on insurance policies placed in May-23.</v>
          </cell>
          <cell r="G1059">
            <v>47086.720000000001</v>
          </cell>
          <cell r="H1059">
            <v>7182.72</v>
          </cell>
          <cell r="I1059">
            <v>39904</v>
          </cell>
        </row>
        <row r="1060">
          <cell r="E1060" t="str">
            <v>PUN/23-24/35</v>
          </cell>
          <cell r="F1060" t="str">
            <v>being brokerage booked on insurance policies placed in May-23.</v>
          </cell>
          <cell r="G1060">
            <v>18408</v>
          </cell>
          <cell r="H1060">
            <v>2808</v>
          </cell>
          <cell r="I1060">
            <v>15600</v>
          </cell>
        </row>
        <row r="1061">
          <cell r="E1061" t="str">
            <v>MUM/23-24/409</v>
          </cell>
          <cell r="F1061" t="str">
            <v>being reward booked on insurance policies placed in Mar-23. We also declare that our revenue from other than insurance intermidition activities less than fifty percent of our total revenue from all the activities.</v>
          </cell>
          <cell r="G1061">
            <v>7605.1</v>
          </cell>
          <cell r="H1061">
            <v>1160.0999999999999</v>
          </cell>
          <cell r="I1061">
            <v>6445</v>
          </cell>
        </row>
        <row r="1062">
          <cell r="E1062" t="str">
            <v>MUM/23-24/410</v>
          </cell>
          <cell r="F1062" t="str">
            <v>being reward booked on insurance policies placed in Apr-23. We also declare that our revenue from other than insurance intermidition activities less than fifty percent of our total revenue from all the activities.</v>
          </cell>
          <cell r="G1062">
            <v>1844.34</v>
          </cell>
          <cell r="H1062">
            <v>281.33999999999997</v>
          </cell>
          <cell r="I1062">
            <v>1563</v>
          </cell>
        </row>
        <row r="1063">
          <cell r="E1063" t="str">
            <v>BLR/23-24/127</v>
          </cell>
          <cell r="F1063" t="str">
            <v>being brokerage booked on insurance policies placed in May-23.</v>
          </cell>
          <cell r="G1063">
            <v>18868.21</v>
          </cell>
          <cell r="H1063">
            <v>2878.2</v>
          </cell>
          <cell r="I1063">
            <v>15990.01</v>
          </cell>
        </row>
        <row r="1064">
          <cell r="E1064" t="str">
            <v>BLR/23-24/128</v>
          </cell>
          <cell r="F1064" t="str">
            <v>being brokerage booked on insurance policies placed in May-23.</v>
          </cell>
          <cell r="G1064">
            <v>12322591.08</v>
          </cell>
          <cell r="H1064">
            <v>1879717.28</v>
          </cell>
          <cell r="I1064">
            <v>10442873.800000001</v>
          </cell>
        </row>
        <row r="1065">
          <cell r="E1065" t="str">
            <v>CHN/23-24/90</v>
          </cell>
          <cell r="F1065" t="str">
            <v>being brokerage booked on insurance policies placed in May-23.</v>
          </cell>
          <cell r="G1065">
            <v>2238.84</v>
          </cell>
          <cell r="H1065">
            <v>341.52</v>
          </cell>
          <cell r="I1065">
            <v>1897.32</v>
          </cell>
        </row>
        <row r="1066">
          <cell r="E1066" t="str">
            <v>GGN/23-24/292</v>
          </cell>
          <cell r="F1066" t="str">
            <v>being brokerage booked on insurance policies placed in May-23.</v>
          </cell>
          <cell r="G1066">
            <v>1028807.99</v>
          </cell>
          <cell r="H1066">
            <v>156936.81</v>
          </cell>
          <cell r="I1066">
            <v>871871.18</v>
          </cell>
        </row>
        <row r="1067">
          <cell r="E1067" t="str">
            <v>GGN/23-24/293</v>
          </cell>
          <cell r="F1067" t="str">
            <v>being brokerage booked on insurance policies placed in May-23.</v>
          </cell>
          <cell r="G1067">
            <v>1796.93</v>
          </cell>
          <cell r="H1067">
            <v>274.11</v>
          </cell>
          <cell r="I1067">
            <v>1522.82</v>
          </cell>
        </row>
        <row r="1068">
          <cell r="E1068" t="str">
            <v>GGN/23-24/294</v>
          </cell>
          <cell r="F1068" t="str">
            <v>being brokerage booked on insurance policies placed in May-23.</v>
          </cell>
          <cell r="G1068">
            <v>1006498.62</v>
          </cell>
          <cell r="H1068">
            <v>153533.69</v>
          </cell>
          <cell r="I1068">
            <v>852964.93</v>
          </cell>
        </row>
        <row r="1069">
          <cell r="E1069" t="str">
            <v>HYD/23-24/53</v>
          </cell>
          <cell r="F1069" t="str">
            <v>being brokerage on insurance policies placed in month of May-23.</v>
          </cell>
          <cell r="G1069">
            <v>199.42</v>
          </cell>
          <cell r="H1069">
            <v>30.42</v>
          </cell>
          <cell r="I1069">
            <v>169</v>
          </cell>
        </row>
        <row r="1070">
          <cell r="E1070" t="str">
            <v>HYD/23-24/54</v>
          </cell>
          <cell r="F1070" t="str">
            <v>being brokerage booked on insurance poliices placed in May-23.</v>
          </cell>
          <cell r="G1070">
            <v>13272836.25</v>
          </cell>
          <cell r="H1070">
            <v>2024669.94</v>
          </cell>
          <cell r="I1070">
            <v>11248166.310000001</v>
          </cell>
        </row>
        <row r="1071">
          <cell r="E1071" t="str">
            <v>MUM/23-24/411</v>
          </cell>
          <cell r="F1071" t="str">
            <v>being brokerage booked on insurance policies placed in May-23.</v>
          </cell>
          <cell r="G1071">
            <v>628441.38</v>
          </cell>
          <cell r="H1071">
            <v>95863.94</v>
          </cell>
          <cell r="I1071">
            <v>532577.43999999994</v>
          </cell>
        </row>
        <row r="1072">
          <cell r="E1072" t="str">
            <v>MUM/23-24/412</v>
          </cell>
          <cell r="F1072" t="str">
            <v>being brokerage booked on insurance policies placed in May-23.</v>
          </cell>
          <cell r="G1072">
            <v>4330.8999999999996</v>
          </cell>
          <cell r="H1072">
            <v>660.65</v>
          </cell>
          <cell r="I1072">
            <v>3670.25</v>
          </cell>
        </row>
        <row r="1073">
          <cell r="E1073" t="str">
            <v>MUM/23-24/413</v>
          </cell>
          <cell r="F1073" t="str">
            <v>being brokerage booked on insurance policies placed in Apr-23.</v>
          </cell>
          <cell r="G1073">
            <v>175.77</v>
          </cell>
          <cell r="H1073">
            <v>26.82</v>
          </cell>
          <cell r="I1073">
            <v>148.94999999999999</v>
          </cell>
        </row>
        <row r="1074">
          <cell r="E1074" t="str">
            <v>MUM/23-24/414</v>
          </cell>
          <cell r="F1074" t="str">
            <v>being brokerage booked on insurance policies placed in Apr-23.</v>
          </cell>
          <cell r="G1074">
            <v>200094.55</v>
          </cell>
          <cell r="H1074">
            <v>30522.9</v>
          </cell>
          <cell r="I1074">
            <v>169571.65</v>
          </cell>
        </row>
        <row r="1075">
          <cell r="E1075" t="str">
            <v>MUM/23-24/415</v>
          </cell>
          <cell r="F1075" t="str">
            <v>being brokerage booked on insurance policies placed in Apr-23.</v>
          </cell>
          <cell r="G1075">
            <v>1740881.37</v>
          </cell>
          <cell r="H1075">
            <v>265558.18</v>
          </cell>
          <cell r="I1075">
            <v>1475323.19</v>
          </cell>
        </row>
        <row r="1076">
          <cell r="E1076" t="str">
            <v>MUM/23-24/416</v>
          </cell>
          <cell r="F1076" t="str">
            <v>being brokerage booked on insurance policies placed in May-23.</v>
          </cell>
          <cell r="G1076">
            <v>3571240.54</v>
          </cell>
          <cell r="H1076">
            <v>544765.5</v>
          </cell>
          <cell r="I1076">
            <v>3026475.04</v>
          </cell>
        </row>
        <row r="1077">
          <cell r="E1077" t="str">
            <v>MUM/23-24/417</v>
          </cell>
          <cell r="F1077" t="str">
            <v>being brokerage booked on insurance policies placed in Jun-23.</v>
          </cell>
          <cell r="G1077">
            <v>1940618.56</v>
          </cell>
          <cell r="H1077">
            <v>296026.56</v>
          </cell>
          <cell r="I1077">
            <v>1644592</v>
          </cell>
        </row>
        <row r="1078">
          <cell r="E1078" t="str">
            <v>MUM/23-24/418</v>
          </cell>
          <cell r="F1078" t="str">
            <v>being brokerage booked on insurance policies placed in May-23.</v>
          </cell>
          <cell r="G1078">
            <v>3364164.03</v>
          </cell>
          <cell r="H1078">
            <v>513177.56</v>
          </cell>
          <cell r="I1078">
            <v>2850986.47</v>
          </cell>
        </row>
        <row r="1079">
          <cell r="E1079" t="str">
            <v>CHN/23-24/91</v>
          </cell>
          <cell r="F1079" t="str">
            <v>being reward booked on insurance policies placed in Apr to Mar 2022-23.</v>
          </cell>
          <cell r="G1079">
            <v>14231.98</v>
          </cell>
          <cell r="H1079">
            <v>2170.98</v>
          </cell>
          <cell r="I1079">
            <v>12061</v>
          </cell>
        </row>
        <row r="1080">
          <cell r="E1080" t="str">
            <v>GGN/23-24/295</v>
          </cell>
          <cell r="F1080" t="str">
            <v>being brokerage booked on insurance policies placed in May-23.</v>
          </cell>
          <cell r="G1080">
            <v>8853989.3300000001</v>
          </cell>
          <cell r="H1080">
            <v>1350608.54</v>
          </cell>
          <cell r="I1080">
            <v>7503380.79</v>
          </cell>
        </row>
        <row r="1081">
          <cell r="E1081" t="str">
            <v>GGN/23-24/296</v>
          </cell>
          <cell r="F1081" t="str">
            <v>being reward booked on insurance policies placed in May-23.</v>
          </cell>
          <cell r="G1081">
            <v>467111.64</v>
          </cell>
          <cell r="H1081">
            <v>71254.320000000007</v>
          </cell>
          <cell r="I1081">
            <v>395857.32</v>
          </cell>
        </row>
        <row r="1082">
          <cell r="E1082" t="str">
            <v>GGN/23-24/297</v>
          </cell>
          <cell r="F1082" t="str">
            <v>being brokerage booked on insurance policies placed in May-23.</v>
          </cell>
          <cell r="G1082">
            <v>7331</v>
          </cell>
          <cell r="H1082">
            <v>1118.32</v>
          </cell>
          <cell r="I1082">
            <v>6212.68</v>
          </cell>
        </row>
        <row r="1083">
          <cell r="E1083" t="str">
            <v>GGN/23-24/298</v>
          </cell>
          <cell r="F1083" t="str">
            <v>being brokerage booked on insurance policies placed in May-23.</v>
          </cell>
          <cell r="G1083">
            <v>107</v>
          </cell>
          <cell r="H1083">
            <v>16.28</v>
          </cell>
          <cell r="I1083">
            <v>90.72</v>
          </cell>
        </row>
        <row r="1084">
          <cell r="E1084" t="str">
            <v>HYD/23-24/55</v>
          </cell>
          <cell r="F1084" t="str">
            <v>being brokerage booked on insurance poliices placed in May-23.</v>
          </cell>
          <cell r="G1084">
            <v>394</v>
          </cell>
          <cell r="H1084">
            <v>60.04</v>
          </cell>
          <cell r="I1084">
            <v>333.96</v>
          </cell>
        </row>
        <row r="1085">
          <cell r="E1085" t="str">
            <v>MUM/23-24/419</v>
          </cell>
          <cell r="F1085" t="str">
            <v>being reward booked on insurance policies placed in Mar-23. We also declare that our revenue from other than insurance intermidition activities less than fifty percent of our total revenue from all the activities.</v>
          </cell>
          <cell r="G1085">
            <v>540566.26</v>
          </cell>
          <cell r="H1085">
            <v>82459.259999999995</v>
          </cell>
          <cell r="I1085">
            <v>458107</v>
          </cell>
        </row>
        <row r="1086">
          <cell r="E1086" t="str">
            <v>MUM/23-24/420</v>
          </cell>
          <cell r="F1086" t="str">
            <v>being brokerage booked on insurance policies placed in May-23.</v>
          </cell>
          <cell r="G1086">
            <v>66676</v>
          </cell>
          <cell r="H1086">
            <v>10170.959999999999</v>
          </cell>
          <cell r="I1086">
            <v>56505.04</v>
          </cell>
        </row>
        <row r="1087">
          <cell r="E1087" t="str">
            <v>PUN/23-24/36</v>
          </cell>
          <cell r="F1087" t="str">
            <v>being reward booked on insurance policies placed in Apr-23. GST is not payable under reverse charge  on these services. The invoice is issued as per Section 31 of the CGST Act.</v>
          </cell>
          <cell r="G1087">
            <v>31772.25</v>
          </cell>
          <cell r="H1087">
            <v>4846.62</v>
          </cell>
          <cell r="I1087">
            <v>26925.63</v>
          </cell>
        </row>
        <row r="1088">
          <cell r="E1088" t="str">
            <v>MUM/23-24/421</v>
          </cell>
          <cell r="F1088" t="str">
            <v>being RI brokerage booked Insured: JCB India Ltd Endt;  Cedant : The Oriental Insurance Co Ltd; Policy period : 01.06.2022 to 31.05.2023</v>
          </cell>
          <cell r="G1088">
            <v>460.2</v>
          </cell>
          <cell r="H1088">
            <v>70.2</v>
          </cell>
          <cell r="I1088">
            <v>390</v>
          </cell>
        </row>
        <row r="1089">
          <cell r="E1089" t="str">
            <v>MUM/23-24/422</v>
          </cell>
          <cell r="F1089" t="str">
            <v>being RI brokerage booked Insured: JCB India Ltd Endt;  Cedant : The Oriental Insurance Co Ltd; Policy period : 01.06.2022 to 31.05.2023</v>
          </cell>
          <cell r="G1089">
            <v>586.46</v>
          </cell>
          <cell r="H1089">
            <v>89.46</v>
          </cell>
          <cell r="I1089">
            <v>497</v>
          </cell>
        </row>
        <row r="1090">
          <cell r="E1090" t="str">
            <v>MUM/23-24/423</v>
          </cell>
          <cell r="F1090" t="str">
            <v>being RI brokerage booked ; Treaty :Liability Excess Of Loss Reinsurance - endt ; Reinsured: The New India Assurance Company Limited; Policy Period : 01.04.21 to 31.03.2022</v>
          </cell>
          <cell r="G1090">
            <v>78703.64</v>
          </cell>
          <cell r="H1090">
            <v>12005.64</v>
          </cell>
          <cell r="I1090">
            <v>66698</v>
          </cell>
        </row>
        <row r="1091">
          <cell r="E1091" t="str">
            <v>MUM/23-24/424</v>
          </cell>
          <cell r="F1091" t="str">
            <v>being RI brokerage booked ; Treaty :Liability Excess Of Loss Reinsurance ; Reinsured: The New India Assurance Company Limited; Policy Period : 01.04.23 to 31.03.2024 ( 1st installment out of 4)</v>
          </cell>
          <cell r="G1091">
            <v>349839.32</v>
          </cell>
          <cell r="H1091">
            <v>53365.32</v>
          </cell>
          <cell r="I1091">
            <v>296474</v>
          </cell>
        </row>
        <row r="1092">
          <cell r="E1092" t="str">
            <v>MUM/23-24/425</v>
          </cell>
          <cell r="F1092" t="str">
            <v>being RI brokerage booked Insured: CJ Darcl Logistics Limited; Cedant :SBI General Insurance Co Ltd; Policy period :25/02/23 to 24/02/24</v>
          </cell>
          <cell r="G1092">
            <v>28500.54</v>
          </cell>
          <cell r="H1092">
            <v>4347.54</v>
          </cell>
          <cell r="I1092">
            <v>24153</v>
          </cell>
        </row>
        <row r="1093">
          <cell r="E1093" t="str">
            <v>MUM/23-24/426</v>
          </cell>
          <cell r="F1093" t="str">
            <v>being RI brokerage booked Insured: GeoEnpro Petroleum Ltd; Cedant :United India Insurance Co Ltd; Policy period :01/12/2022 to 30/11/2023</v>
          </cell>
          <cell r="G1093">
            <v>17999.72</v>
          </cell>
          <cell r="H1093">
            <v>2745.72</v>
          </cell>
          <cell r="I1093">
            <v>15254</v>
          </cell>
        </row>
        <row r="1094">
          <cell r="E1094" t="str">
            <v>MUM/23-24/427</v>
          </cell>
          <cell r="F1094" t="str">
            <v>being RI brokerage booked Insured: Shreeji Shipping; Cedant :The Oriental Insurance Co Ltd  ; Policy period :26/03/2023 to 26/03/2024</v>
          </cell>
          <cell r="G1094">
            <v>57339.74</v>
          </cell>
          <cell r="H1094">
            <v>8746.74</v>
          </cell>
          <cell r="I1094">
            <v>48593</v>
          </cell>
        </row>
        <row r="1095">
          <cell r="E1095" t="str">
            <v>BLR/23-24/129</v>
          </cell>
          <cell r="F1095" t="str">
            <v>being brokerage booked on insurance policies placed in Apr-23. GST is not payable under reverse charge  on these services. The invoice is issued as per Section 31 of the CGST Act.</v>
          </cell>
          <cell r="G1095">
            <v>562435.19999999995</v>
          </cell>
          <cell r="H1095">
            <v>85795.199999999997</v>
          </cell>
          <cell r="I1095">
            <v>476640</v>
          </cell>
        </row>
        <row r="1096">
          <cell r="E1096" t="str">
            <v>BLR/23-24/130</v>
          </cell>
          <cell r="F1096" t="str">
            <v>being brokerage booked on insurance policies placed in May-23.</v>
          </cell>
          <cell r="G1096">
            <v>11809.44</v>
          </cell>
          <cell r="H1096">
            <v>1801.44</v>
          </cell>
          <cell r="I1096">
            <v>10008</v>
          </cell>
        </row>
        <row r="1097">
          <cell r="E1097" t="str">
            <v>BLR/23-24/131</v>
          </cell>
          <cell r="F1097" t="str">
            <v>being brokerage booked on insurance policies placed in May-23.</v>
          </cell>
          <cell r="G1097">
            <v>7058.76</v>
          </cell>
          <cell r="H1097">
            <v>1076.76</v>
          </cell>
          <cell r="I1097">
            <v>5982</v>
          </cell>
        </row>
        <row r="1098">
          <cell r="E1098" t="str">
            <v>CHN/23-24/92</v>
          </cell>
          <cell r="F1098" t="str">
            <v>being brokerage booked on insurance policies placed in May-23.</v>
          </cell>
          <cell r="G1098">
            <v>2258.52</v>
          </cell>
          <cell r="H1098">
            <v>344.52</v>
          </cell>
          <cell r="I1098">
            <v>1914</v>
          </cell>
        </row>
        <row r="1099">
          <cell r="E1099" t="str">
            <v>CHN/23-24/93</v>
          </cell>
          <cell r="F1099" t="str">
            <v>being brokerage booked on insurance policies placed in May-22 raised against C-C-19 as new credit note raised in June -23 was taken in May-23 manually.</v>
          </cell>
          <cell r="G1099">
            <v>933.38</v>
          </cell>
          <cell r="H1099">
            <v>142.38</v>
          </cell>
          <cell r="I1099">
            <v>791</v>
          </cell>
        </row>
        <row r="1100">
          <cell r="E1100" t="str">
            <v>GGN/23-24/299</v>
          </cell>
          <cell r="F1100" t="str">
            <v>being brokerage booked on insurance policies placed in May-23.</v>
          </cell>
          <cell r="G1100">
            <v>932264.9</v>
          </cell>
          <cell r="H1100">
            <v>142209.9</v>
          </cell>
          <cell r="I1100">
            <v>790055</v>
          </cell>
        </row>
        <row r="1101">
          <cell r="E1101" t="str">
            <v>GGN/23-24/300</v>
          </cell>
          <cell r="F1101" t="str">
            <v>being brokerage booked on insurance policies placed in May-23.</v>
          </cell>
          <cell r="G1101">
            <v>96542.88</v>
          </cell>
          <cell r="H1101">
            <v>14726.88</v>
          </cell>
          <cell r="I1101">
            <v>81816</v>
          </cell>
        </row>
        <row r="1102">
          <cell r="E1102" t="str">
            <v>GGN/23-24/301</v>
          </cell>
          <cell r="F1102" t="str">
            <v>being brokerage booked on insurance policies placed in May-23.</v>
          </cell>
          <cell r="G1102">
            <v>20887.18</v>
          </cell>
          <cell r="H1102">
            <v>3186.18</v>
          </cell>
          <cell r="I1102">
            <v>17701</v>
          </cell>
        </row>
        <row r="1103">
          <cell r="E1103" t="str">
            <v>MUM/23-24/428</v>
          </cell>
          <cell r="F1103" t="str">
            <v>being brokerage booked on insurance policies placed in May-23.</v>
          </cell>
          <cell r="G1103">
            <v>128184.58</v>
          </cell>
          <cell r="H1103">
            <v>19553.580000000002</v>
          </cell>
          <cell r="I1103">
            <v>108631</v>
          </cell>
        </row>
        <row r="1104">
          <cell r="E1104" t="str">
            <v>MUM/23-24/429</v>
          </cell>
          <cell r="F1104" t="str">
            <v>being brokerage booked on insurance policies placed in May-23.</v>
          </cell>
          <cell r="G1104">
            <v>500256.28</v>
          </cell>
          <cell r="H1104">
            <v>76310.28</v>
          </cell>
          <cell r="I1104">
            <v>423946</v>
          </cell>
        </row>
        <row r="1105">
          <cell r="E1105" t="str">
            <v>MUM/23-24/430</v>
          </cell>
          <cell r="F1105" t="str">
            <v>being brokerage booked on insurance policies placed in Apr-23. GST is not payable under reverse charge  on these services. The invoice is issued as per Section 31 of the CGST Act.</v>
          </cell>
          <cell r="G1105">
            <v>127.44</v>
          </cell>
          <cell r="H1105">
            <v>19.440000000000001</v>
          </cell>
          <cell r="I1105">
            <v>108</v>
          </cell>
        </row>
        <row r="1106">
          <cell r="E1106" t="str">
            <v>MUM/23-24/431</v>
          </cell>
          <cell r="F1106" t="str">
            <v>being RI brokerage booked ; Insured : Khazana Jewellers;  Cedant: The Oriental Insurance Co Ltd; Policy period : 01.03.2023 to 01.03.2024</v>
          </cell>
          <cell r="G1106">
            <v>169203.74</v>
          </cell>
          <cell r="H1106">
            <v>25810.74</v>
          </cell>
          <cell r="I1106">
            <v>143393</v>
          </cell>
        </row>
        <row r="1107">
          <cell r="E1107" t="str">
            <v>MUM/23-24/432</v>
          </cell>
          <cell r="F1107" t="str">
            <v>being RI brokerage booked ; Insured: Pradhan Air Express Pvt Ltd ( 3rd installment out of 4) ; Cedant: The New India Assurance Co. Ltd  ; Policy Period : 01.11.22 to 31.10.23 ( brokerage USD 1105.625 @ 82.74)</v>
          </cell>
          <cell r="G1107">
            <v>107945.22</v>
          </cell>
          <cell r="H1107">
            <v>16466.22</v>
          </cell>
          <cell r="I1107">
            <v>91479</v>
          </cell>
        </row>
        <row r="1108">
          <cell r="E1108" t="str">
            <v>MUM/23-24/433</v>
          </cell>
          <cell r="F1108" t="str">
            <v>being RI brokerage booked ;Treaty :Fire &amp; Engg SOA3  ( 4th installment out of 4); Cedant: Edelweiss General Insurance Co Ltd ; Policy Period :01.04.22 to 31.03.23</v>
          </cell>
          <cell r="G1108">
            <v>310458</v>
          </cell>
          <cell r="H1108">
            <v>47358</v>
          </cell>
          <cell r="I1108">
            <v>263100</v>
          </cell>
        </row>
        <row r="1109">
          <cell r="E1109" t="str">
            <v>MUM/23-24/434</v>
          </cell>
          <cell r="F1109" t="str">
            <v>being brokerage booked on insurance policies placed in month Jun-23. Reverse Charge Mechanism Applicable - NO.</v>
          </cell>
          <cell r="G1109">
            <v>1318159.68</v>
          </cell>
          <cell r="H1109">
            <v>201075.20000000001</v>
          </cell>
          <cell r="I1109">
            <v>1117084.48</v>
          </cell>
        </row>
        <row r="1110">
          <cell r="E1110" t="str">
            <v>MUM/23-24/435</v>
          </cell>
          <cell r="F1110" t="str">
            <v>being brokerage booked on insurance policies placed in month Jun-23. Reverse Charge Mechanism Applicable - NO.</v>
          </cell>
          <cell r="G1110">
            <v>147231.29</v>
          </cell>
          <cell r="H1110">
            <v>22459.01</v>
          </cell>
          <cell r="I1110">
            <v>124772.28</v>
          </cell>
        </row>
        <row r="1111">
          <cell r="E1111" t="str">
            <v>MUM/23-24/436</v>
          </cell>
          <cell r="F1111" t="str">
            <v>being brokerage booked on insurance policies placed in month Jun-23. Reverse Charge Mechanism Applicable - NO.</v>
          </cell>
          <cell r="G1111">
            <v>112275.09</v>
          </cell>
          <cell r="H1111">
            <v>17126.71</v>
          </cell>
          <cell r="I1111">
            <v>95148.38</v>
          </cell>
        </row>
        <row r="1112">
          <cell r="E1112" t="str">
            <v>MUM/23-24/437</v>
          </cell>
          <cell r="F1112" t="str">
            <v>being brokerage booked on insurance policies placed in month Jun-23. Reverse Charge Mechanism Applicable - NO.</v>
          </cell>
          <cell r="G1112">
            <v>1321124.51</v>
          </cell>
          <cell r="H1112">
            <v>201527.47</v>
          </cell>
          <cell r="I1112">
            <v>1119597.04</v>
          </cell>
        </row>
        <row r="1113">
          <cell r="E1113" t="str">
            <v>MUM/23-24/438</v>
          </cell>
          <cell r="F1113" t="str">
            <v>being brokerage booked on insurance policies placed in month Jun-23. Reverse Charge Mechanism Applicable - NO.</v>
          </cell>
          <cell r="G1113">
            <v>1089478.44</v>
          </cell>
          <cell r="H1113">
            <v>166191.63</v>
          </cell>
          <cell r="I1113">
            <v>923286.81</v>
          </cell>
        </row>
        <row r="1114">
          <cell r="E1114" t="str">
            <v>MUM/23-24/439</v>
          </cell>
          <cell r="F1114" t="str">
            <v>being brokerage booked on insurance policies placed in month Jun-23. Reverse Charge Mechanism Applicable - NO.</v>
          </cell>
          <cell r="G1114">
            <v>38470.32</v>
          </cell>
          <cell r="H1114">
            <v>5868.35</v>
          </cell>
          <cell r="I1114">
            <v>32601.97</v>
          </cell>
        </row>
        <row r="1115">
          <cell r="E1115" t="str">
            <v>MUM/23-24/440</v>
          </cell>
          <cell r="F1115" t="str">
            <v>being brokerage booked on insurance policies placed in month Jun-23. Reverse Charge Mechanism Applicable - NO.</v>
          </cell>
          <cell r="G1115">
            <v>223056.69</v>
          </cell>
          <cell r="H1115">
            <v>34025.599999999999</v>
          </cell>
          <cell r="I1115">
            <v>189031.09</v>
          </cell>
        </row>
        <row r="1116">
          <cell r="E1116" t="str">
            <v>MUM/23-24/441</v>
          </cell>
          <cell r="F1116" t="str">
            <v>being brokerage booked on insurance policies placed in month Jun-23. Reverse Charge Mechanism Applicable - NO.</v>
          </cell>
          <cell r="G1116">
            <v>29205.4</v>
          </cell>
          <cell r="H1116">
            <v>4455.0600000000004</v>
          </cell>
          <cell r="I1116">
            <v>24750.34</v>
          </cell>
        </row>
        <row r="1117">
          <cell r="E1117" t="str">
            <v>MUM/23-24/442</v>
          </cell>
          <cell r="F1117" t="str">
            <v>being brokerage booked on insurance policies placed in month Jun-23. Reverse Charge Mechanism Applicable - NO.</v>
          </cell>
          <cell r="G1117">
            <v>72791.25</v>
          </cell>
          <cell r="H1117">
            <v>11103.75</v>
          </cell>
          <cell r="I1117">
            <v>61687.5</v>
          </cell>
        </row>
        <row r="1118">
          <cell r="E1118" t="str">
            <v>PUN/23-24/37</v>
          </cell>
          <cell r="F1118" t="str">
            <v>being reward booked on insurance policies placed in Aug-21. We also declare that our revenue from other than insurance intermidition activities less than fifty percent of our total revenue from all the activities.</v>
          </cell>
          <cell r="G1118">
            <v>1070.26</v>
          </cell>
          <cell r="H1118">
            <v>163.26</v>
          </cell>
          <cell r="I1118">
            <v>907</v>
          </cell>
        </row>
        <row r="1119">
          <cell r="E1119" t="str">
            <v>PUN/23-24/38</v>
          </cell>
          <cell r="F1119" t="str">
            <v>being reward booked on insurance policies placed in Aug-22. We also declare that our revenue from other than insurance intermidition activities less than fifty percent of our total revenue from all the activities.</v>
          </cell>
          <cell r="G1119">
            <v>1065.54</v>
          </cell>
          <cell r="H1119">
            <v>162.54</v>
          </cell>
          <cell r="I1119">
            <v>903</v>
          </cell>
        </row>
        <row r="1120">
          <cell r="E1120" t="str">
            <v>BLR/23-24/132</v>
          </cell>
          <cell r="F1120" t="str">
            <v>being brokerage booked on insurance policies placed in Jun-23.</v>
          </cell>
          <cell r="G1120">
            <v>49.82</v>
          </cell>
          <cell r="H1120">
            <v>7.6</v>
          </cell>
          <cell r="I1120">
            <v>42.22</v>
          </cell>
        </row>
        <row r="1121">
          <cell r="E1121" t="str">
            <v>BLR/23-24/133</v>
          </cell>
          <cell r="F1121" t="str">
            <v>being brokerage booked on insurance policies placed in Jun-23.</v>
          </cell>
          <cell r="G1121">
            <v>9856.57</v>
          </cell>
          <cell r="H1121">
            <v>1503.54</v>
          </cell>
          <cell r="I1121">
            <v>8353.0300000000007</v>
          </cell>
        </row>
        <row r="1122">
          <cell r="E1122" t="str">
            <v>CHN/23-24/94</v>
          </cell>
          <cell r="F1122" t="str">
            <v>being brokerage booked on insurance policies placed in Jun-23. GST is not payable under reverse charge  on these services. The invoice is issued as per Section 31 of the CGST Act.</v>
          </cell>
          <cell r="G1122">
            <v>7076.46</v>
          </cell>
          <cell r="H1122">
            <v>1079.46</v>
          </cell>
          <cell r="I1122">
            <v>5997</v>
          </cell>
        </row>
        <row r="1123">
          <cell r="E1123" t="str">
            <v>GGN/23-24/302</v>
          </cell>
          <cell r="F1123" t="str">
            <v>being brokerage booked on insurance policies placed in May-23.</v>
          </cell>
          <cell r="G1123">
            <v>111714.14</v>
          </cell>
          <cell r="H1123">
            <v>17041.14</v>
          </cell>
          <cell r="I1123">
            <v>94673</v>
          </cell>
        </row>
        <row r="1124">
          <cell r="E1124" t="str">
            <v>GGN/23-24/303</v>
          </cell>
          <cell r="F1124" t="str">
            <v>being brokerage booked on insurance policies placed in Apr-23. GST is not payable under reverse charge  on these services. The invoice is issued as per Section 31 of the CGST Act.</v>
          </cell>
          <cell r="G1124">
            <v>775046.42</v>
          </cell>
          <cell r="H1124">
            <v>118227.42</v>
          </cell>
          <cell r="I1124">
            <v>656819</v>
          </cell>
        </row>
        <row r="1125">
          <cell r="E1125" t="str">
            <v>GGN/23-24/304</v>
          </cell>
          <cell r="F1125" t="str">
            <v>being brokerage booked on insurance policies placed in Jun-23. GST is not payable under reverse charge  on these services. The invoice is issued as per Section 31 of the CGST Act.</v>
          </cell>
          <cell r="G1125">
            <v>110272.18</v>
          </cell>
          <cell r="H1125">
            <v>16821.18</v>
          </cell>
          <cell r="I1125">
            <v>93451</v>
          </cell>
        </row>
        <row r="1126">
          <cell r="E1126" t="str">
            <v>GGN/23-24/305</v>
          </cell>
          <cell r="F1126" t="str">
            <v>being brokerage booked on insurance policies placed in Jun-23.</v>
          </cell>
          <cell r="G1126">
            <v>63099.51</v>
          </cell>
          <cell r="H1126">
            <v>9625.35</v>
          </cell>
          <cell r="I1126">
            <v>53474.16</v>
          </cell>
        </row>
        <row r="1127">
          <cell r="E1127" t="str">
            <v>GGN/23-24/306</v>
          </cell>
          <cell r="F1127" t="str">
            <v>being brokerage booked on insurance policies placed in Jun-23.</v>
          </cell>
          <cell r="G1127">
            <v>82.18</v>
          </cell>
          <cell r="H1127">
            <v>12.54</v>
          </cell>
          <cell r="I1127">
            <v>69.64</v>
          </cell>
        </row>
        <row r="1128">
          <cell r="E1128" t="str">
            <v>HYD/23-24/56</v>
          </cell>
          <cell r="F1128" t="str">
            <v>being brokerage booked on insurance policies placed in Jun-23.</v>
          </cell>
          <cell r="G1128">
            <v>48.89</v>
          </cell>
          <cell r="H1128">
            <v>7.46</v>
          </cell>
          <cell r="I1128">
            <v>41.43</v>
          </cell>
        </row>
        <row r="1129">
          <cell r="E1129" t="str">
            <v>MUM/23-24/443</v>
          </cell>
          <cell r="F1129" t="str">
            <v>being brokerage booked on insurance policies placed in Jun-23.</v>
          </cell>
          <cell r="G1129">
            <v>4240.1000000000004</v>
          </cell>
          <cell r="H1129">
            <v>646.79999999999995</v>
          </cell>
          <cell r="I1129">
            <v>3593.3</v>
          </cell>
        </row>
        <row r="1130">
          <cell r="E1130" t="str">
            <v>MUM/23-24/444</v>
          </cell>
          <cell r="F1130" t="str">
            <v>Being Reward booked on insurance policies placed in May-23.</v>
          </cell>
          <cell r="G1130">
            <v>5053.0200000000004</v>
          </cell>
          <cell r="H1130">
            <v>770.8</v>
          </cell>
          <cell r="I1130">
            <v>4282.22</v>
          </cell>
        </row>
        <row r="1131">
          <cell r="E1131" t="str">
            <v>MUM/23-24/445</v>
          </cell>
          <cell r="F1131" t="str">
            <v>being reward booked on insurance poliices placed in Mar-23.</v>
          </cell>
          <cell r="G1131">
            <v>5900</v>
          </cell>
          <cell r="H1131">
            <v>900</v>
          </cell>
          <cell r="I1131">
            <v>5000</v>
          </cell>
        </row>
        <row r="1132">
          <cell r="E1132" t="str">
            <v>MUM/23-24/446</v>
          </cell>
          <cell r="F1132" t="str">
            <v>being brokerage booked on insurance policies placed in Jun-23</v>
          </cell>
          <cell r="G1132">
            <v>4543522.6900000004</v>
          </cell>
          <cell r="H1132">
            <v>693079.74</v>
          </cell>
          <cell r="I1132">
            <v>3850442.95</v>
          </cell>
        </row>
        <row r="1133">
          <cell r="E1133" t="str">
            <v>MUM/23-24/447</v>
          </cell>
          <cell r="F1133" t="str">
            <v>being brokerage booked on insurance policies placed in Jun-23.</v>
          </cell>
          <cell r="G1133">
            <v>1291.76</v>
          </cell>
          <cell r="H1133">
            <v>197.04</v>
          </cell>
          <cell r="I1133">
            <v>1094.72</v>
          </cell>
        </row>
        <row r="1134">
          <cell r="E1134" t="str">
            <v>BLR/23-24/134</v>
          </cell>
          <cell r="F1134" t="str">
            <v>being brokerage booked on insurance policies placed in May-23.</v>
          </cell>
          <cell r="G1134">
            <v>972844.93</v>
          </cell>
          <cell r="H1134">
            <v>148400.07999999999</v>
          </cell>
          <cell r="I1134">
            <v>824444.85</v>
          </cell>
        </row>
        <row r="1135">
          <cell r="E1135" t="str">
            <v>CHN/23-24/95</v>
          </cell>
          <cell r="F1135" t="str">
            <v>being brokerage booked on insurance policies placed in May-23.</v>
          </cell>
          <cell r="G1135">
            <v>1000619.46</v>
          </cell>
          <cell r="H1135">
            <v>152636.85999999999</v>
          </cell>
          <cell r="I1135">
            <v>847982.6</v>
          </cell>
        </row>
        <row r="1136">
          <cell r="E1136" t="str">
            <v>GGN/23-24/307</v>
          </cell>
          <cell r="F1136" t="str">
            <v>being brokerage booked on insurance policies placed in May-23.</v>
          </cell>
          <cell r="G1136">
            <v>362180.63</v>
          </cell>
          <cell r="H1136">
            <v>55247.89</v>
          </cell>
          <cell r="I1136">
            <v>306932.74</v>
          </cell>
        </row>
        <row r="1137">
          <cell r="E1137" t="str">
            <v>HYD/23-24/57</v>
          </cell>
          <cell r="F1137" t="str">
            <v>being brokerage booked on insurance policies placed in May-23.</v>
          </cell>
          <cell r="G1137">
            <v>108154.24000000001</v>
          </cell>
          <cell r="H1137">
            <v>16498.099999999999</v>
          </cell>
          <cell r="I1137">
            <v>91656.14</v>
          </cell>
        </row>
        <row r="1138">
          <cell r="E1138" t="str">
            <v>MUM/23-24/448</v>
          </cell>
          <cell r="F1138" t="str">
            <v>being reward booked on insurance policies placed in Apr to Mar 2022-23.</v>
          </cell>
          <cell r="G1138">
            <v>357612.67</v>
          </cell>
          <cell r="H1138">
            <v>54551.08</v>
          </cell>
          <cell r="I1138">
            <v>303061.59000000003</v>
          </cell>
        </row>
        <row r="1139">
          <cell r="E1139" t="str">
            <v>MUM/23-24/449</v>
          </cell>
          <cell r="F1139" t="str">
            <v>being brokerage booked on insurance policies placed in Jun-23 1st Cycle.</v>
          </cell>
          <cell r="G1139">
            <v>3144.41</v>
          </cell>
          <cell r="H1139">
            <v>479.66</v>
          </cell>
          <cell r="I1139">
            <v>2664.75</v>
          </cell>
        </row>
        <row r="1140">
          <cell r="E1140" t="str">
            <v>MUM/23-24/450</v>
          </cell>
          <cell r="F1140" t="str">
            <v>being RI brokerage booked ; Insured: Pradhan Air Express Pvt Ltd (3rd installment out of 4)  ; Reinsured :The New India Assurance Co Ltd  Policy Period :01.11.2022 to 31.10.2023</v>
          </cell>
          <cell r="G1140">
            <v>423813.52</v>
          </cell>
          <cell r="H1140">
            <v>64649.52</v>
          </cell>
          <cell r="I1140">
            <v>359164</v>
          </cell>
        </row>
        <row r="1141">
          <cell r="E1141" t="str">
            <v>MUM/23-24/451</v>
          </cell>
          <cell r="F1141" t="str">
            <v>being brokerage booked on insurance policies placed in May-23.</v>
          </cell>
          <cell r="G1141">
            <v>53607.29</v>
          </cell>
          <cell r="H1141">
            <v>8177.38</v>
          </cell>
          <cell r="I1141">
            <v>45429.91</v>
          </cell>
        </row>
        <row r="1142">
          <cell r="E1142" t="str">
            <v>GFT/23-24/23</v>
          </cell>
          <cell r="F1142" t="str">
            <v>being RI brokerage booked Insured: Kenya Petroleum Refineries (Deductible Buy-Back) Cedant: Mnk Re; Policy Period:01.01.2023 to 31.12.2023</v>
          </cell>
          <cell r="G1142">
            <v>83000.02</v>
          </cell>
          <cell r="H1142">
            <v>12661.02</v>
          </cell>
          <cell r="I1142">
            <v>70339</v>
          </cell>
        </row>
        <row r="1143">
          <cell r="E1143" t="str">
            <v>GFT/23-24/24</v>
          </cell>
          <cell r="F1143" t="str">
            <v>being RI brokerage booked Insured: Kenya Petroleum Refineries (Public Liability) Cedant: Mnk Re; Policy Period:01.01.2023 to 31.12.2023</v>
          </cell>
          <cell r="G1143">
            <v>66399.78</v>
          </cell>
          <cell r="H1143">
            <v>10128.780000000001</v>
          </cell>
          <cell r="I1143">
            <v>56271</v>
          </cell>
        </row>
        <row r="1144">
          <cell r="E1144" t="str">
            <v>GFT/23-24/25</v>
          </cell>
          <cell r="F1144" t="str">
            <v>being RI brokerage booked; Insured:Activos Financieros CC, S.A. De C.V. Cedant: THB Mexico Intermediario; Policy period : 18.04.2023 to 18.04.2023</v>
          </cell>
          <cell r="G1144">
            <v>19284.740000000002</v>
          </cell>
          <cell r="H1144">
            <v>2941.74</v>
          </cell>
          <cell r="I1144">
            <v>16343</v>
          </cell>
        </row>
        <row r="1145">
          <cell r="E1145" t="str">
            <v>GFT/23-24/26</v>
          </cell>
          <cell r="F1145" t="str">
            <v>being RI brokerage booked ; Insured:Masrouji Group; Cedant:Al Mashreq Insurance Company; Policy period : 01.01.2023 to 31.12.2023</v>
          </cell>
          <cell r="G1145">
            <v>37018</v>
          </cell>
          <cell r="I1145">
            <v>37018</v>
          </cell>
        </row>
        <row r="1146">
          <cell r="E1146" t="str">
            <v>GFT/23-24/27</v>
          </cell>
          <cell r="F1146" t="str">
            <v>being RI brokerage booked ; Insured:Masrouji Group - Endt; Cedant:Al Mashreq Insurance Company; Policy period : 01.01.2023 to 31.12.2023</v>
          </cell>
          <cell r="G1146">
            <v>1004</v>
          </cell>
          <cell r="I1146">
            <v>1004</v>
          </cell>
        </row>
        <row r="1147">
          <cell r="E1147" t="str">
            <v>MUM/23-24/452</v>
          </cell>
          <cell r="F1147" t="str">
            <v>BEING overseas brokerage received USD 1165.74 @ 81.28</v>
          </cell>
          <cell r="G1147">
            <v>94751.35</v>
          </cell>
          <cell r="H1147">
            <v>14453.6</v>
          </cell>
          <cell r="I1147">
            <v>80297.75</v>
          </cell>
        </row>
        <row r="1148">
          <cell r="E1148" t="str">
            <v>MUM/23-24/453</v>
          </cell>
          <cell r="F1148" t="str">
            <v>being reward booked on insurance policies placed in upto Mar-23.</v>
          </cell>
          <cell r="G1148">
            <v>249387.1</v>
          </cell>
          <cell r="H1148">
            <v>38042.1</v>
          </cell>
          <cell r="I1148">
            <v>211345</v>
          </cell>
        </row>
        <row r="1149">
          <cell r="E1149" t="str">
            <v>MUM/23-24/454</v>
          </cell>
          <cell r="F1149" t="str">
            <v>being brokerage booked on insurnace polices placed in May-23.</v>
          </cell>
          <cell r="G1149">
            <v>36236.379999999997</v>
          </cell>
          <cell r="H1149">
            <v>5527.58</v>
          </cell>
          <cell r="I1149">
            <v>30708.799999999999</v>
          </cell>
        </row>
        <row r="1150">
          <cell r="E1150" t="str">
            <v>MUM/23-24/455</v>
          </cell>
          <cell r="F1150" t="str">
            <v>being brokerage booked on insurance policies placed in Jun-23.</v>
          </cell>
          <cell r="G1150">
            <v>373.68</v>
          </cell>
          <cell r="H1150">
            <v>57</v>
          </cell>
          <cell r="I1150">
            <v>316.68</v>
          </cell>
        </row>
        <row r="1151">
          <cell r="E1151" t="str">
            <v>BLR/23-24/135</v>
          </cell>
          <cell r="F1151" t="str">
            <v>being brokerage booked on insurance policies placed in May-23.</v>
          </cell>
          <cell r="G1151">
            <v>1296000.55</v>
          </cell>
          <cell r="H1151">
            <v>197695</v>
          </cell>
          <cell r="I1151">
            <v>1098305.55</v>
          </cell>
        </row>
        <row r="1152">
          <cell r="E1152" t="str">
            <v>BLR/23-24/136</v>
          </cell>
          <cell r="F1152" t="str">
            <v>being brokerage booked on insurance policies placed in May-23.</v>
          </cell>
          <cell r="G1152">
            <v>1204.56</v>
          </cell>
          <cell r="H1152">
            <v>183.75</v>
          </cell>
          <cell r="I1152">
            <v>1020.81</v>
          </cell>
        </row>
        <row r="1153">
          <cell r="E1153" t="str">
            <v>BLR/23-24/137</v>
          </cell>
          <cell r="F1153" t="str">
            <v>being brokerage booked on insurance policies placed in May-23.</v>
          </cell>
          <cell r="G1153">
            <v>215718.76</v>
          </cell>
          <cell r="H1153">
            <v>32906.26</v>
          </cell>
          <cell r="I1153">
            <v>182812.5</v>
          </cell>
        </row>
        <row r="1154">
          <cell r="E1154" t="str">
            <v>CHN/23-24/96</v>
          </cell>
          <cell r="F1154" t="str">
            <v>being brokerage booked on insurance policies placed in May-23.</v>
          </cell>
          <cell r="G1154">
            <v>128922.84</v>
          </cell>
          <cell r="H1154">
            <v>19666.2</v>
          </cell>
          <cell r="I1154">
            <v>109256.64</v>
          </cell>
        </row>
        <row r="1155">
          <cell r="E1155" t="str">
            <v>CHN/23-24/97</v>
          </cell>
          <cell r="F1155" t="str">
            <v>being brokerage booked on insurance policies placed in May-23.</v>
          </cell>
          <cell r="G1155">
            <v>18299.59</v>
          </cell>
          <cell r="H1155">
            <v>2791.46</v>
          </cell>
          <cell r="I1155">
            <v>15508.13</v>
          </cell>
        </row>
        <row r="1156">
          <cell r="E1156" t="str">
            <v>GGN/23-24/308</v>
          </cell>
          <cell r="F1156" t="str">
            <v>being brokerage booked on insurance policies placed in May-23.</v>
          </cell>
          <cell r="G1156">
            <v>21993.54</v>
          </cell>
          <cell r="H1156">
            <v>3354.94</v>
          </cell>
          <cell r="I1156">
            <v>18638.599999999999</v>
          </cell>
        </row>
        <row r="1157">
          <cell r="E1157" t="str">
            <v>GGN/23-24/309</v>
          </cell>
          <cell r="F1157" t="str">
            <v>being brokerage booked on insurance policies placed in May-23.</v>
          </cell>
          <cell r="G1157">
            <v>562.61</v>
          </cell>
          <cell r="H1157">
            <v>85.82</v>
          </cell>
          <cell r="I1157">
            <v>476.79</v>
          </cell>
        </row>
        <row r="1158">
          <cell r="E1158" t="str">
            <v>GGN/23-24/310</v>
          </cell>
          <cell r="F1158" t="str">
            <v>being brokerage booked on insurance policies placed in May-23.</v>
          </cell>
          <cell r="G1158">
            <v>32892.5</v>
          </cell>
          <cell r="H1158">
            <v>5017.5</v>
          </cell>
          <cell r="I1158">
            <v>27875</v>
          </cell>
        </row>
        <row r="1159">
          <cell r="E1159" t="str">
            <v>GGN/23-24/311</v>
          </cell>
          <cell r="F1159" t="str">
            <v>being brokerage booked on insurance policies placed in May-23.</v>
          </cell>
          <cell r="G1159">
            <v>97859.32</v>
          </cell>
          <cell r="H1159">
            <v>14927.7</v>
          </cell>
          <cell r="I1159">
            <v>82931.62</v>
          </cell>
        </row>
        <row r="1160">
          <cell r="E1160" t="str">
            <v>GGN/23-24/312</v>
          </cell>
          <cell r="F1160" t="str">
            <v>being brokerage booked on insurance policies placed in Q4 2022-23.</v>
          </cell>
          <cell r="G1160">
            <v>913114.62</v>
          </cell>
          <cell r="H1160">
            <v>139288.67000000001</v>
          </cell>
          <cell r="I1160">
            <v>773825.95</v>
          </cell>
        </row>
        <row r="1161">
          <cell r="E1161" t="str">
            <v>GFT/23-24/28</v>
          </cell>
          <cell r="F1161" t="str">
            <v>being RI brokerage booked ; Insured:Masrouji Group; Cedant:Al Mashreq Insurance Company; Policy period : 01.01.2023 to 31.12.2023</v>
          </cell>
          <cell r="G1161">
            <v>64408</v>
          </cell>
          <cell r="I1161">
            <v>64408</v>
          </cell>
        </row>
        <row r="1162">
          <cell r="E1162" t="str">
            <v>GFT/23-24/29</v>
          </cell>
          <cell r="F1162" t="str">
            <v>being RI brokerage booked ; Insured:Masrouji Group Endt ; Cedant:Al Mashreq Insurance Company; Policy period : 01.01.2023 to 31.12.2023</v>
          </cell>
          <cell r="G1162">
            <v>1660</v>
          </cell>
          <cell r="I1162">
            <v>1660</v>
          </cell>
        </row>
        <row r="1163">
          <cell r="E1163" t="str">
            <v>HYD/23-24/58</v>
          </cell>
          <cell r="F1163" t="str">
            <v>being brokerage booked on insurance policies placed in May-23.</v>
          </cell>
          <cell r="G1163">
            <v>415693.4</v>
          </cell>
          <cell r="H1163">
            <v>63410.86</v>
          </cell>
          <cell r="I1163">
            <v>352282.54</v>
          </cell>
        </row>
        <row r="1164">
          <cell r="E1164" t="str">
            <v>MUM/23-24/456</v>
          </cell>
          <cell r="F1164" t="str">
            <v>being RI brokerage booked; Insured: Serum Institute of India Pvt; Cedant: The New India Assurance Co Ltd; policy period : 27.04.2023 to 26.04.2023</v>
          </cell>
          <cell r="G1164">
            <v>514140.15999999997</v>
          </cell>
          <cell r="H1164">
            <v>78428.160000000003</v>
          </cell>
          <cell r="I1164">
            <v>435712</v>
          </cell>
        </row>
        <row r="1165">
          <cell r="E1165" t="str">
            <v>MUM/23-24/457</v>
          </cell>
          <cell r="F1165" t="str">
            <v>being brokerage booked on insurance policies placed in Jun-23.</v>
          </cell>
          <cell r="G1165">
            <v>14878.57</v>
          </cell>
          <cell r="H1165">
            <v>2269.62</v>
          </cell>
          <cell r="I1165">
            <v>12608.95</v>
          </cell>
        </row>
        <row r="1166">
          <cell r="E1166" t="str">
            <v>MUM/23-24/458</v>
          </cell>
          <cell r="F1166" t="str">
            <v>being brokerage booked on insurance policies placed in May-23.</v>
          </cell>
          <cell r="G1166">
            <v>685074.74</v>
          </cell>
          <cell r="H1166">
            <v>104502.92</v>
          </cell>
          <cell r="I1166">
            <v>580571.81999999995</v>
          </cell>
        </row>
        <row r="1167">
          <cell r="E1167" t="str">
            <v>MUM/23-24/459</v>
          </cell>
          <cell r="F1167" t="str">
            <v>being brokerage booked on insurance policies placed in May-23.</v>
          </cell>
          <cell r="G1167">
            <v>152598.26999999999</v>
          </cell>
          <cell r="H1167">
            <v>23277.7</v>
          </cell>
          <cell r="I1167">
            <v>129320.57</v>
          </cell>
        </row>
        <row r="1168">
          <cell r="E1168" t="str">
            <v>MUM/23-24/460</v>
          </cell>
          <cell r="F1168" t="str">
            <v>being brokerage booked on insurance policies placed in May-23.</v>
          </cell>
          <cell r="G1168">
            <v>2638.07</v>
          </cell>
          <cell r="H1168">
            <v>402.42</v>
          </cell>
          <cell r="I1168">
            <v>2235.65</v>
          </cell>
        </row>
        <row r="1169">
          <cell r="E1169" t="str">
            <v>MUM/23-24/461</v>
          </cell>
          <cell r="F1169" t="str">
            <v>being brokerage booked on insurance policies placed in May-23.</v>
          </cell>
          <cell r="G1169">
            <v>223985.9</v>
          </cell>
          <cell r="H1169">
            <v>34167.339999999997</v>
          </cell>
          <cell r="I1169">
            <v>189818.56</v>
          </cell>
        </row>
        <row r="1170">
          <cell r="E1170" t="str">
            <v>MUM/23-24/462</v>
          </cell>
          <cell r="F1170" t="str">
            <v>being brokerage booked on insurance policies placed in May-23.</v>
          </cell>
          <cell r="G1170">
            <v>865744.78</v>
          </cell>
          <cell r="H1170">
            <v>132062.76</v>
          </cell>
          <cell r="I1170">
            <v>733682.02</v>
          </cell>
        </row>
        <row r="1171">
          <cell r="E1171" t="str">
            <v>GGN/23-24/313</v>
          </cell>
          <cell r="F1171" t="str">
            <v>being brokerage booked on insurance policies placed in May-23.</v>
          </cell>
          <cell r="G1171">
            <v>1244353.6599999999</v>
          </cell>
          <cell r="H1171">
            <v>189816.66</v>
          </cell>
          <cell r="I1171">
            <v>1054537</v>
          </cell>
        </row>
        <row r="1172">
          <cell r="E1172" t="str">
            <v>MUM/23-24/463</v>
          </cell>
          <cell r="F1172" t="str">
            <v>being brokerage booked on insurance policies placed in May-23.</v>
          </cell>
          <cell r="G1172">
            <v>31712.5</v>
          </cell>
          <cell r="H1172">
            <v>4837.5</v>
          </cell>
          <cell r="I1172">
            <v>26875</v>
          </cell>
        </row>
        <row r="1173">
          <cell r="E1173" t="str">
            <v>MUM/23-24/464</v>
          </cell>
          <cell r="F1173" t="str">
            <v>being brokerage booked on insurance policies placed in Jun-23.</v>
          </cell>
          <cell r="G1173">
            <v>17669.310000000001</v>
          </cell>
          <cell r="H1173">
            <v>2695.32</v>
          </cell>
          <cell r="I1173">
            <v>14973.99</v>
          </cell>
        </row>
        <row r="1174">
          <cell r="E1174" t="str">
            <v>MUM/23-24/465</v>
          </cell>
          <cell r="F1174" t="str">
            <v>being brokerage booked on insurnace polices placed in May-23.</v>
          </cell>
          <cell r="G1174">
            <v>78158.53</v>
          </cell>
          <cell r="H1174">
            <v>11922.48</v>
          </cell>
          <cell r="I1174">
            <v>66236.05</v>
          </cell>
        </row>
        <row r="1175">
          <cell r="E1175" t="str">
            <v>MUM/23-24/466</v>
          </cell>
          <cell r="F1175" t="str">
            <v>being brokerage booked on insurance policies placed in Jun-23.</v>
          </cell>
          <cell r="G1175">
            <v>2868166.95</v>
          </cell>
          <cell r="H1175">
            <v>437517</v>
          </cell>
          <cell r="I1175">
            <v>2430649.9500000002</v>
          </cell>
        </row>
        <row r="1176">
          <cell r="E1176" t="str">
            <v>PUN/23-24/39</v>
          </cell>
          <cell r="F1176" t="str">
            <v>being brokerage booked on insurance policies placed in May-23. GST is not payable under reverse charge  on these services. The invoice is issued as per Section 31 of the CGST Act.</v>
          </cell>
          <cell r="G1176">
            <v>847943.28</v>
          </cell>
          <cell r="H1176">
            <v>129347.28</v>
          </cell>
          <cell r="I1176">
            <v>718596</v>
          </cell>
        </row>
        <row r="1177">
          <cell r="E1177" t="str">
            <v>GGN/23-24/314</v>
          </cell>
          <cell r="F1177" t="str">
            <v>being reward booked on insurance policies placed in Apr to Mar 2022-23.</v>
          </cell>
          <cell r="G1177">
            <v>246478.16</v>
          </cell>
          <cell r="H1177">
            <v>37598.36</v>
          </cell>
          <cell r="I1177">
            <v>208879.8</v>
          </cell>
        </row>
        <row r="1178">
          <cell r="E1178" t="str">
            <v>GFT/23-24/30</v>
          </cell>
          <cell r="F1178" t="str">
            <v>being RI brokerage booked ; Insured:M/s Ministry of Public Works ; Cedant:MNK Re Ltd; Policy Period: 01.12.2022 to 28.02.2023</v>
          </cell>
          <cell r="G1178">
            <v>7075.28</v>
          </cell>
          <cell r="H1178">
            <v>1079.28</v>
          </cell>
          <cell r="I1178">
            <v>5996</v>
          </cell>
        </row>
        <row r="1179">
          <cell r="E1179" t="str">
            <v>GFT/23-24/31</v>
          </cell>
          <cell r="F1179" t="str">
            <v>being RI brokerage booked ; Insured:M/s Ministry of Public Works ; Cedant:MNK Re Ltd; Policy Period: 01.12.2022 to 28.02.2023</v>
          </cell>
          <cell r="G1179">
            <v>620177.31999999995</v>
          </cell>
          <cell r="H1179">
            <v>94603.32</v>
          </cell>
          <cell r="I1179">
            <v>525574</v>
          </cell>
        </row>
        <row r="1180">
          <cell r="E1180" t="str">
            <v>GFT/23-24/32</v>
          </cell>
          <cell r="F1180" t="str">
            <v>being RI brokerage booked ; Insured: Enchapados Decorativos, S.A., ENDESA ; Cedant:MNK Re Ltd; Policy Period: 30.11.2022 to 16.02.2024</v>
          </cell>
          <cell r="G1180">
            <v>40062.18</v>
          </cell>
          <cell r="H1180">
            <v>6111.18</v>
          </cell>
          <cell r="I1180">
            <v>33951</v>
          </cell>
        </row>
        <row r="1181">
          <cell r="E1181" t="str">
            <v>GFT/23-24/33</v>
          </cell>
          <cell r="F1181" t="str">
            <v>being RI brokerage booked ; Insured: Proyecto Especial Jequetepeque Zaña, RIPCONCIV CONSORTIUM - STILLER -At Hospital Lorena, Tren Metropolitano de Cochabamba – Mi Tren; Cedant:MNK Re Ltd; Policy Period: 20.12.2022 to 19.12.2024</v>
          </cell>
          <cell r="G1181">
            <v>120824.92</v>
          </cell>
          <cell r="H1181">
            <v>18430.919999999998</v>
          </cell>
          <cell r="I1181">
            <v>102394</v>
          </cell>
        </row>
        <row r="1182">
          <cell r="E1182" t="str">
            <v>GFT/23-24/34</v>
          </cell>
          <cell r="F1182" t="str">
            <v>being RI brokerage booked ; Insured: Comviva Technologies Limited and its Subsidiaries (Brokerage) - 1st installment; Cedant:MNK Re Ltd; Policy Period: 01.02.2023 to 31.01.2024</v>
          </cell>
          <cell r="G1182">
            <v>347355.42</v>
          </cell>
          <cell r="H1182">
            <v>52986.42</v>
          </cell>
          <cell r="I1182">
            <v>294369</v>
          </cell>
        </row>
        <row r="1183">
          <cell r="E1183" t="str">
            <v>GFT/23-24/35</v>
          </cell>
          <cell r="F1183" t="str">
            <v>being RI brokerage booked ; Insured: M/s. Manoli Trading and Industrial Company ; Cedant:Al Mashreq Insurance Company; Policy period : 01.01.2023 to 31.12.2023</v>
          </cell>
          <cell r="G1183">
            <v>27477</v>
          </cell>
          <cell r="I1183">
            <v>4</v>
          </cell>
        </row>
        <row r="1184">
          <cell r="E1184" t="str">
            <v>GFT/23-24/36</v>
          </cell>
          <cell r="F1184" t="str">
            <v>being RI brokerage booked ; Insured: M/s. Manoli Trading and Industrial Company Endt ; Cedant:Al Mashreq Insurance Company; Policy period : 01.01.2023 to 31.12.2023</v>
          </cell>
          <cell r="G1184">
            <v>1159</v>
          </cell>
          <cell r="I1184">
            <v>1159</v>
          </cell>
        </row>
        <row r="1185">
          <cell r="E1185" t="str">
            <v>GFT/23-24/37</v>
          </cell>
          <cell r="F1185" t="str">
            <v>being RI brokerage booked ; Insured: APIC Group - Medical Supplies &amp; Services (MSS) ; Cedant:Al Mashreq Insurance Company; Policy period : 01.02.2023 to 31.01.2024</v>
          </cell>
          <cell r="G1185">
            <v>28718</v>
          </cell>
          <cell r="I1185">
            <v>28718</v>
          </cell>
        </row>
        <row r="1186">
          <cell r="E1186" t="str">
            <v>GFT/23-24/38</v>
          </cell>
          <cell r="F1186" t="str">
            <v>being RI brokerage booked ; Insured: APIC Group - National Aluminum and Profiles Company; Cedant:Al Mashreq Insurance Company; Policy period : 01.02.2023 to 31.01.2024</v>
          </cell>
          <cell r="G1186">
            <v>18509</v>
          </cell>
          <cell r="I1186">
            <v>18509</v>
          </cell>
        </row>
        <row r="1187">
          <cell r="E1187" t="str">
            <v>MUM/23-24/467</v>
          </cell>
          <cell r="F1187" t="str">
            <v>being brokerage booked on insurance policies placed in May-23.</v>
          </cell>
          <cell r="G1187">
            <v>2274858.5099999998</v>
          </cell>
          <cell r="H1187">
            <v>347012.32</v>
          </cell>
          <cell r="I1187">
            <v>1927846.19</v>
          </cell>
        </row>
        <row r="1188">
          <cell r="E1188" t="str">
            <v>MUM/23-24/468</v>
          </cell>
          <cell r="F1188" t="str">
            <v>being RI brokerage booked; Insured:Tata Chemicals Ltd; Cedant: The New India Assurance Co. Ltd; Policy Period : 31.03.2023 to 30.03.2024</v>
          </cell>
          <cell r="G1188">
            <v>25733.439999999999</v>
          </cell>
          <cell r="H1188">
            <v>3925.44</v>
          </cell>
          <cell r="I1188">
            <v>21808</v>
          </cell>
        </row>
        <row r="1189">
          <cell r="E1189" t="str">
            <v>MUM/23-24/469</v>
          </cell>
          <cell r="F1189" t="str">
            <v>being RI brokerage booked USD 1600 @ 83 ; Insured:  Norp Knit Industries Limited;Cedant: Reliance Insurance Ltd; Period:07.04.23 to 06.04.24</v>
          </cell>
          <cell r="G1189">
            <v>156704</v>
          </cell>
          <cell r="H1189">
            <v>23904</v>
          </cell>
          <cell r="I1189">
            <v>132800</v>
          </cell>
        </row>
        <row r="1190">
          <cell r="E1190" t="str">
            <v>MUM/23-24/470</v>
          </cell>
          <cell r="F1190" t="str">
            <v>being RI brokerage booked  Insured: TATA SIA Airlines Ltd ;  Cedant: ICICI Lombard General Insurance Co Ltd ; Policy Period: 25.03.2023 to 24.03.2024</v>
          </cell>
          <cell r="G1190">
            <v>243902.46</v>
          </cell>
          <cell r="H1190">
            <v>37205.46</v>
          </cell>
          <cell r="I1190">
            <v>206697</v>
          </cell>
        </row>
        <row r="1191">
          <cell r="E1191" t="str">
            <v>MUM/23-24/471</v>
          </cell>
          <cell r="F1191" t="str">
            <v>being RI brokerage booked ; Cedant: Waica Reinsurance Corp PLC  ;  Insured: NIGERIAN NATIONAL PETROLEUM CORPORATION ; policy period:01.04.2023 to 01.04.2024</v>
          </cell>
          <cell r="G1191">
            <v>1213572.18</v>
          </cell>
          <cell r="H1191">
            <v>185121.18</v>
          </cell>
          <cell r="I1191">
            <v>1028451</v>
          </cell>
        </row>
        <row r="1192">
          <cell r="E1192" t="str">
            <v>GGN/23-24/315</v>
          </cell>
          <cell r="F1192" t="str">
            <v>being brokerage booked on insurance policies placed in Dec-22.</v>
          </cell>
          <cell r="G1192">
            <v>3292964.18</v>
          </cell>
          <cell r="H1192">
            <v>502316.57</v>
          </cell>
          <cell r="I1192">
            <v>2790647.61</v>
          </cell>
        </row>
        <row r="1193">
          <cell r="E1193" t="str">
            <v>MUM/23-24/472</v>
          </cell>
          <cell r="F1193" t="str">
            <v>being brokerage booked on insurance policies placed in May-23.</v>
          </cell>
          <cell r="G1193">
            <v>2244278.58</v>
          </cell>
          <cell r="H1193">
            <v>342347.58</v>
          </cell>
          <cell r="I1193">
            <v>1901931</v>
          </cell>
        </row>
        <row r="1194">
          <cell r="E1194" t="str">
            <v>MUM/23-24/473</v>
          </cell>
          <cell r="F1194" t="str">
            <v>being brokerage booked on insurance policies placed in May-23.</v>
          </cell>
          <cell r="G1194">
            <v>3131453.37</v>
          </cell>
          <cell r="H1194">
            <v>477679.32</v>
          </cell>
          <cell r="I1194">
            <v>2653774.0499999998</v>
          </cell>
        </row>
        <row r="1195">
          <cell r="E1195" t="str">
            <v>BLR/23-24/138</v>
          </cell>
          <cell r="F1195" t="str">
            <v>being brokerage booked on insurance policies placed in Jun-23.</v>
          </cell>
          <cell r="G1195">
            <v>5455.06</v>
          </cell>
          <cell r="H1195">
            <v>832.12</v>
          </cell>
          <cell r="I1195">
            <v>4622.9399999999996</v>
          </cell>
        </row>
        <row r="1196">
          <cell r="E1196" t="str">
            <v>BLR/23-24/139</v>
          </cell>
          <cell r="F1196" t="str">
            <v>being brokerage booked on insurance policies placed in Jun-23.</v>
          </cell>
          <cell r="G1196">
            <v>98916.46</v>
          </cell>
          <cell r="H1196">
            <v>15088.96</v>
          </cell>
          <cell r="I1196">
            <v>83827.5</v>
          </cell>
        </row>
        <row r="1197">
          <cell r="E1197" t="str">
            <v>BLR/23-24/140</v>
          </cell>
          <cell r="F1197" t="str">
            <v>being brokerage booked on insurance policies placed in Jun-23.</v>
          </cell>
          <cell r="G1197">
            <v>3477.54</v>
          </cell>
          <cell r="H1197">
            <v>530.48</v>
          </cell>
          <cell r="I1197">
            <v>2947.06</v>
          </cell>
        </row>
        <row r="1198">
          <cell r="E1198" t="str">
            <v>BLR/23-24/141</v>
          </cell>
          <cell r="F1198" t="str">
            <v>being brokerage booked on insurance policies placed in Jun-23.</v>
          </cell>
          <cell r="G1198">
            <v>153202.38</v>
          </cell>
          <cell r="H1198">
            <v>23369.86</v>
          </cell>
          <cell r="I1198">
            <v>129832.52</v>
          </cell>
        </row>
        <row r="1199">
          <cell r="E1199" t="str">
            <v>BLR/23-24/142</v>
          </cell>
          <cell r="F1199" t="str">
            <v>being brokerage booked on insurance policies placed in Jun-23.</v>
          </cell>
          <cell r="G1199">
            <v>583713.97</v>
          </cell>
          <cell r="H1199">
            <v>89041.12</v>
          </cell>
          <cell r="I1199">
            <v>494672.85</v>
          </cell>
        </row>
        <row r="1200">
          <cell r="E1200" t="str">
            <v>BLR/23-24/143</v>
          </cell>
          <cell r="F1200" t="str">
            <v>being brokerage booked on insurance policies placed in Jun-23.</v>
          </cell>
          <cell r="G1200">
            <v>24634.32</v>
          </cell>
          <cell r="H1200">
            <v>3757.78</v>
          </cell>
          <cell r="I1200">
            <v>20876.54</v>
          </cell>
        </row>
        <row r="1201">
          <cell r="E1201" t="str">
            <v>CHN/23-24/98</v>
          </cell>
          <cell r="F1201" t="str">
            <v>being brokerage booked on insurance policies placed in Jun-23.</v>
          </cell>
          <cell r="G1201">
            <v>919.31</v>
          </cell>
          <cell r="H1201">
            <v>140.24</v>
          </cell>
          <cell r="I1201">
            <v>779.07</v>
          </cell>
        </row>
        <row r="1202">
          <cell r="E1202" t="str">
            <v>CHN/23-24/99</v>
          </cell>
          <cell r="F1202" t="str">
            <v>being brokerage booked on insurance policies placed in Jun-23.</v>
          </cell>
          <cell r="G1202">
            <v>14862.52</v>
          </cell>
          <cell r="H1202">
            <v>2267.16</v>
          </cell>
          <cell r="I1202">
            <v>12595.36</v>
          </cell>
        </row>
        <row r="1203">
          <cell r="E1203" t="str">
            <v>CHN/23-24/100</v>
          </cell>
          <cell r="F1203" t="str">
            <v>being brokerage booked on insurance policies placed in Jun-23.</v>
          </cell>
          <cell r="G1203">
            <v>2351.89</v>
          </cell>
          <cell r="H1203">
            <v>358.76</v>
          </cell>
          <cell r="I1203">
            <v>1993.13</v>
          </cell>
        </row>
        <row r="1204">
          <cell r="E1204" t="str">
            <v>CHN/23-24/101</v>
          </cell>
          <cell r="F1204" t="str">
            <v>being brokerage booked on insurance policies placed in Jun-23.</v>
          </cell>
          <cell r="G1204">
            <v>164713.07</v>
          </cell>
          <cell r="H1204">
            <v>25125.72</v>
          </cell>
          <cell r="I1204">
            <v>139587.35</v>
          </cell>
        </row>
        <row r="1205">
          <cell r="E1205" t="str">
            <v>CHN/23-24/102</v>
          </cell>
          <cell r="F1205" t="str">
            <v>being brokerage booked on insurance policies placed in Jun-23.</v>
          </cell>
          <cell r="G1205">
            <v>6969.12</v>
          </cell>
          <cell r="H1205">
            <v>1063.08</v>
          </cell>
          <cell r="I1205">
            <v>5906.04</v>
          </cell>
        </row>
        <row r="1206">
          <cell r="E1206" t="str">
            <v>GGN/23-24/316</v>
          </cell>
          <cell r="F1206" t="str">
            <v>being brokerage booked on insurance policies placed in Jun-23.</v>
          </cell>
          <cell r="G1206">
            <v>250381.25</v>
          </cell>
          <cell r="H1206">
            <v>38193.75</v>
          </cell>
          <cell r="I1206">
            <v>212187.5</v>
          </cell>
        </row>
        <row r="1207">
          <cell r="E1207" t="str">
            <v>GGN/23-24/317</v>
          </cell>
          <cell r="F1207" t="str">
            <v>being brokerage booked on insurance policies placed in Jun-23.</v>
          </cell>
          <cell r="G1207">
            <v>296613.05</v>
          </cell>
          <cell r="H1207">
            <v>45246.06</v>
          </cell>
          <cell r="I1207">
            <v>251366.99</v>
          </cell>
        </row>
        <row r="1208">
          <cell r="E1208" t="str">
            <v>GGN/23-24/318</v>
          </cell>
          <cell r="F1208" t="str">
            <v>being brokerage booked on insurance policies placed in Jun-23.</v>
          </cell>
          <cell r="G1208">
            <v>2687.69</v>
          </cell>
          <cell r="H1208">
            <v>409.99</v>
          </cell>
          <cell r="I1208">
            <v>2277.6999999999998</v>
          </cell>
        </row>
        <row r="1209">
          <cell r="E1209" t="str">
            <v>GGN/23-24/319</v>
          </cell>
          <cell r="F1209" t="str">
            <v>being brokerage booked on insurance policies placed in Jun-23.</v>
          </cell>
          <cell r="G1209">
            <v>211.87</v>
          </cell>
          <cell r="H1209">
            <v>32.32</v>
          </cell>
          <cell r="I1209">
            <v>179.55</v>
          </cell>
        </row>
        <row r="1210">
          <cell r="E1210" t="str">
            <v>GGN/23-24/320</v>
          </cell>
          <cell r="F1210" t="str">
            <v>being brokerage booked on insurance policies placed in Jun-23.</v>
          </cell>
          <cell r="G1210">
            <v>16941.12</v>
          </cell>
          <cell r="H1210">
            <v>2584.2399999999998</v>
          </cell>
          <cell r="I1210">
            <v>14356.88</v>
          </cell>
        </row>
        <row r="1211">
          <cell r="E1211" t="str">
            <v>GGN/23-24/321</v>
          </cell>
          <cell r="F1211" t="str">
            <v>being brokerage booked on insurance policies placed in Jun-23.</v>
          </cell>
          <cell r="G1211">
            <v>10636.91</v>
          </cell>
          <cell r="H1211">
            <v>1622.58</v>
          </cell>
          <cell r="I1211">
            <v>9014.33</v>
          </cell>
        </row>
        <row r="1212">
          <cell r="E1212" t="str">
            <v>GGN/23-24/322</v>
          </cell>
          <cell r="F1212" t="str">
            <v>being brokerage booked on insurance policies placed in Jun-23.</v>
          </cell>
          <cell r="G1212">
            <v>21091.77</v>
          </cell>
          <cell r="H1212">
            <v>3217.39</v>
          </cell>
          <cell r="I1212">
            <v>17874.38</v>
          </cell>
        </row>
        <row r="1213">
          <cell r="E1213" t="str">
            <v>GGN/23-24/323</v>
          </cell>
          <cell r="F1213" t="str">
            <v>being brokerage booked on insurance policies placed in Jun-23.</v>
          </cell>
          <cell r="G1213">
            <v>1105307.82</v>
          </cell>
          <cell r="H1213">
            <v>168606.28</v>
          </cell>
          <cell r="I1213">
            <v>936701.54</v>
          </cell>
        </row>
        <row r="1214">
          <cell r="E1214" t="str">
            <v>GGN/23-24/324</v>
          </cell>
          <cell r="F1214" t="str">
            <v>being brokerage booked on insurance policies placed in Jun-23.</v>
          </cell>
          <cell r="G1214">
            <v>341211.2</v>
          </cell>
          <cell r="H1214">
            <v>52049.17</v>
          </cell>
          <cell r="I1214">
            <v>289162.03000000003</v>
          </cell>
        </row>
        <row r="1215">
          <cell r="E1215" t="str">
            <v>GGN/23-24/325</v>
          </cell>
          <cell r="F1215" t="str">
            <v>being brokerage booked on insurance policies placed in Jun-23.</v>
          </cell>
          <cell r="G1215">
            <v>1494.79</v>
          </cell>
          <cell r="H1215">
            <v>228.02</v>
          </cell>
          <cell r="I1215">
            <v>1266.77</v>
          </cell>
        </row>
        <row r="1216">
          <cell r="E1216" t="str">
            <v>HYD/23-24/59</v>
          </cell>
          <cell r="F1216" t="str">
            <v>being brokerage booked on insurance policies placed in Jun-23.</v>
          </cell>
          <cell r="G1216">
            <v>45.66</v>
          </cell>
          <cell r="H1216">
            <v>6.96</v>
          </cell>
          <cell r="I1216">
            <v>38.700000000000003</v>
          </cell>
        </row>
        <row r="1217">
          <cell r="E1217" t="str">
            <v>LUD/23-24/37</v>
          </cell>
          <cell r="F1217" t="str">
            <v>being brokerage booked on insurance policies placed in Jun-23.</v>
          </cell>
          <cell r="G1217">
            <v>21403.279999999999</v>
          </cell>
          <cell r="H1217">
            <v>3264.9</v>
          </cell>
          <cell r="I1217">
            <v>18138.38</v>
          </cell>
        </row>
        <row r="1218">
          <cell r="E1218" t="str">
            <v>MUM/23-24/474</v>
          </cell>
          <cell r="F1218" t="str">
            <v>being brokerage booked on insurance policies placed in Jun-23.</v>
          </cell>
          <cell r="G1218">
            <v>18804.77</v>
          </cell>
          <cell r="H1218">
            <v>2868.52</v>
          </cell>
          <cell r="I1218">
            <v>15936.25</v>
          </cell>
        </row>
        <row r="1219">
          <cell r="E1219" t="str">
            <v>MUM/23-24/475</v>
          </cell>
          <cell r="F1219" t="str">
            <v>being brokerage booked on insurance policies placed in Jun-23.</v>
          </cell>
          <cell r="G1219">
            <v>2708.09</v>
          </cell>
          <cell r="H1219">
            <v>413.1</v>
          </cell>
          <cell r="I1219">
            <v>2294.9899999999998</v>
          </cell>
        </row>
        <row r="1220">
          <cell r="E1220" t="str">
            <v>MUM/23-24/476</v>
          </cell>
          <cell r="F1220" t="str">
            <v>being brokerage booked on insurance policies placed in Jun-23.</v>
          </cell>
          <cell r="G1220">
            <v>690861.34</v>
          </cell>
          <cell r="H1220">
            <v>105385.62</v>
          </cell>
          <cell r="I1220">
            <v>585475.72</v>
          </cell>
        </row>
        <row r="1221">
          <cell r="E1221" t="str">
            <v>MUM/23-24/477</v>
          </cell>
          <cell r="F1221" t="str">
            <v>being brokerage booked on insurance policies placed in Jun-23.</v>
          </cell>
          <cell r="G1221">
            <v>72329.31</v>
          </cell>
          <cell r="H1221">
            <v>11033.28</v>
          </cell>
          <cell r="I1221">
            <v>61296.03</v>
          </cell>
        </row>
        <row r="1222">
          <cell r="E1222" t="str">
            <v>MUM/23-24/478</v>
          </cell>
          <cell r="F1222" t="str">
            <v>being brokerage booked on insurance policies placed in Jun-23.</v>
          </cell>
          <cell r="G1222">
            <v>317897.08</v>
          </cell>
          <cell r="H1222">
            <v>48492.78</v>
          </cell>
          <cell r="I1222">
            <v>269404.3</v>
          </cell>
        </row>
        <row r="1223">
          <cell r="E1223" t="str">
            <v>MUM/23-24/479</v>
          </cell>
          <cell r="F1223" t="str">
            <v>being brokerage booked on insurance policies placed in Jun-23.</v>
          </cell>
          <cell r="G1223">
            <v>6354.17</v>
          </cell>
          <cell r="H1223">
            <v>969.28</v>
          </cell>
          <cell r="I1223">
            <v>5384.89</v>
          </cell>
        </row>
        <row r="1224">
          <cell r="E1224" t="str">
            <v>MUM/23-24/480</v>
          </cell>
          <cell r="F1224" t="str">
            <v>being brokerage booked on insurance policies placed in Jun-23.</v>
          </cell>
          <cell r="G1224">
            <v>213.63</v>
          </cell>
          <cell r="H1224">
            <v>32.58</v>
          </cell>
          <cell r="I1224">
            <v>181.05</v>
          </cell>
        </row>
        <row r="1225">
          <cell r="E1225" t="str">
            <v>MUM/23-24/481</v>
          </cell>
          <cell r="F1225" t="str">
            <v>being brokerage booked on insurance policies placed in Jun-23.</v>
          </cell>
          <cell r="G1225">
            <v>464.68</v>
          </cell>
          <cell r="H1225">
            <v>70.88</v>
          </cell>
          <cell r="I1225">
            <v>393.8</v>
          </cell>
        </row>
        <row r="1226">
          <cell r="E1226" t="str">
            <v>MUM/23-24/482</v>
          </cell>
          <cell r="F1226" t="str">
            <v>being brokerage booked on insurance policies placed in Jun-23.</v>
          </cell>
          <cell r="G1226">
            <v>25547.87</v>
          </cell>
          <cell r="H1226">
            <v>3897.13</v>
          </cell>
          <cell r="I1226">
            <v>21650.74</v>
          </cell>
        </row>
        <row r="1227">
          <cell r="E1227" t="str">
            <v>MUM/23-24/483</v>
          </cell>
          <cell r="F1227" t="str">
            <v>being brokerage booked on insurance policies placed in Jun-23.</v>
          </cell>
          <cell r="G1227">
            <v>2062530.38</v>
          </cell>
          <cell r="H1227">
            <v>314623.28000000003</v>
          </cell>
          <cell r="I1227">
            <v>1747907.1</v>
          </cell>
        </row>
        <row r="1228">
          <cell r="E1228" t="str">
            <v>MUM/23-24/484</v>
          </cell>
          <cell r="F1228" t="str">
            <v>being brokerage booked on insurance policies placed in Jun-23.</v>
          </cell>
          <cell r="G1228">
            <v>143812.5</v>
          </cell>
          <cell r="H1228">
            <v>21937.5</v>
          </cell>
          <cell r="I1228">
            <v>121875</v>
          </cell>
        </row>
        <row r="1229">
          <cell r="E1229" t="str">
            <v>MUM/23-24/485</v>
          </cell>
          <cell r="F1229" t="str">
            <v>being brokerage booked on insurance policies placed in Jun-23.</v>
          </cell>
          <cell r="G1229">
            <v>555115.36</v>
          </cell>
          <cell r="H1229">
            <v>84678.62</v>
          </cell>
          <cell r="I1229">
            <v>470436.74</v>
          </cell>
        </row>
        <row r="1230">
          <cell r="E1230" t="str">
            <v>MUM/23-24/486</v>
          </cell>
          <cell r="F1230" t="str">
            <v>being brokerage booked on insurance policies placed in Jun-23.</v>
          </cell>
          <cell r="G1230">
            <v>177000</v>
          </cell>
          <cell r="H1230">
            <v>27000</v>
          </cell>
          <cell r="I1230">
            <v>150000</v>
          </cell>
        </row>
        <row r="1231">
          <cell r="E1231" t="str">
            <v>MUM/23-24/487</v>
          </cell>
          <cell r="F1231" t="str">
            <v>being brokerage booked on insurance policies placed in Jun-23.</v>
          </cell>
          <cell r="G1231">
            <v>7558651.9299999997</v>
          </cell>
          <cell r="H1231">
            <v>1153014.7</v>
          </cell>
          <cell r="I1231">
            <v>6405637.2300000004</v>
          </cell>
        </row>
        <row r="1232">
          <cell r="E1232" t="str">
            <v>MUM/23-24/488</v>
          </cell>
          <cell r="F1232" t="str">
            <v>being brokerage booked on insurance policies placed in Jun-23.</v>
          </cell>
          <cell r="G1232">
            <v>82373.98</v>
          </cell>
          <cell r="H1232">
            <v>12565.52</v>
          </cell>
          <cell r="I1232">
            <v>69808.460000000006</v>
          </cell>
        </row>
        <row r="1233">
          <cell r="E1233" t="str">
            <v>PUN/23-24/40</v>
          </cell>
          <cell r="F1233" t="str">
            <v>being brokerage booked on insurance policies placed in Jun-23.</v>
          </cell>
          <cell r="G1233">
            <v>39265.279999999999</v>
          </cell>
          <cell r="H1233">
            <v>5989.62</v>
          </cell>
          <cell r="I1233">
            <v>33275.660000000003</v>
          </cell>
        </row>
        <row r="1234">
          <cell r="E1234" t="str">
            <v>PUN/23-24/41</v>
          </cell>
          <cell r="F1234" t="str">
            <v>being brokerage booked on insurance policies placed in Jun-23.</v>
          </cell>
          <cell r="G1234">
            <v>859.04</v>
          </cell>
          <cell r="H1234">
            <v>131.04</v>
          </cell>
          <cell r="I1234">
            <v>728</v>
          </cell>
        </row>
        <row r="1235">
          <cell r="E1235" t="str">
            <v>BLR/23-24/144</v>
          </cell>
          <cell r="F1235" t="str">
            <v>being brokerage booked on insurance policies placed in Jun-23.</v>
          </cell>
          <cell r="G1235">
            <v>2009.3</v>
          </cell>
          <cell r="H1235">
            <v>306.5</v>
          </cell>
          <cell r="I1235">
            <v>1702.8</v>
          </cell>
        </row>
        <row r="1236">
          <cell r="E1236" t="str">
            <v>BLR/23-24/145</v>
          </cell>
          <cell r="F1236" t="str">
            <v>being brokerage booked on insurance policies placed in Jun-23.</v>
          </cell>
          <cell r="G1236">
            <v>14247.36</v>
          </cell>
          <cell r="H1236">
            <v>2173.3200000000002</v>
          </cell>
          <cell r="I1236">
            <v>12074.04</v>
          </cell>
        </row>
        <row r="1237">
          <cell r="E1237" t="str">
            <v>BLR/23-24/146</v>
          </cell>
          <cell r="F1237" t="str">
            <v>being brokerage booked on insurance policies placed in Jun-23.</v>
          </cell>
          <cell r="G1237">
            <v>22592.16</v>
          </cell>
          <cell r="H1237">
            <v>3446.26</v>
          </cell>
          <cell r="I1237">
            <v>19145.900000000001</v>
          </cell>
        </row>
        <row r="1238">
          <cell r="E1238" t="str">
            <v>BLR/23-24/147</v>
          </cell>
          <cell r="F1238" t="str">
            <v>being brokerage booked on insurance policies placed in Jun-23.</v>
          </cell>
          <cell r="G1238">
            <v>183425.67</v>
          </cell>
          <cell r="H1238">
            <v>27980.18</v>
          </cell>
          <cell r="I1238">
            <v>155445.49</v>
          </cell>
        </row>
        <row r="1239">
          <cell r="E1239" t="str">
            <v>BLR/23-24/148</v>
          </cell>
          <cell r="F1239" t="str">
            <v>being brokerage booked on insurance policies placed in Jun-23.</v>
          </cell>
          <cell r="G1239">
            <v>4301.1000000000004</v>
          </cell>
          <cell r="H1239">
            <v>656.1</v>
          </cell>
          <cell r="I1239">
            <v>3645</v>
          </cell>
        </row>
        <row r="1240">
          <cell r="E1240" t="str">
            <v>CHN/23-24/103</v>
          </cell>
          <cell r="F1240" t="str">
            <v>being brokerage booked on insurance policies placed in Jun-23.</v>
          </cell>
          <cell r="G1240">
            <v>7178.23</v>
          </cell>
          <cell r="H1240">
            <v>1094.98</v>
          </cell>
          <cell r="I1240">
            <v>6083.25</v>
          </cell>
        </row>
        <row r="1241">
          <cell r="E1241" t="str">
            <v>CHN/23-24/104</v>
          </cell>
          <cell r="F1241" t="str">
            <v>being brokerage booked on insurance policies placed in Jun-23.</v>
          </cell>
          <cell r="G1241">
            <v>20640.03</v>
          </cell>
          <cell r="H1241">
            <v>3148.48</v>
          </cell>
          <cell r="I1241">
            <v>17491.55</v>
          </cell>
        </row>
        <row r="1242">
          <cell r="E1242" t="str">
            <v>CHN/23-24/105</v>
          </cell>
          <cell r="F1242" t="str">
            <v>being brokerage booked on insurance policies placed in Jun-23.</v>
          </cell>
          <cell r="G1242">
            <v>26812.01</v>
          </cell>
          <cell r="H1242">
            <v>4089.96</v>
          </cell>
          <cell r="I1242">
            <v>22722.05</v>
          </cell>
        </row>
        <row r="1243">
          <cell r="E1243" t="str">
            <v>GGN/23-24/326</v>
          </cell>
          <cell r="F1243" t="str">
            <v>being brokerage booked on insurance policies placed in Jun-23.</v>
          </cell>
          <cell r="G1243">
            <v>136</v>
          </cell>
          <cell r="H1243">
            <v>20.75</v>
          </cell>
          <cell r="I1243">
            <v>115.25</v>
          </cell>
        </row>
        <row r="1244">
          <cell r="E1244" t="str">
            <v>GGN/23-24/327</v>
          </cell>
          <cell r="F1244" t="str">
            <v>being brokerage booked on insurance policies placed in State and District: Assam - Bajali. Rabi 2022-23.</v>
          </cell>
          <cell r="G1244">
            <v>35706.730000000003</v>
          </cell>
          <cell r="H1244">
            <v>5446.79</v>
          </cell>
          <cell r="I1244">
            <v>30259.94</v>
          </cell>
        </row>
        <row r="1245">
          <cell r="E1245" t="str">
            <v>GGN/23-24/328</v>
          </cell>
          <cell r="F1245" t="str">
            <v>being brokerage booked on insurance policies placed in State and District: Uttarakhand - Nainital. Rabi 2022-23.</v>
          </cell>
          <cell r="G1245">
            <v>8108.82</v>
          </cell>
          <cell r="H1245">
            <v>1236.94</v>
          </cell>
          <cell r="I1245">
            <v>6871.88</v>
          </cell>
        </row>
        <row r="1246">
          <cell r="E1246" t="str">
            <v>GGN/23-24/329</v>
          </cell>
          <cell r="F1246" t="str">
            <v>being brokerage booked on insurance policies placed in Jun-23.</v>
          </cell>
          <cell r="G1246">
            <v>8580.56</v>
          </cell>
          <cell r="H1246">
            <v>1308.9000000000001</v>
          </cell>
          <cell r="I1246">
            <v>7271.66</v>
          </cell>
        </row>
        <row r="1247">
          <cell r="E1247" t="str">
            <v>GGN/23-24/330</v>
          </cell>
          <cell r="F1247" t="str">
            <v>being brokerage booked on insurance policies placed in Jun-23.</v>
          </cell>
          <cell r="G1247">
            <v>17257.5</v>
          </cell>
          <cell r="H1247">
            <v>2632.5</v>
          </cell>
          <cell r="I1247">
            <v>14625</v>
          </cell>
        </row>
        <row r="1248">
          <cell r="E1248" t="str">
            <v>GGN/23-24/331</v>
          </cell>
          <cell r="F1248" t="str">
            <v>being brokerage booked on insurance policies placed in Jun-23.</v>
          </cell>
          <cell r="G1248">
            <v>39601.54</v>
          </cell>
          <cell r="H1248">
            <v>6040.91</v>
          </cell>
          <cell r="I1248">
            <v>33560.629999999997</v>
          </cell>
        </row>
        <row r="1249">
          <cell r="E1249" t="str">
            <v>GGN/23-24/332</v>
          </cell>
          <cell r="F1249" t="str">
            <v>being brokerage booked on insurance policies placed in Jun-23.</v>
          </cell>
          <cell r="G1249">
            <v>133401.94</v>
          </cell>
          <cell r="H1249">
            <v>20349.45</v>
          </cell>
          <cell r="I1249">
            <v>113052.49</v>
          </cell>
        </row>
        <row r="1250">
          <cell r="E1250" t="str">
            <v>GGN/23-24/333</v>
          </cell>
          <cell r="F1250" t="str">
            <v>being brokerage booked on insurance policies placed in Jun-23</v>
          </cell>
          <cell r="G1250">
            <v>155751.5</v>
          </cell>
          <cell r="H1250">
            <v>23758.7</v>
          </cell>
          <cell r="I1250">
            <v>131992.79999999999</v>
          </cell>
        </row>
        <row r="1251">
          <cell r="E1251" t="str">
            <v>GGN/23-24/334</v>
          </cell>
          <cell r="F1251" t="str">
            <v>being brokerage booked on insurance policies placed in Jun-23.</v>
          </cell>
          <cell r="G1251">
            <v>191601.07</v>
          </cell>
          <cell r="H1251">
            <v>29227.279999999999</v>
          </cell>
          <cell r="I1251">
            <v>162373.79</v>
          </cell>
        </row>
        <row r="1252">
          <cell r="E1252" t="str">
            <v>MUM/23-24/489</v>
          </cell>
          <cell r="F1252" t="str">
            <v>being brokerage booked on insurance policies placed in Jun-23.</v>
          </cell>
          <cell r="G1252">
            <v>2011.13</v>
          </cell>
          <cell r="H1252">
            <v>306.77999999999997</v>
          </cell>
          <cell r="I1252">
            <v>1704.35</v>
          </cell>
        </row>
        <row r="1253">
          <cell r="E1253" t="str">
            <v>MUM/23-24/490</v>
          </cell>
          <cell r="F1253" t="str">
            <v>being brokerage booked on insurance policies placed in Jun-23.</v>
          </cell>
          <cell r="G1253">
            <v>3421090.56</v>
          </cell>
          <cell r="H1253">
            <v>521861.28</v>
          </cell>
          <cell r="I1253">
            <v>2899229.28</v>
          </cell>
        </row>
        <row r="1254">
          <cell r="E1254" t="str">
            <v>MUM/23-24/491</v>
          </cell>
          <cell r="F1254" t="str">
            <v>being reward booked on insurance policies placed in Jun-23.</v>
          </cell>
          <cell r="G1254">
            <v>670991.44999999995</v>
          </cell>
          <cell r="H1254">
            <v>102354.62</v>
          </cell>
          <cell r="I1254">
            <v>568636.82999999996</v>
          </cell>
        </row>
        <row r="1255">
          <cell r="E1255" t="str">
            <v>MUM/23-24/492</v>
          </cell>
          <cell r="F1255" t="str">
            <v>being brokerage booked on insurance policies placed in Jun-23.</v>
          </cell>
          <cell r="G1255">
            <v>11830.39</v>
          </cell>
          <cell r="H1255">
            <v>1804.64</v>
          </cell>
          <cell r="I1255">
            <v>10025.75</v>
          </cell>
        </row>
        <row r="1256">
          <cell r="E1256" t="str">
            <v>MUM/23-24/493</v>
          </cell>
          <cell r="F1256" t="str">
            <v>being brokerage booked on insurance policies placed in Jun-23</v>
          </cell>
          <cell r="G1256">
            <v>6097.06</v>
          </cell>
          <cell r="H1256">
            <v>930.06</v>
          </cell>
          <cell r="I1256">
            <v>5167</v>
          </cell>
        </row>
        <row r="1257">
          <cell r="E1257" t="str">
            <v>MUM/23-24/494</v>
          </cell>
          <cell r="F1257" t="str">
            <v>being brokerage booked on insurance policies placed in Jun-23.</v>
          </cell>
          <cell r="G1257">
            <v>147500</v>
          </cell>
          <cell r="H1257">
            <v>22500</v>
          </cell>
          <cell r="I1257">
            <v>125000</v>
          </cell>
        </row>
        <row r="1258">
          <cell r="E1258" t="str">
            <v>MUM/23-24/495</v>
          </cell>
          <cell r="F1258" t="str">
            <v>being brokerage booked on insurance policies placed in Jun-23.</v>
          </cell>
          <cell r="G1258">
            <v>253523.01</v>
          </cell>
          <cell r="H1258">
            <v>38673</v>
          </cell>
          <cell r="I1258">
            <v>214850.01</v>
          </cell>
        </row>
        <row r="1259">
          <cell r="E1259" t="str">
            <v>MUM/23-24/496</v>
          </cell>
          <cell r="F1259" t="str">
            <v>being brokerage booked on insurance policies placed in Jun-23.</v>
          </cell>
          <cell r="G1259">
            <v>618.27</v>
          </cell>
          <cell r="H1259">
            <v>94.32</v>
          </cell>
          <cell r="I1259">
            <v>523.95000000000005</v>
          </cell>
        </row>
        <row r="1260">
          <cell r="E1260" t="str">
            <v>MUM/23-24/497</v>
          </cell>
          <cell r="F1260" t="str">
            <v>being brokerage booked on insurance policies placed in Jun-23.</v>
          </cell>
          <cell r="G1260">
            <v>6434.55</v>
          </cell>
          <cell r="H1260">
            <v>981.54</v>
          </cell>
          <cell r="I1260">
            <v>5453.01</v>
          </cell>
        </row>
        <row r="1261">
          <cell r="E1261" t="str">
            <v>MUM/23-24/498</v>
          </cell>
          <cell r="F1261" t="str">
            <v>Being brokerage booked on insurance policies placed in Jun-23.</v>
          </cell>
          <cell r="G1261">
            <v>87464013.099999994</v>
          </cell>
          <cell r="H1261">
            <v>13341968.1</v>
          </cell>
          <cell r="I1261">
            <v>74122045</v>
          </cell>
        </row>
        <row r="1262">
          <cell r="E1262" t="str">
            <v>PUN/23-24/42</v>
          </cell>
          <cell r="F1262" t="str">
            <v>being brokerage booked on insurance policies placed in Jun-23.</v>
          </cell>
          <cell r="G1262">
            <v>64448.73</v>
          </cell>
          <cell r="H1262">
            <v>9831.16</v>
          </cell>
          <cell r="I1262">
            <v>54617.57</v>
          </cell>
        </row>
        <row r="1263">
          <cell r="E1263" t="str">
            <v>PUN/23-24/43</v>
          </cell>
          <cell r="F1263" t="str">
            <v>being brokerage booked on insurance policies placed in Jun-23.</v>
          </cell>
          <cell r="G1263">
            <v>10116.14</v>
          </cell>
          <cell r="H1263">
            <v>1543.14</v>
          </cell>
          <cell r="I1263">
            <v>8573</v>
          </cell>
        </row>
        <row r="1264">
          <cell r="E1264" t="str">
            <v>BLR/23-24/149</v>
          </cell>
          <cell r="F1264" t="str">
            <v>being brokerage booked on insurance policies placed in Jun-23.</v>
          </cell>
          <cell r="G1264">
            <v>1847516.56</v>
          </cell>
          <cell r="H1264">
            <v>281824.56</v>
          </cell>
          <cell r="I1264">
            <v>1565692</v>
          </cell>
        </row>
        <row r="1265">
          <cell r="E1265" t="str">
            <v>BLR/23-24/150</v>
          </cell>
          <cell r="F1265" t="str">
            <v>being brokerage booked on insurance policies placed in Jun-23. (Whether the Tax is payable on reverse charge basis: NO).</v>
          </cell>
          <cell r="G1265">
            <v>1285818.6399999999</v>
          </cell>
          <cell r="H1265">
            <v>196141.82</v>
          </cell>
          <cell r="I1265">
            <v>1089676.82</v>
          </cell>
        </row>
        <row r="1266">
          <cell r="E1266" t="str">
            <v>BLR/23-24/151</v>
          </cell>
          <cell r="F1266" t="str">
            <v>being brokerage booked on insurance policies placed in Jun-23.</v>
          </cell>
          <cell r="G1266">
            <v>89.95</v>
          </cell>
          <cell r="H1266">
            <v>13.72</v>
          </cell>
          <cell r="I1266">
            <v>76.23</v>
          </cell>
        </row>
        <row r="1267">
          <cell r="E1267" t="str">
            <v>BLR/23-24/152</v>
          </cell>
          <cell r="F1267" t="str">
            <v>being brokerage booked on insurance policies placed in Jun-23.</v>
          </cell>
          <cell r="G1267">
            <v>24544.37</v>
          </cell>
          <cell r="H1267">
            <v>3744.06</v>
          </cell>
          <cell r="I1267">
            <v>20800.310000000001</v>
          </cell>
        </row>
        <row r="1268">
          <cell r="E1268" t="str">
            <v>CHN/23-24/106</v>
          </cell>
          <cell r="F1268" t="str">
            <v>being brokerage booked on insurance policies placed in Jun-23.</v>
          </cell>
          <cell r="G1268">
            <v>196237.54</v>
          </cell>
          <cell r="H1268">
            <v>29934.54</v>
          </cell>
          <cell r="I1268">
            <v>166303</v>
          </cell>
        </row>
        <row r="1269">
          <cell r="E1269" t="str">
            <v>CHN/23-24/107</v>
          </cell>
          <cell r="F1269" t="str">
            <v>being brokerage booked on insurance policies placed in Jun-23. (Whether the Tax is payable on reverse charge basis: NO).</v>
          </cell>
          <cell r="G1269">
            <v>146300.23000000001</v>
          </cell>
          <cell r="H1269">
            <v>22316.98</v>
          </cell>
          <cell r="I1269">
            <v>123983.25</v>
          </cell>
        </row>
        <row r="1270">
          <cell r="E1270" t="str">
            <v>GGN/23-24/335</v>
          </cell>
          <cell r="F1270" t="str">
            <v>being brokerage booked on insurance policies placed in Jun-23.</v>
          </cell>
          <cell r="G1270">
            <v>469430.08</v>
          </cell>
          <cell r="H1270">
            <v>71607.98</v>
          </cell>
          <cell r="I1270">
            <v>397822.1</v>
          </cell>
        </row>
        <row r="1271">
          <cell r="E1271" t="str">
            <v>GGN/23-24/336</v>
          </cell>
          <cell r="F1271" t="str">
            <v>being brokerage booked on insurance policies placed in Jun-23.</v>
          </cell>
          <cell r="G1271">
            <v>2481.6799999999998</v>
          </cell>
          <cell r="H1271">
            <v>378.56</v>
          </cell>
          <cell r="I1271">
            <v>2103.12</v>
          </cell>
        </row>
        <row r="1272">
          <cell r="E1272" t="str">
            <v>GGN/23-24/337</v>
          </cell>
          <cell r="F1272" t="str">
            <v>being brokerage booked on insurance policies placed in Jun-23.</v>
          </cell>
          <cell r="G1272">
            <v>11254.72</v>
          </cell>
          <cell r="H1272">
            <v>1716.82</v>
          </cell>
          <cell r="I1272">
            <v>9537.9</v>
          </cell>
        </row>
        <row r="1273">
          <cell r="E1273" t="str">
            <v>GGN/23-24/338</v>
          </cell>
          <cell r="F1273" t="str">
            <v>being brokerage booked on insurance policies placed in Jun-23. (Whether the Tax is payable on reverse charge basis: NO).</v>
          </cell>
          <cell r="G1273">
            <v>2763251.89</v>
          </cell>
          <cell r="H1273">
            <v>421513</v>
          </cell>
          <cell r="I1273">
            <v>2341738.89</v>
          </cell>
        </row>
        <row r="1274">
          <cell r="E1274" t="str">
            <v>GGN/23-24/339</v>
          </cell>
          <cell r="F1274" t="str">
            <v>being brokerage booked on insurance policies placed in Jun-23. (Whether the Tax is payable on reverse charge basis: NO).</v>
          </cell>
          <cell r="G1274">
            <v>27938.22</v>
          </cell>
          <cell r="H1274">
            <v>4261.76</v>
          </cell>
          <cell r="I1274">
            <v>23676.46</v>
          </cell>
        </row>
        <row r="1275">
          <cell r="E1275" t="str">
            <v>GGN/23-24/340</v>
          </cell>
          <cell r="F1275" t="str">
            <v>being brokerage booked on insurance policies placed in Jun-23.</v>
          </cell>
          <cell r="G1275">
            <v>576091.34</v>
          </cell>
          <cell r="H1275">
            <v>87878.34</v>
          </cell>
          <cell r="I1275">
            <v>488213</v>
          </cell>
        </row>
        <row r="1276">
          <cell r="E1276" t="str">
            <v>HYD/23-24/60</v>
          </cell>
          <cell r="F1276" t="str">
            <v>being brokerage booked on insurance policies placed in Jun-23.</v>
          </cell>
          <cell r="G1276">
            <v>1233.0999999999999</v>
          </cell>
          <cell r="H1276">
            <v>188.1</v>
          </cell>
          <cell r="I1276">
            <v>1045</v>
          </cell>
        </row>
        <row r="1277">
          <cell r="E1277" t="str">
            <v>HYD/23-24/61</v>
          </cell>
          <cell r="F1277" t="str">
            <v xml:space="preserve">being brokerage booked on insurance policies placed in Jun-23. (Whether the Tax is payable on reverse charge basis: NO)._x000D_
</v>
          </cell>
          <cell r="G1277">
            <v>349973.67</v>
          </cell>
          <cell r="H1277">
            <v>53385.82</v>
          </cell>
          <cell r="I1277">
            <v>296587.84999999998</v>
          </cell>
        </row>
        <row r="1278">
          <cell r="E1278" t="str">
            <v>MUM/23-24/499</v>
          </cell>
          <cell r="F1278" t="str">
            <v>being brokerage booked on insurance policies placed in Jun-23.</v>
          </cell>
          <cell r="G1278">
            <v>2010866.75</v>
          </cell>
          <cell r="H1278">
            <v>306742.38</v>
          </cell>
          <cell r="I1278">
            <v>1704124.37</v>
          </cell>
        </row>
        <row r="1279">
          <cell r="E1279" t="str">
            <v>MUM/23-24/500</v>
          </cell>
          <cell r="F1279" t="str">
            <v>being brokerage booked on insurance policies placed in Jun-23.</v>
          </cell>
          <cell r="G1279">
            <v>378435.49</v>
          </cell>
          <cell r="H1279">
            <v>57727.44</v>
          </cell>
          <cell r="I1279">
            <v>320708.05</v>
          </cell>
        </row>
        <row r="1280">
          <cell r="E1280" t="str">
            <v>MUM/23-24/501</v>
          </cell>
          <cell r="F1280" t="str">
            <v>being brokerage booked on insurance policies placed in Jun-23.</v>
          </cell>
          <cell r="G1280">
            <v>3865.6</v>
          </cell>
          <cell r="H1280">
            <v>589.66999999999996</v>
          </cell>
          <cell r="I1280">
            <v>3275.93</v>
          </cell>
        </row>
        <row r="1281">
          <cell r="E1281" t="str">
            <v>MUM/23-24/504</v>
          </cell>
          <cell r="F1281" t="str">
            <v>being brokerage booked on insurance policies placed in Feb &amp; Mar-23.</v>
          </cell>
          <cell r="G1281">
            <v>973912.77</v>
          </cell>
          <cell r="H1281">
            <v>148562.96</v>
          </cell>
          <cell r="I1281">
            <v>825349.81</v>
          </cell>
        </row>
        <row r="1282">
          <cell r="E1282" t="str">
            <v>MUM/23-24/505</v>
          </cell>
          <cell r="F1282" t="str">
            <v>being brokerage booked on insurance policies placed in Jun-23.</v>
          </cell>
          <cell r="G1282">
            <v>11184.96</v>
          </cell>
          <cell r="H1282">
            <v>1706.18</v>
          </cell>
          <cell r="I1282">
            <v>9478.7800000000007</v>
          </cell>
        </row>
        <row r="1283">
          <cell r="E1283" t="str">
            <v>MUM/23-24/506</v>
          </cell>
          <cell r="F1283" t="str">
            <v>being brokerage booked on insurance policies placed in Jun-23.</v>
          </cell>
          <cell r="G1283">
            <v>1248.75</v>
          </cell>
          <cell r="H1283">
            <v>190.48</v>
          </cell>
          <cell r="I1283">
            <v>1058.27</v>
          </cell>
        </row>
        <row r="1284">
          <cell r="E1284" t="str">
            <v>MUM/23-24/507</v>
          </cell>
          <cell r="F1284" t="str">
            <v>being brokerage booked on insurance policies placed in Feb-23.</v>
          </cell>
          <cell r="G1284">
            <v>1106951.99</v>
          </cell>
          <cell r="H1284">
            <v>168857.08</v>
          </cell>
          <cell r="I1284">
            <v>938094.91</v>
          </cell>
        </row>
        <row r="1285">
          <cell r="E1285" t="str">
            <v>MUM/23-24/508</v>
          </cell>
          <cell r="F1285" t="str">
            <v>being brokerage booked on insurance policies placed in Jun-23. (Whether the Tax is payable on reverse charge basis: NO).</v>
          </cell>
          <cell r="G1285">
            <v>702285.78</v>
          </cell>
          <cell r="H1285">
            <v>107128.34</v>
          </cell>
          <cell r="I1285">
            <v>595157.43999999994</v>
          </cell>
        </row>
        <row r="1286">
          <cell r="E1286" t="str">
            <v>BLR/23-24/153</v>
          </cell>
          <cell r="F1286" t="str">
            <v>being brokerage booked on insurance policies placed in Jun-23.</v>
          </cell>
          <cell r="G1286">
            <v>819.71</v>
          </cell>
          <cell r="H1286">
            <v>125.04</v>
          </cell>
          <cell r="I1286">
            <v>694.67</v>
          </cell>
        </row>
        <row r="1287">
          <cell r="E1287" t="str">
            <v>BLR/23-24/154</v>
          </cell>
          <cell r="F1287" t="str">
            <v>being brokerage booked on insurance policies placed in Jun-23.</v>
          </cell>
          <cell r="G1287">
            <v>1268230.54</v>
          </cell>
          <cell r="H1287">
            <v>193458.9</v>
          </cell>
          <cell r="I1287">
            <v>1074771.6399999999</v>
          </cell>
        </row>
        <row r="1288">
          <cell r="E1288" t="str">
            <v>CHN/23-24/108</v>
          </cell>
          <cell r="F1288" t="str">
            <v>being brokerage booked on insurance policies placed in Jun-23.</v>
          </cell>
          <cell r="G1288">
            <v>767.84</v>
          </cell>
          <cell r="H1288">
            <v>117.12</v>
          </cell>
          <cell r="I1288">
            <v>650.72</v>
          </cell>
        </row>
        <row r="1289">
          <cell r="E1289" t="str">
            <v>GGN/23-24/341</v>
          </cell>
          <cell r="F1289" t="str">
            <v>being brokerage booked on insurance policies placed in Jun-23.</v>
          </cell>
          <cell r="G1289">
            <v>49860.37</v>
          </cell>
          <cell r="H1289">
            <v>7605.82</v>
          </cell>
          <cell r="I1289">
            <v>42254.55</v>
          </cell>
        </row>
        <row r="1290">
          <cell r="E1290" t="str">
            <v>GGN/23-24/342</v>
          </cell>
          <cell r="F1290" t="str">
            <v>being brokerage booked on insurance policies placed in Jun-23.</v>
          </cell>
          <cell r="G1290">
            <v>67357.210000000006</v>
          </cell>
          <cell r="H1290">
            <v>10274.83</v>
          </cell>
          <cell r="I1290">
            <v>57082.38</v>
          </cell>
        </row>
        <row r="1291">
          <cell r="E1291" t="str">
            <v>GGN/23-24/343</v>
          </cell>
          <cell r="F1291" t="str">
            <v>being brokerage booked on insurance policies placed in Jun-23.</v>
          </cell>
          <cell r="G1291">
            <v>203941</v>
          </cell>
          <cell r="H1291">
            <v>31109.64</v>
          </cell>
          <cell r="I1291">
            <v>172831.35999999999</v>
          </cell>
        </row>
        <row r="1292">
          <cell r="E1292" t="str">
            <v>GGN/23-24/344</v>
          </cell>
          <cell r="F1292" t="str">
            <v>being brokerage booked on insurance policies placed in Jun-23.</v>
          </cell>
          <cell r="G1292">
            <v>936.15</v>
          </cell>
          <cell r="H1292">
            <v>142.80000000000001</v>
          </cell>
          <cell r="I1292">
            <v>793.35</v>
          </cell>
        </row>
        <row r="1293">
          <cell r="E1293" t="str">
            <v>GGN/23-24/345</v>
          </cell>
          <cell r="F1293" t="str">
            <v>being brokerage booked on insurance policies placed in Jun-23.</v>
          </cell>
          <cell r="G1293">
            <v>12582.81</v>
          </cell>
          <cell r="H1293">
            <v>1919.42</v>
          </cell>
          <cell r="I1293">
            <v>10663.39</v>
          </cell>
        </row>
        <row r="1294">
          <cell r="E1294" t="str">
            <v>GGN/23-24/346</v>
          </cell>
          <cell r="F1294" t="str">
            <v>being brokerage booked on insurance policies placed in Jun-23.</v>
          </cell>
          <cell r="G1294">
            <v>2210255.0099999998</v>
          </cell>
          <cell r="H1294">
            <v>337157.54</v>
          </cell>
          <cell r="I1294">
            <v>1873097.47</v>
          </cell>
        </row>
        <row r="1295">
          <cell r="E1295" t="str">
            <v>GGN/23-24/347</v>
          </cell>
          <cell r="F1295" t="str">
            <v>being brokerage booked on insurance policies placed in Jun-23.</v>
          </cell>
          <cell r="G1295">
            <v>5.4</v>
          </cell>
          <cell r="H1295">
            <v>0.82</v>
          </cell>
          <cell r="I1295">
            <v>4.58</v>
          </cell>
        </row>
        <row r="1296">
          <cell r="E1296" t="str">
            <v>MUM/23-24/509</v>
          </cell>
          <cell r="F1296" t="str">
            <v>being brokerage booked on insurance policies placed in Jun-23.</v>
          </cell>
          <cell r="G1296">
            <v>41048.49</v>
          </cell>
          <cell r="H1296">
            <v>6261.64</v>
          </cell>
          <cell r="I1296">
            <v>34786.85</v>
          </cell>
        </row>
        <row r="1297">
          <cell r="E1297" t="str">
            <v>MUM/23-24/510</v>
          </cell>
          <cell r="F1297" t="str">
            <v>being brokerage booked on insurance policies placed in Jun-23.</v>
          </cell>
          <cell r="G1297">
            <v>549515.35</v>
          </cell>
          <cell r="H1297">
            <v>83824.38</v>
          </cell>
          <cell r="I1297">
            <v>465690.97</v>
          </cell>
        </row>
        <row r="1298">
          <cell r="E1298" t="str">
            <v>MUM/23-24/511</v>
          </cell>
          <cell r="F1298" t="str">
            <v>being brokerage booked on insurance policies placed in Jun-23.</v>
          </cell>
          <cell r="G1298">
            <v>18532.39</v>
          </cell>
          <cell r="H1298">
            <v>2826.98</v>
          </cell>
          <cell r="I1298">
            <v>15705.41</v>
          </cell>
        </row>
        <row r="1299">
          <cell r="E1299" t="str">
            <v>MUM/23-24/512</v>
          </cell>
          <cell r="F1299" t="str">
            <v>being brokerage booked on insurance policies placed in Jun-23.</v>
          </cell>
          <cell r="G1299">
            <v>232468.1</v>
          </cell>
          <cell r="H1299">
            <v>35461.24</v>
          </cell>
          <cell r="I1299">
            <v>197006.86</v>
          </cell>
        </row>
        <row r="1300">
          <cell r="E1300" t="str">
            <v>BLR/23-24/155</v>
          </cell>
          <cell r="F1300" t="str">
            <v>being brokerage booked on insurance policies placed in Jun-23.</v>
          </cell>
          <cell r="G1300">
            <v>1164039.29</v>
          </cell>
          <cell r="H1300">
            <v>177565.32</v>
          </cell>
          <cell r="I1300">
            <v>986473.97</v>
          </cell>
        </row>
        <row r="1301">
          <cell r="E1301" t="str">
            <v>CHN/23-24/109</v>
          </cell>
          <cell r="F1301" t="str">
            <v>being brokerage booked on insurance policies placed in Jun-23.</v>
          </cell>
          <cell r="G1301">
            <v>1538.81</v>
          </cell>
          <cell r="H1301">
            <v>234.74</v>
          </cell>
          <cell r="I1301">
            <v>1304.07</v>
          </cell>
        </row>
        <row r="1302">
          <cell r="E1302" t="str">
            <v>CHN/23-24/110</v>
          </cell>
          <cell r="F1302" t="str">
            <v>being brokerage booked on insurance policies placed in Jun-23.</v>
          </cell>
          <cell r="G1302">
            <v>343854.54</v>
          </cell>
          <cell r="H1302">
            <v>52452.38</v>
          </cell>
          <cell r="I1302">
            <v>291402.15999999997</v>
          </cell>
        </row>
        <row r="1303">
          <cell r="E1303" t="str">
            <v>GGN/23-24/348</v>
          </cell>
          <cell r="F1303" t="str">
            <v>being brokerage booked on insurance policies placed in Jun-23.</v>
          </cell>
          <cell r="G1303">
            <v>908864.27</v>
          </cell>
          <cell r="H1303">
            <v>138640.32000000001</v>
          </cell>
          <cell r="I1303">
            <v>770223.95</v>
          </cell>
        </row>
        <row r="1304">
          <cell r="E1304" t="str">
            <v>GGN/23-24/349</v>
          </cell>
          <cell r="F1304" t="str">
            <v>being brokerage booked on insurance policies placed in Jun-23.</v>
          </cell>
          <cell r="G1304">
            <v>120.79</v>
          </cell>
          <cell r="H1304">
            <v>18.420000000000002</v>
          </cell>
          <cell r="I1304">
            <v>102.37</v>
          </cell>
        </row>
        <row r="1305">
          <cell r="E1305" t="str">
            <v>GGN/23-24/350</v>
          </cell>
          <cell r="F1305" t="str">
            <v>being brokerage booked on insurance policies placed in Jun-23.</v>
          </cell>
          <cell r="G1305">
            <v>8.25</v>
          </cell>
          <cell r="H1305">
            <v>1.26</v>
          </cell>
          <cell r="I1305">
            <v>6.99</v>
          </cell>
        </row>
        <row r="1306">
          <cell r="E1306" t="str">
            <v>GGN/23-24/351</v>
          </cell>
          <cell r="F1306" t="str">
            <v>being brokerage booked on insurance policies placed in Jun-23.</v>
          </cell>
          <cell r="G1306">
            <v>2832110.25</v>
          </cell>
          <cell r="H1306">
            <v>432016.82</v>
          </cell>
          <cell r="I1306">
            <v>2400093.4300000002</v>
          </cell>
        </row>
        <row r="1307">
          <cell r="E1307" t="str">
            <v>GGN/23-24/352</v>
          </cell>
          <cell r="F1307" t="str">
            <v>being brokerage booked on insurance policies placed in Jun-23.</v>
          </cell>
          <cell r="G1307">
            <v>199258.07</v>
          </cell>
          <cell r="H1307">
            <v>30395.3</v>
          </cell>
          <cell r="I1307">
            <v>168862.77</v>
          </cell>
        </row>
        <row r="1308">
          <cell r="E1308" t="str">
            <v>GGN/23-24/353</v>
          </cell>
          <cell r="F1308" t="str">
            <v>being brokerage booked on insurance policies placed in Jun-23.</v>
          </cell>
          <cell r="G1308">
            <v>356.12</v>
          </cell>
          <cell r="H1308">
            <v>54.32</v>
          </cell>
          <cell r="I1308">
            <v>301.8</v>
          </cell>
        </row>
        <row r="1309">
          <cell r="E1309" t="str">
            <v>GGN/23-24/354</v>
          </cell>
          <cell r="F1309" t="str">
            <v>being brokerage booked on insurance policies placed in Jun-23</v>
          </cell>
          <cell r="G1309">
            <v>72995.34</v>
          </cell>
          <cell r="H1309">
            <v>11134.88</v>
          </cell>
          <cell r="I1309">
            <v>61860.46</v>
          </cell>
        </row>
        <row r="1310">
          <cell r="E1310" t="str">
            <v>HYD/23-24/62</v>
          </cell>
          <cell r="F1310" t="str">
            <v>being brokerage booked on insurance policies placed in Jun-23.</v>
          </cell>
          <cell r="G1310">
            <v>336.35</v>
          </cell>
          <cell r="H1310">
            <v>51.3</v>
          </cell>
          <cell r="I1310">
            <v>285.05</v>
          </cell>
        </row>
        <row r="1311">
          <cell r="E1311" t="str">
            <v>HYD/23-24/63</v>
          </cell>
          <cell r="F1311" t="str">
            <v>being brokerage booked on insurance policies placed in Jun-23.</v>
          </cell>
          <cell r="G1311">
            <v>5201.42</v>
          </cell>
          <cell r="H1311">
            <v>793.44</v>
          </cell>
          <cell r="I1311">
            <v>4407.9799999999996</v>
          </cell>
        </row>
        <row r="1312">
          <cell r="E1312" t="str">
            <v>HYD/23-24/64</v>
          </cell>
          <cell r="F1312" t="str">
            <v>being brokerage booked on insurance policies placed in Jun-23.</v>
          </cell>
          <cell r="G1312">
            <v>786.55</v>
          </cell>
          <cell r="H1312">
            <v>119.98</v>
          </cell>
          <cell r="I1312">
            <v>666.57</v>
          </cell>
        </row>
        <row r="1313">
          <cell r="E1313" t="str">
            <v>LUD/23-24/38</v>
          </cell>
          <cell r="F1313" t="str">
            <v>being brokerage booked on insurance policies placed in Jun-23.</v>
          </cell>
          <cell r="G1313">
            <v>7278.32</v>
          </cell>
          <cell r="H1313">
            <v>1110.26</v>
          </cell>
          <cell r="I1313">
            <v>6168.06</v>
          </cell>
        </row>
        <row r="1314">
          <cell r="E1314" t="str">
            <v>LUD/23-24/39</v>
          </cell>
          <cell r="F1314" t="str">
            <v>being brokerage booked on insurance policies placed in Jun-23.</v>
          </cell>
          <cell r="G1314">
            <v>280474.84000000003</v>
          </cell>
          <cell r="H1314">
            <v>42784.3</v>
          </cell>
          <cell r="I1314">
            <v>237690.54</v>
          </cell>
        </row>
        <row r="1315">
          <cell r="E1315" t="str">
            <v>MUM/23-24/518</v>
          </cell>
          <cell r="F1315" t="str">
            <v>being brokerage booked on insurance policies placed in month Jun-23. Reverse Charge Mechanism Applicable - NO.</v>
          </cell>
          <cell r="G1315">
            <v>4084260</v>
          </cell>
          <cell r="H1315">
            <v>623022.72</v>
          </cell>
          <cell r="I1315">
            <v>3461237.28</v>
          </cell>
        </row>
        <row r="1316">
          <cell r="E1316" t="str">
            <v>MUM/23-24/519</v>
          </cell>
          <cell r="F1316" t="str">
            <v>being brokerage booked on insurance policies placed in month Jun-23. Reverse Charge Mechanism Applicable - NO.</v>
          </cell>
          <cell r="G1316">
            <v>1957244.41</v>
          </cell>
          <cell r="H1316">
            <v>298562.71000000002</v>
          </cell>
          <cell r="I1316">
            <v>1658681.7</v>
          </cell>
        </row>
        <row r="1317">
          <cell r="E1317" t="str">
            <v>MUM/23-24/520</v>
          </cell>
          <cell r="F1317" t="str">
            <v>being brokerage booked on insurance policies placed in month Jun-23. Reverse Charge Mechanism Applicable - NO.</v>
          </cell>
          <cell r="G1317">
            <v>111086.65</v>
          </cell>
          <cell r="H1317">
            <v>16945.419999999998</v>
          </cell>
          <cell r="I1317">
            <v>94141.23</v>
          </cell>
        </row>
        <row r="1318">
          <cell r="E1318" t="str">
            <v>MUM/23-24/521</v>
          </cell>
          <cell r="F1318" t="str">
            <v>being brokerage booked on insurance policies placed in month Jun-23. Reverse Charge Mechanism Applicable - NO.</v>
          </cell>
          <cell r="G1318">
            <v>1984780.69</v>
          </cell>
          <cell r="H1318">
            <v>302763.15999999997</v>
          </cell>
          <cell r="I1318">
            <v>1682017.53</v>
          </cell>
        </row>
        <row r="1319">
          <cell r="E1319" t="str">
            <v>MUM/23-24/522</v>
          </cell>
          <cell r="F1319" t="str">
            <v>being brokerage booked on insurance policies placed in month Jun-23. Reverse Charge Mechanism Applicable - NO.</v>
          </cell>
          <cell r="G1319">
            <v>1323820.0900000001</v>
          </cell>
          <cell r="H1319">
            <v>201938.66</v>
          </cell>
          <cell r="I1319">
            <v>1121881.43</v>
          </cell>
        </row>
        <row r="1320">
          <cell r="E1320" t="str">
            <v>MUM/23-24/523</v>
          </cell>
          <cell r="F1320" t="str">
            <v>being brokerage booked on insurance policies placed in month Jun-23. Reverse Charge Mechanism Applicable - NO.</v>
          </cell>
          <cell r="G1320">
            <v>634520.67000000004</v>
          </cell>
          <cell r="H1320">
            <v>96791.29</v>
          </cell>
          <cell r="I1320">
            <v>537729.38</v>
          </cell>
        </row>
        <row r="1321">
          <cell r="E1321" t="str">
            <v>MUM/23-24/524</v>
          </cell>
          <cell r="F1321" t="str">
            <v>being brokerage booked on insurance policies placed in month Jun-23. Reverse Charge Mechanism Applicable - NO.</v>
          </cell>
          <cell r="G1321">
            <v>208107.76</v>
          </cell>
          <cell r="H1321">
            <v>31745.25</v>
          </cell>
          <cell r="I1321">
            <v>176362.51</v>
          </cell>
        </row>
        <row r="1322">
          <cell r="E1322" t="str">
            <v>MUM/23-24/525</v>
          </cell>
          <cell r="F1322" t="str">
            <v>being brokerage booked on insurance policies placed in month Jun-23. Reverse Charge Mechanism Applicable - NO.</v>
          </cell>
          <cell r="G1322">
            <v>364192.73</v>
          </cell>
          <cell r="H1322">
            <v>55554.82</v>
          </cell>
          <cell r="I1322">
            <v>308637.90999999997</v>
          </cell>
        </row>
        <row r="1323">
          <cell r="E1323" t="str">
            <v>MUM/23-24/526</v>
          </cell>
          <cell r="F1323" t="str">
            <v>being brokerage booked on insurance policies placed in month Jun-23. Reverse Charge Mechanism Applicable - NO.</v>
          </cell>
          <cell r="G1323">
            <v>2280.04</v>
          </cell>
          <cell r="H1323">
            <v>347.8</v>
          </cell>
          <cell r="I1323">
            <v>1932.24</v>
          </cell>
        </row>
        <row r="1324">
          <cell r="E1324" t="str">
            <v>MUM/23-24/527</v>
          </cell>
          <cell r="F1324" t="str">
            <v>being brokerage booked on insurance policies placed in month Jun-23. Reverse Charge Mechanism Applicable - NO.</v>
          </cell>
          <cell r="G1324">
            <v>11270.5</v>
          </cell>
          <cell r="H1324">
            <v>1719.23</v>
          </cell>
          <cell r="I1324">
            <v>9551.27</v>
          </cell>
        </row>
        <row r="1325">
          <cell r="E1325" t="str">
            <v>MUM/23-24/528</v>
          </cell>
          <cell r="F1325" t="str">
            <v>being brokerage booked on insurance policies placed in Jun-23.</v>
          </cell>
          <cell r="G1325">
            <v>441.68</v>
          </cell>
          <cell r="H1325">
            <v>67.38</v>
          </cell>
          <cell r="I1325">
            <v>374.3</v>
          </cell>
        </row>
        <row r="1326">
          <cell r="E1326" t="str">
            <v>MUM/23-24/529</v>
          </cell>
          <cell r="F1326" t="str">
            <v>being brokerage booked on insurance policies placed in Jun-23.</v>
          </cell>
          <cell r="G1326">
            <v>416.3</v>
          </cell>
          <cell r="H1326">
            <v>63.5</v>
          </cell>
          <cell r="I1326">
            <v>352.8</v>
          </cell>
        </row>
        <row r="1327">
          <cell r="E1327" t="str">
            <v>MUM/23-24/530</v>
          </cell>
          <cell r="F1327" t="str">
            <v>being brokerage booked on insurnace polices placed in Jun-23.</v>
          </cell>
          <cell r="G1327">
            <v>750692.12</v>
          </cell>
          <cell r="H1327">
            <v>114512.36</v>
          </cell>
          <cell r="I1327">
            <v>636179.76</v>
          </cell>
        </row>
        <row r="1328">
          <cell r="E1328" t="str">
            <v>MUM/23-24/531</v>
          </cell>
          <cell r="F1328" t="str">
            <v>being brokerage booked on insurance policies placed in Jun-23.</v>
          </cell>
          <cell r="G1328">
            <v>2763010.53</v>
          </cell>
          <cell r="H1328">
            <v>421476.18</v>
          </cell>
          <cell r="I1328">
            <v>2341534.35</v>
          </cell>
        </row>
        <row r="1329">
          <cell r="E1329" t="str">
            <v>MUM/23-24/532</v>
          </cell>
          <cell r="F1329" t="str">
            <v>being brokerage booked on insurance policies placed in Jun-23.</v>
          </cell>
          <cell r="G1329">
            <v>15285.02</v>
          </cell>
          <cell r="H1329">
            <v>2331.62</v>
          </cell>
          <cell r="I1329">
            <v>12953.4</v>
          </cell>
        </row>
        <row r="1330">
          <cell r="E1330" t="str">
            <v>MUM/23-24/533</v>
          </cell>
          <cell r="F1330" t="str">
            <v>being brokerage booked on insurance policies placed in Jun-23.</v>
          </cell>
          <cell r="G1330">
            <v>6348.53</v>
          </cell>
          <cell r="H1330">
            <v>968.42</v>
          </cell>
          <cell r="I1330">
            <v>5380.11</v>
          </cell>
        </row>
        <row r="1331">
          <cell r="E1331" t="str">
            <v>PUN/23-24/44</v>
          </cell>
          <cell r="F1331" t="str">
            <v>being brokerage booked on insurance policies placed in Jun-23.</v>
          </cell>
          <cell r="G1331">
            <v>677737.02</v>
          </cell>
          <cell r="H1331">
            <v>103383.62</v>
          </cell>
          <cell r="I1331">
            <v>574353.4</v>
          </cell>
        </row>
        <row r="1332">
          <cell r="E1332" t="str">
            <v>PUN/23-24/45</v>
          </cell>
          <cell r="F1332" t="str">
            <v>being brokerage booked on insurance policies placed in Jun-23.</v>
          </cell>
          <cell r="G1332">
            <v>1182613.6200000001</v>
          </cell>
          <cell r="H1332">
            <v>180398.68</v>
          </cell>
          <cell r="I1332">
            <v>1002214.94</v>
          </cell>
        </row>
        <row r="1333">
          <cell r="E1333" t="str">
            <v>BLR/23-24/156</v>
          </cell>
          <cell r="F1333" t="str">
            <v>being brokerage booked on insurance policies placed in Jun-23.</v>
          </cell>
          <cell r="G1333">
            <v>6447.6</v>
          </cell>
          <cell r="H1333">
            <v>983.54</v>
          </cell>
          <cell r="I1333">
            <v>5464.06</v>
          </cell>
        </row>
        <row r="1334">
          <cell r="E1334" t="str">
            <v>BLR/23-24/157</v>
          </cell>
          <cell r="F1334" t="str">
            <v>being brokerage booked on insurance policies placed in May-23.</v>
          </cell>
          <cell r="G1334">
            <v>25123.42</v>
          </cell>
          <cell r="H1334">
            <v>3832.38</v>
          </cell>
          <cell r="I1334">
            <v>21291.040000000001</v>
          </cell>
        </row>
        <row r="1335">
          <cell r="E1335" t="str">
            <v>BLR/23-24/158</v>
          </cell>
          <cell r="F1335" t="str">
            <v>being brokerage booked on insurance policies placed in Jun-23.</v>
          </cell>
          <cell r="G1335">
            <v>2950</v>
          </cell>
          <cell r="H1335">
            <v>450</v>
          </cell>
          <cell r="I1335">
            <v>2500</v>
          </cell>
        </row>
        <row r="1336">
          <cell r="E1336" t="str">
            <v>CHN/23-24/111</v>
          </cell>
          <cell r="F1336" t="str">
            <v>being brokerage booked on insurance policies placed in Jun-23.</v>
          </cell>
          <cell r="G1336">
            <v>8753.64</v>
          </cell>
          <cell r="H1336">
            <v>1335.3</v>
          </cell>
          <cell r="I1336">
            <v>7418.34</v>
          </cell>
        </row>
        <row r="1337">
          <cell r="E1337" t="str">
            <v>CHN/23-24/112</v>
          </cell>
          <cell r="F1337" t="str">
            <v>being brokerage booked on insurance policies placed in May-23.</v>
          </cell>
          <cell r="G1337">
            <v>5063.6000000000004</v>
          </cell>
          <cell r="H1337">
            <v>772.42</v>
          </cell>
          <cell r="I1337">
            <v>4291.18</v>
          </cell>
        </row>
        <row r="1338">
          <cell r="E1338" t="str">
            <v>GGN/23-24/355</v>
          </cell>
          <cell r="F1338" t="str">
            <v>being reward booked on insurance policies placed in month of Jun-23. We also declare that our revenue from other than insurance intermidition activities less than fifty percent of our total revenue from all the activities.</v>
          </cell>
          <cell r="G1338">
            <v>11880.46</v>
          </cell>
          <cell r="H1338">
            <v>1812.27</v>
          </cell>
          <cell r="I1338">
            <v>10068.19</v>
          </cell>
        </row>
        <row r="1339">
          <cell r="E1339" t="str">
            <v>GGN/23-24/356</v>
          </cell>
          <cell r="F1339" t="str">
            <v>being brokerage booked on insurance policies placed in Jun-23.</v>
          </cell>
          <cell r="G1339">
            <v>565149.51</v>
          </cell>
          <cell r="H1339">
            <v>86209.25</v>
          </cell>
          <cell r="I1339">
            <v>478940.26</v>
          </cell>
        </row>
        <row r="1340">
          <cell r="E1340" t="str">
            <v>GGN/23-24/357</v>
          </cell>
          <cell r="F1340" t="str">
            <v>being brokerage booked on insurance policies placed in Jun-23.</v>
          </cell>
          <cell r="G1340">
            <v>14175084.9</v>
          </cell>
          <cell r="H1340">
            <v>2162301.08</v>
          </cell>
          <cell r="I1340">
            <v>12012783.82</v>
          </cell>
        </row>
        <row r="1341">
          <cell r="E1341" t="str">
            <v>GGN/23-24/358</v>
          </cell>
          <cell r="F1341" t="str">
            <v>being brokerage booked on insurance policies placed in May-23.</v>
          </cell>
          <cell r="G1341">
            <v>56149.4</v>
          </cell>
          <cell r="H1341">
            <v>8565.16</v>
          </cell>
          <cell r="I1341">
            <v>47584.24</v>
          </cell>
        </row>
        <row r="1342">
          <cell r="E1342" t="str">
            <v>GGN/23-24/359</v>
          </cell>
          <cell r="F1342" t="str">
            <v>being brokerage booked on insurance policies placed in Jun-23.</v>
          </cell>
          <cell r="G1342">
            <v>4799</v>
          </cell>
          <cell r="H1342">
            <v>732.06</v>
          </cell>
          <cell r="I1342">
            <v>4066.94</v>
          </cell>
        </row>
        <row r="1343">
          <cell r="E1343" t="str">
            <v>GGN/23-24/360</v>
          </cell>
          <cell r="F1343" t="str">
            <v>being brokerage booked on insurance policies placed in Jun-23.</v>
          </cell>
          <cell r="G1343">
            <v>39060</v>
          </cell>
          <cell r="H1343">
            <v>5958.36</v>
          </cell>
          <cell r="I1343">
            <v>33101.64</v>
          </cell>
        </row>
        <row r="1344">
          <cell r="E1344" t="str">
            <v>GGN/23-24/361</v>
          </cell>
          <cell r="F1344" t="str">
            <v>being brokerage booked on insurance policies placed in Jun-23.</v>
          </cell>
          <cell r="G1344">
            <v>72422.5</v>
          </cell>
          <cell r="H1344">
            <v>11047.5</v>
          </cell>
          <cell r="I1344">
            <v>61375</v>
          </cell>
        </row>
        <row r="1345">
          <cell r="E1345" t="str">
            <v>HYD/23-24/65</v>
          </cell>
          <cell r="F1345" t="str">
            <v>being brokerage on insurance policies placed in month of Jun-23.</v>
          </cell>
          <cell r="G1345">
            <v>576252.88</v>
          </cell>
          <cell r="H1345">
            <v>87902.98</v>
          </cell>
          <cell r="I1345">
            <v>488349.9</v>
          </cell>
        </row>
        <row r="1346">
          <cell r="E1346" t="str">
            <v>HYD/23-24/66</v>
          </cell>
          <cell r="F1346" t="str">
            <v>being brokerage booked on insurance policies placed in May-23.</v>
          </cell>
          <cell r="G1346">
            <v>5441.58</v>
          </cell>
          <cell r="H1346">
            <v>830.08</v>
          </cell>
          <cell r="I1346">
            <v>4611.5</v>
          </cell>
        </row>
        <row r="1347">
          <cell r="E1347" t="str">
            <v>HYD/23-24/67</v>
          </cell>
          <cell r="F1347" t="str">
            <v>being brokerage booked on insurance poliices placed in Jun-23.</v>
          </cell>
          <cell r="G1347">
            <v>9097</v>
          </cell>
          <cell r="H1347">
            <v>1387.62</v>
          </cell>
          <cell r="I1347">
            <v>7709.38</v>
          </cell>
        </row>
        <row r="1348">
          <cell r="E1348" t="str">
            <v>LUD/23-24/40</v>
          </cell>
          <cell r="F1348" t="str">
            <v>being brokerage booked on insurance policies placed in Jun-23.</v>
          </cell>
          <cell r="G1348">
            <v>158866.4</v>
          </cell>
          <cell r="H1348">
            <v>24233.86</v>
          </cell>
          <cell r="I1348">
            <v>134632.54</v>
          </cell>
        </row>
        <row r="1349">
          <cell r="E1349" t="str">
            <v>LUD/23-24/41</v>
          </cell>
          <cell r="F1349" t="str">
            <v>being brokerage booked on insurance policies placed in May-23.</v>
          </cell>
          <cell r="G1349">
            <v>869</v>
          </cell>
          <cell r="H1349">
            <v>132.56</v>
          </cell>
          <cell r="I1349">
            <v>736.44</v>
          </cell>
        </row>
        <row r="1350">
          <cell r="E1350" t="str">
            <v>MUM/23-24/534</v>
          </cell>
          <cell r="F1350" t="str">
            <v>being brokerage booked on insurance policies placed in Jun-23.</v>
          </cell>
          <cell r="G1350">
            <v>603410.87</v>
          </cell>
          <cell r="H1350">
            <v>92045.72</v>
          </cell>
          <cell r="I1350">
            <v>511365.15</v>
          </cell>
        </row>
        <row r="1351">
          <cell r="E1351" t="str">
            <v>MUM/23-24/535</v>
          </cell>
          <cell r="F1351" t="str">
            <v>being brokerage booked on insurance policies placed in Jun-23.</v>
          </cell>
          <cell r="G1351">
            <v>38896.629999999997</v>
          </cell>
          <cell r="H1351">
            <v>5933.38</v>
          </cell>
          <cell r="I1351">
            <v>32963.25</v>
          </cell>
        </row>
        <row r="1352">
          <cell r="E1352" t="str">
            <v>MUM/23-24/536</v>
          </cell>
          <cell r="F1352" t="str">
            <v>being brokerage booked on insurance policies placed in May-23.</v>
          </cell>
          <cell r="G1352">
            <v>59757.96</v>
          </cell>
          <cell r="H1352">
            <v>9115.6200000000008</v>
          </cell>
          <cell r="I1352">
            <v>50642.34</v>
          </cell>
        </row>
        <row r="1353">
          <cell r="E1353" t="str">
            <v>MUM/23-24/537</v>
          </cell>
          <cell r="F1353" t="str">
            <v>being brokerage booked on insurance policies placed in Jun-23.</v>
          </cell>
          <cell r="G1353">
            <v>55196.98</v>
          </cell>
          <cell r="H1353">
            <v>8419.8799999999992</v>
          </cell>
          <cell r="I1353">
            <v>46777.1</v>
          </cell>
        </row>
        <row r="1354">
          <cell r="E1354" t="str">
            <v>BLR/23-24/159</v>
          </cell>
          <cell r="F1354" t="str">
            <v>being brokerage booked on insurance policies placed in Jun-23. GST is not payable under reverse charge  on these services. The invoice is issued as per Section 31 of the CGST Act.</v>
          </cell>
          <cell r="G1354">
            <v>777971.64</v>
          </cell>
          <cell r="H1354">
            <v>118673.64</v>
          </cell>
          <cell r="I1354">
            <v>659298</v>
          </cell>
        </row>
        <row r="1355">
          <cell r="E1355" t="str">
            <v>BLR/23-24/160</v>
          </cell>
          <cell r="F1355" t="str">
            <v>being brokerage booked on insurance policies placed in Jun-23.</v>
          </cell>
          <cell r="G1355">
            <v>40497.629999999997</v>
          </cell>
          <cell r="H1355">
            <v>6177.6</v>
          </cell>
          <cell r="I1355">
            <v>34320.03</v>
          </cell>
        </row>
        <row r="1356">
          <cell r="E1356" t="str">
            <v>BLR/23-24/161</v>
          </cell>
          <cell r="F1356" t="str">
            <v>being brokerage booked on insurance policies placed in Jun-23.</v>
          </cell>
          <cell r="G1356">
            <v>1012653.85</v>
          </cell>
          <cell r="H1356">
            <v>154472.62</v>
          </cell>
          <cell r="I1356">
            <v>858181.23</v>
          </cell>
        </row>
        <row r="1357">
          <cell r="E1357" t="str">
            <v>CHN/23-24/113</v>
          </cell>
          <cell r="F1357" t="str">
            <v>being brokerage booked on insurance policies placed in Jun-23. GST is not payable under reverse charge  on these services. The invoice is issued as per Section 31 of the CGST Act.</v>
          </cell>
          <cell r="G1357">
            <v>544063.78</v>
          </cell>
          <cell r="H1357">
            <v>82992.78</v>
          </cell>
          <cell r="I1357">
            <v>461071</v>
          </cell>
        </row>
        <row r="1358">
          <cell r="E1358" t="str">
            <v>CHN/23-24/114</v>
          </cell>
          <cell r="F1358" t="str">
            <v>being brokerage booked on insurance policies placed in Jun-23.</v>
          </cell>
          <cell r="G1358">
            <v>2778003.72</v>
          </cell>
          <cell r="H1358">
            <v>423763.28</v>
          </cell>
          <cell r="I1358">
            <v>2354240.44</v>
          </cell>
        </row>
        <row r="1359">
          <cell r="E1359" t="str">
            <v>CHN/23-24/115</v>
          </cell>
          <cell r="F1359" t="str">
            <v>being brokerage booked on insurance policies placed in Jun-23.</v>
          </cell>
          <cell r="G1359">
            <v>198733.65</v>
          </cell>
          <cell r="H1359">
            <v>30315.3</v>
          </cell>
          <cell r="I1359">
            <v>168418.35</v>
          </cell>
        </row>
        <row r="1360">
          <cell r="E1360" t="str">
            <v>GGN/23-24/362</v>
          </cell>
          <cell r="F1360" t="str">
            <v>being brokerage booked on insurance policies placed in Jun-23.</v>
          </cell>
          <cell r="G1360">
            <v>771302.99</v>
          </cell>
          <cell r="H1360">
            <v>117656.38</v>
          </cell>
          <cell r="I1360">
            <v>653646.61</v>
          </cell>
        </row>
        <row r="1361">
          <cell r="E1361" t="str">
            <v>GGN/23-24/363</v>
          </cell>
          <cell r="F1361" t="str">
            <v>being brokerage booked on insurance policies placed in Jun-23. GST is not payable under reverse charge  on these services. The invoice is issued as per Section 31 of the CGST Act.</v>
          </cell>
          <cell r="G1361">
            <v>1578465.94</v>
          </cell>
          <cell r="H1361">
            <v>240782.94</v>
          </cell>
          <cell r="I1361">
            <v>1337683</v>
          </cell>
        </row>
        <row r="1362">
          <cell r="E1362" t="str">
            <v>GGN/23-24/364</v>
          </cell>
          <cell r="F1362" t="str">
            <v>being brokerage booked on insurance policies placed in Jun-23.</v>
          </cell>
          <cell r="G1362">
            <v>1100356.1599999999</v>
          </cell>
          <cell r="H1362">
            <v>167850.94</v>
          </cell>
          <cell r="I1362">
            <v>932505.22</v>
          </cell>
        </row>
        <row r="1363">
          <cell r="E1363" t="str">
            <v>GGN/23-24/365</v>
          </cell>
          <cell r="F1363" t="str">
            <v>being brokerage booked on insurance policies placed in Jun-23.</v>
          </cell>
          <cell r="G1363">
            <v>91.9</v>
          </cell>
          <cell r="H1363">
            <v>14.02</v>
          </cell>
          <cell r="I1363">
            <v>77.88</v>
          </cell>
        </row>
        <row r="1364">
          <cell r="E1364" t="str">
            <v>GGN/23-24/366</v>
          </cell>
          <cell r="F1364" t="str">
            <v>being brokerage booked on insurance policies placed in Jun-23.</v>
          </cell>
          <cell r="G1364">
            <v>105519.36</v>
          </cell>
          <cell r="H1364">
            <v>16096.18</v>
          </cell>
          <cell r="I1364">
            <v>89423.18</v>
          </cell>
        </row>
        <row r="1365">
          <cell r="E1365" t="str">
            <v>GGN/23-24/367</v>
          </cell>
          <cell r="F1365" t="str">
            <v>being brokerage booked on insurance policies placed in Jun-23.</v>
          </cell>
          <cell r="G1365">
            <v>10451578.01</v>
          </cell>
          <cell r="H1365">
            <v>1594308.51</v>
          </cell>
          <cell r="I1365">
            <v>8857269.5</v>
          </cell>
        </row>
        <row r="1366">
          <cell r="E1366" t="str">
            <v>GGN/23-24/368</v>
          </cell>
          <cell r="F1366" t="str">
            <v>being brokerage booked on insurance policies placed in Jun-23.</v>
          </cell>
          <cell r="G1366">
            <v>22778.26</v>
          </cell>
          <cell r="H1366">
            <v>3474.65</v>
          </cell>
          <cell r="I1366">
            <v>19303.61</v>
          </cell>
        </row>
        <row r="1367">
          <cell r="E1367" t="str">
            <v>GGN/23-24/369</v>
          </cell>
          <cell r="F1367" t="str">
            <v>being brokerage booked on insurance policies placed in Jun-23.</v>
          </cell>
          <cell r="G1367">
            <v>2621.56</v>
          </cell>
          <cell r="H1367">
            <v>399.9</v>
          </cell>
          <cell r="I1367">
            <v>2221.66</v>
          </cell>
        </row>
        <row r="1368">
          <cell r="E1368" t="str">
            <v>HYD/23-24/68</v>
          </cell>
          <cell r="F1368" t="str">
            <v>being brokerage booked on insurance policies placed in Jun-23. GST is not payable under reverse charge  on these services. The invoice is issued as per Section 31 of the CGST Act.</v>
          </cell>
          <cell r="G1368">
            <v>25969.439999999999</v>
          </cell>
          <cell r="H1368">
            <v>3961.44</v>
          </cell>
          <cell r="I1368">
            <v>22008</v>
          </cell>
        </row>
        <row r="1369">
          <cell r="E1369" t="str">
            <v>HYD/23-24/69</v>
          </cell>
          <cell r="F1369" t="str">
            <v>being brokerage booked on insurance policies placed in Jun-23.</v>
          </cell>
          <cell r="G1369">
            <v>1311284.18</v>
          </cell>
          <cell r="H1369">
            <v>200026.4</v>
          </cell>
          <cell r="I1369">
            <v>1111257.78</v>
          </cell>
        </row>
        <row r="1370">
          <cell r="E1370" t="str">
            <v>LUD/23-24/42</v>
          </cell>
          <cell r="F1370" t="str">
            <v>being brokerage booked on insurance policies placed in Jun-23. GST is not payable under reverse charge  on these services. The invoice is issued as per Section 31 of the CGST Act.</v>
          </cell>
          <cell r="G1370">
            <v>30464.06</v>
          </cell>
          <cell r="H1370">
            <v>4647.0600000000004</v>
          </cell>
          <cell r="I1370">
            <v>25817</v>
          </cell>
        </row>
        <row r="1371">
          <cell r="E1371" t="str">
            <v>LUD/23-24/43</v>
          </cell>
          <cell r="F1371" t="str">
            <v>being brokerage booked on insurance policies placed in Jun-23.</v>
          </cell>
          <cell r="G1371">
            <v>62511.7</v>
          </cell>
          <cell r="H1371">
            <v>9535.68</v>
          </cell>
          <cell r="I1371">
            <v>52976.02</v>
          </cell>
        </row>
        <row r="1372">
          <cell r="E1372" t="str">
            <v>MUM/23-24/538</v>
          </cell>
          <cell r="F1372" t="str">
            <v>being brokerage booked on insurance policies placed in Jun-23.</v>
          </cell>
          <cell r="G1372">
            <v>2496879.12</v>
          </cell>
          <cell r="H1372">
            <v>380879.86</v>
          </cell>
          <cell r="I1372">
            <v>2115999.2599999998</v>
          </cell>
        </row>
        <row r="1373">
          <cell r="E1373" t="str">
            <v>MUM/23-24/539</v>
          </cell>
          <cell r="F1373" t="str">
            <v>being brokerage booked on insurance policies placed in Jun-23. GST is not payable under reverse charge  on these services. The invoice is issued as per Section 31 of the CGST Act.</v>
          </cell>
          <cell r="G1373">
            <v>3900013.28</v>
          </cell>
          <cell r="H1373">
            <v>594917.28</v>
          </cell>
          <cell r="I1373">
            <v>3305096</v>
          </cell>
        </row>
        <row r="1374">
          <cell r="E1374" t="str">
            <v>MUM/23-24/540</v>
          </cell>
          <cell r="F1374" t="str">
            <v>being brokerage booked on insurance policies placed in Jun-23. GST is not payable under reverse charge  on these services. The invoice is issued as per Section 31 of the CGST Act.</v>
          </cell>
          <cell r="G1374">
            <v>13689.18</v>
          </cell>
          <cell r="H1374">
            <v>2088.1799999999998</v>
          </cell>
          <cell r="I1374">
            <v>11601</v>
          </cell>
        </row>
        <row r="1375">
          <cell r="E1375" t="str">
            <v>MUM/23-24/541</v>
          </cell>
          <cell r="F1375" t="str">
            <v>being brokerage booked on insurance policies placed in Jun-23. GST is not payable under reverse charge  on these services. The invoice is issued as per Section 31 of the CGST Act.</v>
          </cell>
          <cell r="G1375">
            <v>7758.5</v>
          </cell>
          <cell r="H1375">
            <v>1183.5</v>
          </cell>
          <cell r="I1375">
            <v>6575</v>
          </cell>
        </row>
        <row r="1376">
          <cell r="E1376" t="str">
            <v>MUM/23-24/542</v>
          </cell>
          <cell r="F1376" t="str">
            <v>being brokerage booked on insurance policies placed in Jun-23. GST is not payable under reverse charge  on these services. The invoice is issued as per Section 31 of the CGST Act.</v>
          </cell>
          <cell r="G1376">
            <v>395.3</v>
          </cell>
          <cell r="H1376">
            <v>60.3</v>
          </cell>
          <cell r="I1376">
            <v>335</v>
          </cell>
        </row>
        <row r="1377">
          <cell r="E1377" t="str">
            <v>MUM/23-24/543</v>
          </cell>
          <cell r="F1377" t="str">
            <v>being reward booked on insurance policies placed in Q4 22-23.</v>
          </cell>
          <cell r="G1377">
            <v>17353601.559999999</v>
          </cell>
          <cell r="H1377">
            <v>2647159.56</v>
          </cell>
          <cell r="I1377">
            <v>14706442</v>
          </cell>
        </row>
        <row r="1378">
          <cell r="E1378" t="str">
            <v>MUM/23-24/544</v>
          </cell>
          <cell r="F1378" t="str">
            <v>being brokerage booked on insurance policies placed in Jun-23.</v>
          </cell>
          <cell r="G1378">
            <v>38114.03</v>
          </cell>
          <cell r="H1378">
            <v>5814</v>
          </cell>
          <cell r="I1378">
            <v>32300.03</v>
          </cell>
        </row>
        <row r="1379">
          <cell r="E1379" t="str">
            <v>MUM/23-24/545</v>
          </cell>
          <cell r="F1379" t="str">
            <v>being brokerage booked on insurance policies placed in Jun-23.</v>
          </cell>
          <cell r="G1379">
            <v>624.22</v>
          </cell>
          <cell r="H1379">
            <v>95.22</v>
          </cell>
          <cell r="I1379">
            <v>529</v>
          </cell>
        </row>
        <row r="1380">
          <cell r="E1380" t="str">
            <v>MUM/23-24/546</v>
          </cell>
          <cell r="F1380" t="str">
            <v>being brokerage booked on insurance policies placed in Jun-23.</v>
          </cell>
          <cell r="G1380">
            <v>5073.18</v>
          </cell>
          <cell r="H1380">
            <v>773.88</v>
          </cell>
          <cell r="I1380">
            <v>4299.3</v>
          </cell>
        </row>
        <row r="1381">
          <cell r="E1381" t="str">
            <v>MUM/23-24/547</v>
          </cell>
          <cell r="F1381" t="str">
            <v>being brokerage booked on insurance policies placed in Jun-23.</v>
          </cell>
          <cell r="G1381">
            <v>9107696.0199999996</v>
          </cell>
          <cell r="H1381">
            <v>1389309.56</v>
          </cell>
          <cell r="I1381">
            <v>7718386.46</v>
          </cell>
        </row>
        <row r="1382">
          <cell r="E1382" t="str">
            <v>MUM/23-24/548</v>
          </cell>
          <cell r="F1382" t="str">
            <v>being brokerage booked on insurance policies placed in Jun-23.</v>
          </cell>
          <cell r="G1382">
            <v>95427.21</v>
          </cell>
          <cell r="H1382">
            <v>14556.69</v>
          </cell>
          <cell r="I1382">
            <v>80870.52</v>
          </cell>
        </row>
        <row r="1383">
          <cell r="E1383" t="str">
            <v>MUM/23-24/549</v>
          </cell>
          <cell r="F1383" t="str">
            <v>being brokerage booked on insurance policies placed in Jun-23.</v>
          </cell>
          <cell r="G1383">
            <v>2462.96</v>
          </cell>
          <cell r="H1383">
            <v>375.71</v>
          </cell>
          <cell r="I1383">
            <v>2087.25</v>
          </cell>
        </row>
        <row r="1384">
          <cell r="E1384" t="str">
            <v>PUN/23-24/46</v>
          </cell>
          <cell r="F1384" t="str">
            <v>being brokerage booked on insurance policies placed in Jun-23. GST is not payable under reverse charge  on these services. The invoice is issued as per Section 31 of the CGST Act.</v>
          </cell>
          <cell r="G1384">
            <v>5184538.8600000003</v>
          </cell>
          <cell r="H1384">
            <v>790861.86</v>
          </cell>
          <cell r="I1384">
            <v>4393677</v>
          </cell>
        </row>
        <row r="1385">
          <cell r="E1385" t="str">
            <v>BLR/23-24/162</v>
          </cell>
          <cell r="F1385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85">
            <v>45951.97</v>
          </cell>
          <cell r="H1385">
            <v>7009.62</v>
          </cell>
          <cell r="I1385">
            <v>38942.35</v>
          </cell>
        </row>
        <row r="1386">
          <cell r="E1386" t="str">
            <v>BLR/23-24/163</v>
          </cell>
          <cell r="F1386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86">
            <v>7416.57</v>
          </cell>
          <cell r="H1386">
            <v>1131.3399999999999</v>
          </cell>
          <cell r="I1386">
            <v>6285.23</v>
          </cell>
        </row>
        <row r="1387">
          <cell r="E1387" t="str">
            <v>BLR/23-24/164</v>
          </cell>
          <cell r="F1387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87">
            <v>104988.18</v>
          </cell>
          <cell r="H1387">
            <v>16015.14</v>
          </cell>
          <cell r="I1387">
            <v>88973.04</v>
          </cell>
        </row>
        <row r="1388">
          <cell r="E1388" t="str">
            <v>BLR/23-24/165</v>
          </cell>
          <cell r="F1388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88">
            <v>631.98</v>
          </cell>
          <cell r="H1388">
            <v>96.4</v>
          </cell>
          <cell r="I1388">
            <v>535.58000000000004</v>
          </cell>
        </row>
        <row r="1389">
          <cell r="E1389" t="str">
            <v>BLR/23-24/166</v>
          </cell>
          <cell r="F1389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89">
            <v>4782.3100000000004</v>
          </cell>
          <cell r="H1389">
            <v>729.5</v>
          </cell>
          <cell r="I1389">
            <v>4052.81</v>
          </cell>
        </row>
        <row r="1390">
          <cell r="E1390" t="str">
            <v>BLR/23-24/167</v>
          </cell>
          <cell r="F1390" t="str">
            <v>being brokerage booked on insurance policies placed in Jun-23.</v>
          </cell>
          <cell r="G1390">
            <v>1481708.12</v>
          </cell>
          <cell r="H1390">
            <v>226023.28</v>
          </cell>
          <cell r="I1390">
            <v>1255684.8400000001</v>
          </cell>
        </row>
        <row r="1391">
          <cell r="E1391" t="str">
            <v>BLR/23-24/168</v>
          </cell>
          <cell r="F1391" t="str">
            <v xml:space="preserve">being reward on insurance polices placed in May-23. We also declare that our revenue from other than insurance intermidition activities less than fifty percent of our total revenue from all the activities_x000D_
</v>
          </cell>
          <cell r="G1391">
            <v>442.5</v>
          </cell>
          <cell r="H1391">
            <v>67.5</v>
          </cell>
          <cell r="I1391">
            <v>375</v>
          </cell>
        </row>
        <row r="1392">
          <cell r="E1392" t="str">
            <v>BLR/23-24/169</v>
          </cell>
          <cell r="F1392" t="str">
            <v xml:space="preserve">being reward on insurance polices placed in May-23. We also declare that our revenue from other than insurance intermidition activities less than fifty percent of our total revenue from all the activities_x000D_
</v>
          </cell>
          <cell r="G1392">
            <v>18621.97</v>
          </cell>
          <cell r="H1392">
            <v>2840.64</v>
          </cell>
          <cell r="I1392">
            <v>15781.33</v>
          </cell>
        </row>
        <row r="1393">
          <cell r="E1393" t="str">
            <v>BLR/23-24/170</v>
          </cell>
          <cell r="F1393" t="str">
            <v xml:space="preserve">being reward on insurance polices placed in Jun-23. We also declare that our revenue from other than insurance intermidition activities less than fifty percent of our total revenue from all the activities_x000D_
</v>
          </cell>
          <cell r="G1393">
            <v>760.82</v>
          </cell>
          <cell r="H1393">
            <v>116.06</v>
          </cell>
          <cell r="I1393">
            <v>644.76</v>
          </cell>
        </row>
        <row r="1394">
          <cell r="E1394" t="str">
            <v>BLR/23-24/171</v>
          </cell>
          <cell r="F1394" t="str">
            <v xml:space="preserve">being reward on insurance polices placed in Jun-23. We also declare that our revenue from other than insurance intermidition activities less than fifty percent of our total revenue from all the activities_x000D_
</v>
          </cell>
          <cell r="G1394">
            <v>54266.879999999997</v>
          </cell>
          <cell r="H1394">
            <v>8278</v>
          </cell>
          <cell r="I1394">
            <v>45988.88</v>
          </cell>
        </row>
        <row r="1395">
          <cell r="E1395" t="str">
            <v>CHN/23-24/116</v>
          </cell>
          <cell r="F1395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95">
            <v>128166.83</v>
          </cell>
          <cell r="H1395">
            <v>19550.88</v>
          </cell>
          <cell r="I1395">
            <v>108615.95</v>
          </cell>
        </row>
        <row r="1396">
          <cell r="E1396" t="str">
            <v>CHN/23-24/117</v>
          </cell>
          <cell r="F1396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96">
            <v>7126.89</v>
          </cell>
          <cell r="H1396">
            <v>1087.1600000000001</v>
          </cell>
          <cell r="I1396">
            <v>6039.73</v>
          </cell>
        </row>
        <row r="1397">
          <cell r="E1397" t="str">
            <v>CHN/23-24/118</v>
          </cell>
          <cell r="F1397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97">
            <v>2443.77</v>
          </cell>
          <cell r="H1397">
            <v>372.78</v>
          </cell>
          <cell r="I1397">
            <v>2070.9899999999998</v>
          </cell>
        </row>
        <row r="1398">
          <cell r="E1398" t="str">
            <v>CHN/23-24/119</v>
          </cell>
          <cell r="F1398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98">
            <v>93522.13</v>
          </cell>
          <cell r="H1398">
            <v>14266.09</v>
          </cell>
          <cell r="I1398">
            <v>79256.039999999994</v>
          </cell>
        </row>
        <row r="1399">
          <cell r="E1399" t="str">
            <v>CHN/23-24/120</v>
          </cell>
          <cell r="F1399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399">
            <v>813600.91</v>
          </cell>
          <cell r="H1399">
            <v>124108.62</v>
          </cell>
          <cell r="I1399">
            <v>689492.29</v>
          </cell>
        </row>
        <row r="1400">
          <cell r="E1400" t="str">
            <v>CHN/23-24/121</v>
          </cell>
          <cell r="F1400" t="str">
            <v>being brokerage booked on insurance poliices placed in Jun-23.</v>
          </cell>
          <cell r="G1400">
            <v>5352.49</v>
          </cell>
          <cell r="H1400">
            <v>816.48</v>
          </cell>
          <cell r="I1400">
            <v>4536.01</v>
          </cell>
        </row>
        <row r="1401">
          <cell r="E1401" t="str">
            <v>GGN/23-24/370</v>
          </cell>
          <cell r="F1401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01">
            <v>88690</v>
          </cell>
          <cell r="H1401">
            <v>13528.98</v>
          </cell>
          <cell r="I1401">
            <v>75161.02</v>
          </cell>
        </row>
        <row r="1402">
          <cell r="E1402" t="str">
            <v>GGN/23-24/371</v>
          </cell>
          <cell r="F1402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02">
            <v>8005.04</v>
          </cell>
          <cell r="H1402">
            <v>1221.1099999999999</v>
          </cell>
          <cell r="I1402">
            <v>6783.93</v>
          </cell>
        </row>
        <row r="1403">
          <cell r="E1403" t="str">
            <v>GGN/23-24/372</v>
          </cell>
          <cell r="F1403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03">
            <v>101763.99</v>
          </cell>
          <cell r="H1403">
            <v>15523.32</v>
          </cell>
          <cell r="I1403">
            <v>86240.67</v>
          </cell>
        </row>
        <row r="1404">
          <cell r="E1404" t="str">
            <v>GGN/23-24/373</v>
          </cell>
          <cell r="F1404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04">
            <v>107035.15</v>
          </cell>
          <cell r="H1404">
            <v>16327.4</v>
          </cell>
          <cell r="I1404">
            <v>90707.75</v>
          </cell>
        </row>
        <row r="1405">
          <cell r="E1405" t="str">
            <v>GGN/23-24/374</v>
          </cell>
          <cell r="F1405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05">
            <v>76294.91</v>
          </cell>
          <cell r="H1405">
            <v>11638.21</v>
          </cell>
          <cell r="I1405">
            <v>64656.7</v>
          </cell>
        </row>
        <row r="1406">
          <cell r="E1406" t="str">
            <v>GGN/23-24/375</v>
          </cell>
          <cell r="F1406" t="str">
            <v>being brokerage booked on insurance policies placed in Jun-23.</v>
          </cell>
          <cell r="G1406">
            <v>117358.48</v>
          </cell>
          <cell r="H1406">
            <v>17902.14</v>
          </cell>
          <cell r="I1406">
            <v>99456.34</v>
          </cell>
        </row>
        <row r="1407">
          <cell r="E1407" t="str">
            <v>GGN/23-24/376</v>
          </cell>
          <cell r="F1407" t="str">
            <v>being reward booked on insurance policies placed. ( Whether the Tax is payable on reverse charge basis: NO, Prudent State Code: 06 - Care Health State Code: 06, Place of Supply  - Gurgaon Haryana.)</v>
          </cell>
          <cell r="G1407">
            <v>111472.53</v>
          </cell>
          <cell r="H1407">
            <v>17004.28</v>
          </cell>
          <cell r="I1407">
            <v>94468.25</v>
          </cell>
        </row>
        <row r="1408">
          <cell r="E1408" t="str">
            <v>HYD/23-24/70</v>
          </cell>
          <cell r="F1408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08">
            <v>177185.28</v>
          </cell>
          <cell r="H1408">
            <v>27028.26</v>
          </cell>
          <cell r="I1408">
            <v>150157.01999999999</v>
          </cell>
        </row>
        <row r="1409">
          <cell r="E1409" t="str">
            <v>HYD/23-24/71</v>
          </cell>
          <cell r="F1409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09">
            <v>1368.88</v>
          </cell>
          <cell r="H1409">
            <v>208.82</v>
          </cell>
          <cell r="I1409">
            <v>1160.06</v>
          </cell>
        </row>
        <row r="1410">
          <cell r="E1410" t="str">
            <v>HYD/23-24/72</v>
          </cell>
          <cell r="F1410" t="str">
            <v>being brokerage booked on insurance poliices placed in Jun-23.</v>
          </cell>
          <cell r="G1410">
            <v>418595.93</v>
          </cell>
          <cell r="H1410">
            <v>63853.62</v>
          </cell>
          <cell r="I1410">
            <v>354742.31</v>
          </cell>
        </row>
        <row r="1411">
          <cell r="E1411" t="str">
            <v>LUD/23-24/44</v>
          </cell>
          <cell r="F1411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11">
            <v>10263.36</v>
          </cell>
          <cell r="H1411">
            <v>1565.6</v>
          </cell>
          <cell r="I1411">
            <v>8697.76</v>
          </cell>
        </row>
        <row r="1412">
          <cell r="E1412" t="str">
            <v>LUD/23-24/45</v>
          </cell>
          <cell r="F1412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12">
            <v>2529.79</v>
          </cell>
          <cell r="H1412">
            <v>385.9</v>
          </cell>
          <cell r="I1412">
            <v>2143.89</v>
          </cell>
        </row>
        <row r="1413">
          <cell r="E1413" t="str">
            <v>MUM/23-24/550</v>
          </cell>
          <cell r="F1413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13">
            <v>2887123.84</v>
          </cell>
          <cell r="H1413">
            <v>440408.72</v>
          </cell>
          <cell r="I1413">
            <v>2446715.12</v>
          </cell>
        </row>
        <row r="1414">
          <cell r="E1414" t="str">
            <v>MUM/23-24/551</v>
          </cell>
          <cell r="F1414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14">
            <v>6539.42</v>
          </cell>
          <cell r="H1414">
            <v>997.54</v>
          </cell>
          <cell r="I1414">
            <v>5541.88</v>
          </cell>
        </row>
        <row r="1415">
          <cell r="E1415" t="str">
            <v>MUM/23-24/552</v>
          </cell>
          <cell r="F1415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15">
            <v>1343.03</v>
          </cell>
          <cell r="H1415">
            <v>204.87</v>
          </cell>
          <cell r="I1415">
            <v>1138.1600000000001</v>
          </cell>
        </row>
        <row r="1416">
          <cell r="E1416" t="str">
            <v>MUM/23-24/553</v>
          </cell>
          <cell r="F1416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16">
            <v>179183.16</v>
          </cell>
          <cell r="H1416">
            <v>27333.02</v>
          </cell>
          <cell r="I1416">
            <v>151850.14000000001</v>
          </cell>
        </row>
        <row r="1417">
          <cell r="E1417" t="str">
            <v>MUM/23-24/559</v>
          </cell>
          <cell r="F1417" t="str">
            <v>being brokerage booked on insurance policies placed in May-23.</v>
          </cell>
          <cell r="G1417">
            <v>123963.49</v>
          </cell>
          <cell r="H1417">
            <v>18909.68</v>
          </cell>
          <cell r="I1417">
            <v>105053.81</v>
          </cell>
        </row>
        <row r="1418">
          <cell r="E1418" t="str">
            <v>MUM/23-24/560</v>
          </cell>
          <cell r="F1418" t="str">
            <v>being brokerage booked on insurance policies placed in Jun-23.</v>
          </cell>
          <cell r="G1418">
            <v>555385.27</v>
          </cell>
          <cell r="H1418">
            <v>84719.78</v>
          </cell>
          <cell r="I1418">
            <v>470665.49</v>
          </cell>
        </row>
        <row r="1419">
          <cell r="E1419" t="str">
            <v>MUM/23-24/561</v>
          </cell>
          <cell r="F1419" t="str">
            <v>being brokerage booked on insurance policies placed in Jun-23.</v>
          </cell>
          <cell r="G1419">
            <v>1931290.84</v>
          </cell>
          <cell r="H1419">
            <v>294603.68</v>
          </cell>
          <cell r="I1419">
            <v>1636687.16</v>
          </cell>
        </row>
        <row r="1420">
          <cell r="E1420" t="str">
            <v>MUM/23-24/562</v>
          </cell>
          <cell r="F1420" t="str">
            <v>being brokerage booked on insurance policies placed in Jun-23.</v>
          </cell>
          <cell r="G1420">
            <v>3656537.21</v>
          </cell>
          <cell r="H1420">
            <v>557776.86</v>
          </cell>
          <cell r="I1420">
            <v>3098760.35</v>
          </cell>
        </row>
        <row r="1421">
          <cell r="E1421" t="str">
            <v>MUM/23-24/563</v>
          </cell>
          <cell r="F1421" t="str">
            <v>being brokerage booked on insurance policies placed in May-23.</v>
          </cell>
          <cell r="G1421">
            <v>633102.48</v>
          </cell>
          <cell r="H1421">
            <v>96574.96</v>
          </cell>
          <cell r="I1421">
            <v>536527.52</v>
          </cell>
        </row>
        <row r="1422">
          <cell r="E1422" t="str">
            <v>MUM/23-24/564</v>
          </cell>
          <cell r="F1422" t="str">
            <v>being brokerage booked on insurance policies placed in May-23.</v>
          </cell>
          <cell r="G1422">
            <v>2086164.39</v>
          </cell>
          <cell r="H1422">
            <v>318228.46000000002</v>
          </cell>
          <cell r="I1422">
            <v>1767935.93</v>
          </cell>
        </row>
        <row r="1423">
          <cell r="E1423" t="str">
            <v>PUN/23-24/47</v>
          </cell>
          <cell r="F1423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23">
            <v>2755.98</v>
          </cell>
          <cell r="H1423">
            <v>420.4</v>
          </cell>
          <cell r="I1423">
            <v>2335.58</v>
          </cell>
        </row>
        <row r="1424">
          <cell r="E1424" t="str">
            <v>PUN/23-24/48</v>
          </cell>
          <cell r="F1424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424">
            <v>19692.02</v>
          </cell>
          <cell r="H1424">
            <v>3003.86</v>
          </cell>
          <cell r="I1424">
            <v>16688.16</v>
          </cell>
        </row>
        <row r="1425">
          <cell r="E1425" t="str">
            <v>BLR/23-24/172</v>
          </cell>
          <cell r="F1425" t="str">
            <v>being brokerage booked on insurance policies placed in Jun-23.</v>
          </cell>
          <cell r="G1425">
            <v>261246.9</v>
          </cell>
          <cell r="H1425">
            <v>39851.22</v>
          </cell>
          <cell r="I1425">
            <v>221395.68</v>
          </cell>
        </row>
        <row r="1426">
          <cell r="E1426" t="str">
            <v>BLR/23-24/173</v>
          </cell>
          <cell r="F1426" t="str">
            <v>being brokerage booked on insurance policies placed in Jun-23.</v>
          </cell>
          <cell r="G1426">
            <v>156098.66</v>
          </cell>
          <cell r="H1426">
            <v>23811.66</v>
          </cell>
          <cell r="I1426">
            <v>132287</v>
          </cell>
        </row>
        <row r="1427">
          <cell r="E1427" t="str">
            <v>BLR/23-24/174</v>
          </cell>
          <cell r="F1427" t="str">
            <v>being brokerage booked on insurance policies placed in Jun-23.</v>
          </cell>
          <cell r="G1427">
            <v>1601.26</v>
          </cell>
          <cell r="H1427">
            <v>244.26</v>
          </cell>
          <cell r="I1427">
            <v>1357</v>
          </cell>
        </row>
        <row r="1428">
          <cell r="E1428" t="str">
            <v>CHN/23-24/122</v>
          </cell>
          <cell r="F1428" t="str">
            <v>being brokerage booked on insurance poliices placed in Jun-23.</v>
          </cell>
          <cell r="G1428">
            <v>90624</v>
          </cell>
          <cell r="H1428">
            <v>13824</v>
          </cell>
          <cell r="I1428">
            <v>76800</v>
          </cell>
        </row>
        <row r="1429">
          <cell r="E1429" t="str">
            <v>CHN/23-24/123</v>
          </cell>
          <cell r="F1429" t="str">
            <v>being brokerage booked on insurance policies placed in Jun-23.</v>
          </cell>
          <cell r="G1429">
            <v>41.29</v>
          </cell>
          <cell r="H1429">
            <v>6.3</v>
          </cell>
          <cell r="I1429">
            <v>34.99</v>
          </cell>
        </row>
        <row r="1430">
          <cell r="E1430" t="str">
            <v>CHN/23-24/124</v>
          </cell>
          <cell r="F1430" t="str">
            <v>being brokerage booked on insurance policies placed in Jun-23.</v>
          </cell>
          <cell r="G1430">
            <v>403.2</v>
          </cell>
          <cell r="H1430">
            <v>61.5</v>
          </cell>
          <cell r="I1430">
            <v>341.7</v>
          </cell>
        </row>
        <row r="1431">
          <cell r="E1431" t="str">
            <v>CHN/23-24/125</v>
          </cell>
          <cell r="F1431" t="str">
            <v>being brokerage booked on insurance policies placed in Jun-23.</v>
          </cell>
          <cell r="G1431">
            <v>4548.8999999999996</v>
          </cell>
          <cell r="H1431">
            <v>693.9</v>
          </cell>
          <cell r="I1431">
            <v>3855</v>
          </cell>
        </row>
        <row r="1432">
          <cell r="E1432" t="str">
            <v>CHN/23-24/126</v>
          </cell>
          <cell r="F1432" t="str">
            <v>being brokerage booked on insurance policies placed in Jun-23.</v>
          </cell>
          <cell r="G1432">
            <v>3.54</v>
          </cell>
          <cell r="H1432">
            <v>0.54</v>
          </cell>
          <cell r="I1432">
            <v>3</v>
          </cell>
        </row>
        <row r="1433">
          <cell r="E1433" t="str">
            <v>CHN/23-24/127</v>
          </cell>
          <cell r="F1433" t="str">
            <v>being brokerage booked on insurance policies placed in Jun-23.</v>
          </cell>
          <cell r="G1433">
            <v>20725.52</v>
          </cell>
          <cell r="H1433">
            <v>3161.52</v>
          </cell>
          <cell r="I1433">
            <v>17564</v>
          </cell>
        </row>
        <row r="1434">
          <cell r="E1434" t="str">
            <v>GGN/23-24/377</v>
          </cell>
          <cell r="F1434" t="str">
            <v>being brokerage booked on insurance policies placed in Jun-23.</v>
          </cell>
          <cell r="G1434">
            <v>61021.34</v>
          </cell>
          <cell r="H1434">
            <v>9308.34</v>
          </cell>
          <cell r="I1434">
            <v>51713</v>
          </cell>
        </row>
        <row r="1435">
          <cell r="E1435" t="str">
            <v>GGN/23-24/378</v>
          </cell>
          <cell r="F1435" t="str">
            <v>being brokerage booked on insurance policies placed in Jun-23.</v>
          </cell>
          <cell r="G1435">
            <v>202885.9</v>
          </cell>
          <cell r="H1435">
            <v>30948.7</v>
          </cell>
          <cell r="I1435">
            <v>171937.2</v>
          </cell>
        </row>
        <row r="1436">
          <cell r="E1436" t="str">
            <v>GGN/23-24/379</v>
          </cell>
          <cell r="F1436" t="str">
            <v>being brokerage booked on insurance policies placed in Jun-23.</v>
          </cell>
          <cell r="G1436">
            <v>165157.51999999999</v>
          </cell>
          <cell r="H1436">
            <v>25193.52</v>
          </cell>
          <cell r="I1436">
            <v>139964</v>
          </cell>
        </row>
        <row r="1437">
          <cell r="E1437" t="str">
            <v>GGN/23-24/380</v>
          </cell>
          <cell r="F1437" t="str">
            <v>being brokerage booked on insurance policies placed in Jun-23.</v>
          </cell>
          <cell r="G1437">
            <v>4327.3900000000003</v>
          </cell>
          <cell r="H1437">
            <v>660.11</v>
          </cell>
          <cell r="I1437">
            <v>3667.28</v>
          </cell>
        </row>
        <row r="1438">
          <cell r="E1438" t="str">
            <v>GGN/23-24/381</v>
          </cell>
          <cell r="F1438" t="str">
            <v>being brokerage booked on insurance policies placed in Jun-23.</v>
          </cell>
          <cell r="G1438">
            <v>70090.820000000007</v>
          </cell>
          <cell r="H1438">
            <v>10691.82</v>
          </cell>
          <cell r="I1438">
            <v>59399</v>
          </cell>
        </row>
        <row r="1439">
          <cell r="E1439" t="str">
            <v>GGN/23-24/382</v>
          </cell>
          <cell r="F1439" t="str">
            <v>being brokerage booked on insurance policies placed in Jun-23.</v>
          </cell>
          <cell r="G1439">
            <v>25722.82</v>
          </cell>
          <cell r="H1439">
            <v>3923.82</v>
          </cell>
          <cell r="I1439">
            <v>21799</v>
          </cell>
        </row>
        <row r="1440">
          <cell r="E1440" t="str">
            <v>GGN/23-24/383</v>
          </cell>
          <cell r="F1440" t="str">
            <v>being brokerage booked on insurance policies placed in Jun-23.</v>
          </cell>
          <cell r="G1440">
            <v>69726.2</v>
          </cell>
          <cell r="H1440">
            <v>10636.2</v>
          </cell>
          <cell r="I1440">
            <v>59090</v>
          </cell>
        </row>
        <row r="1441">
          <cell r="E1441" t="str">
            <v>GGN/23-24/384</v>
          </cell>
          <cell r="F1441" t="str">
            <v>being brokerage booked on insurance policies placed in Jun-23.</v>
          </cell>
          <cell r="G1441">
            <v>17375445.010000002</v>
          </cell>
          <cell r="H1441">
            <v>2650491.61</v>
          </cell>
          <cell r="I1441">
            <v>14724953.4</v>
          </cell>
        </row>
        <row r="1442">
          <cell r="E1442" t="str">
            <v>HYD/23-24/73</v>
          </cell>
          <cell r="F1442" t="str">
            <v>being brokerage booked on insurance policies placed in Jun-23.</v>
          </cell>
          <cell r="G1442">
            <v>125296.86</v>
          </cell>
          <cell r="H1442">
            <v>19113.080000000002</v>
          </cell>
          <cell r="I1442">
            <v>106183.78</v>
          </cell>
        </row>
        <row r="1443">
          <cell r="E1443" t="str">
            <v>LUD/23-24/46</v>
          </cell>
          <cell r="F1443" t="str">
            <v>being brokerage booked on insurance policies placed in Jun-23.</v>
          </cell>
          <cell r="G1443">
            <v>26074.46</v>
          </cell>
          <cell r="H1443">
            <v>3977.46</v>
          </cell>
          <cell r="I1443">
            <v>22097</v>
          </cell>
        </row>
        <row r="1444">
          <cell r="E1444" t="str">
            <v>LUD/23-24/47</v>
          </cell>
          <cell r="F1444" t="str">
            <v>being brokerage booked on insurance policies placed in Jun-23.</v>
          </cell>
          <cell r="G1444">
            <v>3915.38</v>
          </cell>
          <cell r="H1444">
            <v>597.26</v>
          </cell>
          <cell r="I1444">
            <v>3318.12</v>
          </cell>
        </row>
        <row r="1445">
          <cell r="E1445" t="str">
            <v>MUM/23-24/567</v>
          </cell>
          <cell r="F1445" t="str">
            <v>being brokerage booked on insurance policies placed in Jun-23.</v>
          </cell>
          <cell r="G1445">
            <v>12439.56</v>
          </cell>
          <cell r="H1445">
            <v>1897.56</v>
          </cell>
          <cell r="I1445">
            <v>10542</v>
          </cell>
        </row>
        <row r="1446">
          <cell r="E1446" t="str">
            <v>MUM/23-24/568</v>
          </cell>
          <cell r="F1446" t="str">
            <v>being brokerage booked on insurance policies placed in Jun-23.</v>
          </cell>
          <cell r="G1446">
            <v>21819.38</v>
          </cell>
          <cell r="H1446">
            <v>3328.38</v>
          </cell>
          <cell r="I1446">
            <v>18491</v>
          </cell>
        </row>
        <row r="1447">
          <cell r="E1447" t="str">
            <v>MUM/23-24/569</v>
          </cell>
          <cell r="F1447" t="str">
            <v>being brokerage booked on insurance policies placed in Jun-23.</v>
          </cell>
          <cell r="G1447">
            <v>52034.46</v>
          </cell>
          <cell r="H1447">
            <v>7937.46</v>
          </cell>
          <cell r="I1447">
            <v>44097</v>
          </cell>
        </row>
        <row r="1448">
          <cell r="E1448" t="str">
            <v>MUM/23-24/570</v>
          </cell>
          <cell r="F1448" t="str">
            <v>being brokerage booked on insurance policies placed in Jun-23.</v>
          </cell>
          <cell r="G1448">
            <v>418.42</v>
          </cell>
          <cell r="H1448">
            <v>63.82</v>
          </cell>
          <cell r="I1448">
            <v>354.6</v>
          </cell>
        </row>
        <row r="1449">
          <cell r="E1449" t="str">
            <v>MUM/23-24/571</v>
          </cell>
          <cell r="F1449" t="str">
            <v>being brokerage booked on insurance policies placed in Jun-23.</v>
          </cell>
          <cell r="G1449">
            <v>95875</v>
          </cell>
          <cell r="H1449">
            <v>14625</v>
          </cell>
          <cell r="I1449">
            <v>81250</v>
          </cell>
        </row>
        <row r="1450">
          <cell r="E1450" t="str">
            <v>MUM/23-24/572</v>
          </cell>
          <cell r="F1450" t="str">
            <v>being brokerage booked on insurance policies placed.</v>
          </cell>
          <cell r="G1450">
            <v>1084230.02</v>
          </cell>
          <cell r="H1450">
            <v>165391.01999999999</v>
          </cell>
          <cell r="I1450">
            <v>918839</v>
          </cell>
        </row>
        <row r="1451">
          <cell r="E1451" t="str">
            <v>MUM/23-24/573</v>
          </cell>
          <cell r="F1451" t="str">
            <v>being reward booked on insurance policies placed.</v>
          </cell>
          <cell r="G1451">
            <v>323926.52</v>
          </cell>
          <cell r="H1451">
            <v>49412.52</v>
          </cell>
          <cell r="I1451">
            <v>274514</v>
          </cell>
        </row>
        <row r="1452">
          <cell r="E1452" t="str">
            <v>PUN/23-24/49</v>
          </cell>
          <cell r="F1452" t="str">
            <v>being brokerage booked on insurance policies placed in Jun-23.</v>
          </cell>
          <cell r="G1452">
            <v>5751.32</v>
          </cell>
          <cell r="H1452">
            <v>877.32</v>
          </cell>
          <cell r="I1452">
            <v>4874</v>
          </cell>
        </row>
        <row r="1453">
          <cell r="E1453" t="str">
            <v>PUN/23-24/50</v>
          </cell>
          <cell r="F1453" t="str">
            <v>being brokerage booked on insurance policies placed in Jun-23.</v>
          </cell>
          <cell r="G1453">
            <v>15450.11</v>
          </cell>
          <cell r="H1453">
            <v>2356.8000000000002</v>
          </cell>
          <cell r="I1453">
            <v>13093.31</v>
          </cell>
        </row>
        <row r="1454">
          <cell r="E1454" t="str">
            <v>BLR/23-24/175</v>
          </cell>
          <cell r="F1454" t="str">
            <v>being reward booked on insurance policies placed in Upto Mar-23.</v>
          </cell>
          <cell r="G1454">
            <v>24890.92</v>
          </cell>
          <cell r="H1454">
            <v>3796.92</v>
          </cell>
          <cell r="I1454">
            <v>21094</v>
          </cell>
        </row>
        <row r="1455">
          <cell r="E1455" t="str">
            <v>MUM/23-24/574</v>
          </cell>
          <cell r="F1455" t="str">
            <v>being brokerage booked on insurnace polices placed in Jun-23.</v>
          </cell>
          <cell r="G1455">
            <v>9828.06</v>
          </cell>
          <cell r="H1455">
            <v>1499.2</v>
          </cell>
          <cell r="I1455">
            <v>8328.86</v>
          </cell>
        </row>
        <row r="1456">
          <cell r="E1456" t="str">
            <v>MUM/23-24/575</v>
          </cell>
          <cell r="F1456" t="str">
            <v>being brokerage booked on insurnace polices placed in Jun-23.</v>
          </cell>
          <cell r="G1456">
            <v>69.209999999999994</v>
          </cell>
          <cell r="H1456">
            <v>10.56</v>
          </cell>
          <cell r="I1456">
            <v>58.65</v>
          </cell>
        </row>
        <row r="1457">
          <cell r="E1457" t="str">
            <v>MUM/23-24/576</v>
          </cell>
          <cell r="F1457" t="str">
            <v>being brokerage booked on insurnace polices placed in Jun-23.</v>
          </cell>
          <cell r="G1457">
            <v>1925114.77</v>
          </cell>
          <cell r="H1457">
            <v>293661.58</v>
          </cell>
          <cell r="I1457">
            <v>1631453.19</v>
          </cell>
        </row>
        <row r="1458">
          <cell r="E1458" t="str">
            <v>MUM/23-24/577</v>
          </cell>
          <cell r="F1458" t="str">
            <v>Being Reward booked on insurance policies placed in Jun-23.</v>
          </cell>
          <cell r="G1458">
            <v>34007.25</v>
          </cell>
          <cell r="H1458">
            <v>5187.54</v>
          </cell>
          <cell r="I1458">
            <v>28819.71</v>
          </cell>
        </row>
        <row r="1459">
          <cell r="E1459" t="str">
            <v>MUM/23-24/578</v>
          </cell>
          <cell r="F1459" t="str">
            <v>being brokerage booked on insurnace polices placed in Jun-23.</v>
          </cell>
          <cell r="G1459">
            <v>14636.38</v>
          </cell>
          <cell r="H1459">
            <v>2232.66</v>
          </cell>
          <cell r="I1459">
            <v>12403.72</v>
          </cell>
        </row>
        <row r="1460">
          <cell r="E1460" t="str">
            <v>BLR/23-24/176</v>
          </cell>
          <cell r="F1460" t="str">
            <v>being reward booked on insurance policies placed in Apr to Jun-23.</v>
          </cell>
          <cell r="G1460">
            <v>553331.02</v>
          </cell>
          <cell r="H1460">
            <v>84406.42</v>
          </cell>
          <cell r="I1460">
            <v>468924.6</v>
          </cell>
        </row>
        <row r="1461">
          <cell r="E1461" t="str">
            <v>BLR/23-24/177</v>
          </cell>
          <cell r="F1461" t="str">
            <v>being brokerage booked on insurance policies placed in Jun-23.</v>
          </cell>
          <cell r="G1461">
            <v>73986.13</v>
          </cell>
          <cell r="H1461">
            <v>11286.02</v>
          </cell>
          <cell r="I1461">
            <v>62700.11</v>
          </cell>
        </row>
        <row r="1462">
          <cell r="E1462" t="str">
            <v>BLR/23-24/178</v>
          </cell>
          <cell r="F1462" t="str">
            <v>being reward booked on insurance policies placed in Jun-23. We also declare that our revenue from other than insurance intermidition activities less than fifty percent of our total revenue from all the activities.</v>
          </cell>
          <cell r="G1462">
            <v>1290.3399999999999</v>
          </cell>
          <cell r="H1462">
            <v>196.84</v>
          </cell>
          <cell r="I1462">
            <v>1093.5</v>
          </cell>
        </row>
        <row r="1463">
          <cell r="E1463" t="str">
            <v>BLR/23-24/179</v>
          </cell>
          <cell r="F1463" t="str">
            <v>being brokerage booked on insurance policies placed in Apr-23. GST is not payable under reverse charge  on these services. The invoice is issued as per Section 31 of the CGST Act.</v>
          </cell>
          <cell r="G1463">
            <v>1123901.6200000001</v>
          </cell>
          <cell r="H1463">
            <v>171442.62</v>
          </cell>
          <cell r="I1463">
            <v>952459</v>
          </cell>
        </row>
        <row r="1464">
          <cell r="E1464" t="str">
            <v>BLR/23-24/180</v>
          </cell>
          <cell r="F1464" t="str">
            <v>being brokerage booked on insurance policies placed in Jun-23. GST is not payable under reverse charge  on these services. The invoice is issued as per Section 31 of the CGST Act.</v>
          </cell>
          <cell r="G1464">
            <v>78731.960000000006</v>
          </cell>
          <cell r="H1464">
            <v>12009.96</v>
          </cell>
          <cell r="I1464">
            <v>66722</v>
          </cell>
        </row>
        <row r="1465">
          <cell r="E1465" t="str">
            <v>BLR/23-24/181</v>
          </cell>
          <cell r="F1465" t="str">
            <v>being brokerage booked on insurance policies placed in Jun-23.</v>
          </cell>
          <cell r="G1465">
            <v>282925.27</v>
          </cell>
          <cell r="H1465">
            <v>43158.1</v>
          </cell>
          <cell r="I1465">
            <v>239767.17</v>
          </cell>
        </row>
        <row r="1466">
          <cell r="E1466" t="str">
            <v>BLR/23-24/182</v>
          </cell>
          <cell r="F1466" t="str">
            <v>being brokerage booked on insurance policies placed in Apr to Jun-23.</v>
          </cell>
          <cell r="G1466">
            <v>1550576.16</v>
          </cell>
          <cell r="H1466">
            <v>236528.56</v>
          </cell>
          <cell r="I1466">
            <v>1314047.6000000001</v>
          </cell>
        </row>
        <row r="1467">
          <cell r="E1467" t="str">
            <v>BLR/23-24/183</v>
          </cell>
          <cell r="F1467" t="str">
            <v>being brokerage booked on insurance policies placed in Jun-23.</v>
          </cell>
          <cell r="G1467">
            <v>312776.3</v>
          </cell>
          <cell r="H1467">
            <v>47711.64</v>
          </cell>
          <cell r="I1467">
            <v>265064.65999999997</v>
          </cell>
        </row>
        <row r="1468">
          <cell r="E1468" t="str">
            <v>CHN/23-24/128</v>
          </cell>
          <cell r="F1468" t="str">
            <v>being reward booked on insurance policies placed in Apr to Jun-23.</v>
          </cell>
          <cell r="G1468">
            <v>12620.76</v>
          </cell>
          <cell r="H1468">
            <v>1925.2</v>
          </cell>
          <cell r="I1468">
            <v>10695.56</v>
          </cell>
        </row>
        <row r="1469">
          <cell r="E1469" t="str">
            <v>CHN/23-24/129</v>
          </cell>
          <cell r="F1469" t="str">
            <v>being brokerage booked on insurance policies placed in Jun-23.</v>
          </cell>
          <cell r="G1469">
            <v>64502.78</v>
          </cell>
          <cell r="H1469">
            <v>9839.4</v>
          </cell>
          <cell r="I1469">
            <v>54663.38</v>
          </cell>
        </row>
        <row r="1470">
          <cell r="E1470" t="str">
            <v>CHN/23-24/130</v>
          </cell>
          <cell r="F1470" t="str">
            <v>being brokerage booked on insurance policies placed in Jun-23.</v>
          </cell>
          <cell r="G1470">
            <v>310.33999999999997</v>
          </cell>
          <cell r="H1470">
            <v>47.34</v>
          </cell>
          <cell r="I1470">
            <v>263</v>
          </cell>
        </row>
        <row r="1471">
          <cell r="E1471" t="str">
            <v>GGN/23-24/385</v>
          </cell>
          <cell r="F1471" t="str">
            <v>being reward booked on insurance policies placed in Apr to Jun-23.</v>
          </cell>
          <cell r="G1471">
            <v>1036721.07</v>
          </cell>
          <cell r="H1471">
            <v>158143.89000000001</v>
          </cell>
          <cell r="I1471">
            <v>878577.18</v>
          </cell>
        </row>
        <row r="1472">
          <cell r="E1472" t="str">
            <v>GGN/23-24/386</v>
          </cell>
          <cell r="F1472" t="str">
            <v>being brokerage booked on insurance policies placed in Jun-23.</v>
          </cell>
          <cell r="G1472">
            <v>369206.16</v>
          </cell>
          <cell r="H1472">
            <v>56319.58</v>
          </cell>
          <cell r="I1472">
            <v>312886.58</v>
          </cell>
        </row>
        <row r="1473">
          <cell r="E1473" t="str">
            <v>GGN/23-24/387</v>
          </cell>
          <cell r="F1473" t="str">
            <v>being brokerage booked on insurance policies placed in Jun-23.</v>
          </cell>
          <cell r="G1473">
            <v>639886.03</v>
          </cell>
          <cell r="H1473">
            <v>97609.73</v>
          </cell>
          <cell r="I1473">
            <v>542276.30000000005</v>
          </cell>
        </row>
        <row r="1474">
          <cell r="E1474" t="str">
            <v>GGN/23-24/388</v>
          </cell>
          <cell r="F1474" t="str">
            <v>being brokerage booked on insurance policies placed in Jun-23.</v>
          </cell>
          <cell r="G1474">
            <v>259187.14</v>
          </cell>
          <cell r="H1474">
            <v>39537.019999999997</v>
          </cell>
          <cell r="I1474">
            <v>219650.12</v>
          </cell>
        </row>
        <row r="1475">
          <cell r="E1475" t="str">
            <v>GGN/23-24/389</v>
          </cell>
          <cell r="F1475" t="str">
            <v>being brokerage booked on insurance policies placed in Jun-23.</v>
          </cell>
          <cell r="G1475">
            <v>16741.84</v>
          </cell>
          <cell r="H1475">
            <v>2553.84</v>
          </cell>
          <cell r="I1475">
            <v>14188</v>
          </cell>
        </row>
        <row r="1476">
          <cell r="E1476" t="str">
            <v>GGN/23-24/390</v>
          </cell>
          <cell r="F1476" t="str">
            <v>being brokerage booked on insurance policies placed in Jun-23.</v>
          </cell>
          <cell r="G1476">
            <v>2264.42</v>
          </cell>
          <cell r="H1476">
            <v>345.42</v>
          </cell>
          <cell r="I1476">
            <v>1919</v>
          </cell>
        </row>
        <row r="1477">
          <cell r="E1477" t="str">
            <v>HYD/23-24/74</v>
          </cell>
          <cell r="F1477" t="str">
            <v>being brokerage booked on insurance policies placed in Jun-23.</v>
          </cell>
          <cell r="G1477">
            <v>102169.1</v>
          </cell>
          <cell r="H1477">
            <v>15585.12</v>
          </cell>
          <cell r="I1477">
            <v>86583.98</v>
          </cell>
        </row>
        <row r="1478">
          <cell r="E1478" t="str">
            <v>LUD/23-24/48</v>
          </cell>
          <cell r="F1478" t="str">
            <v>being brokerage booked on insurance policies placed in Jun-23.</v>
          </cell>
          <cell r="G1478">
            <v>206781.07</v>
          </cell>
          <cell r="H1478">
            <v>31542.880000000001</v>
          </cell>
          <cell r="I1478">
            <v>175238.19</v>
          </cell>
        </row>
        <row r="1479">
          <cell r="E1479" t="str">
            <v>LUD/23-24/49</v>
          </cell>
          <cell r="F1479" t="str">
            <v>being brokerage booked on insurance policies placed in Jun-23.</v>
          </cell>
          <cell r="G1479">
            <v>5489.36</v>
          </cell>
          <cell r="H1479">
            <v>837.36</v>
          </cell>
          <cell r="I1479">
            <v>4652</v>
          </cell>
        </row>
        <row r="1480">
          <cell r="E1480" t="str">
            <v>MUM/23-24/579</v>
          </cell>
          <cell r="F1480" t="str">
            <v>being reward booked on insurance policies placed in Apr to Jun-23.</v>
          </cell>
          <cell r="G1480">
            <v>160333.51</v>
          </cell>
          <cell r="H1480">
            <v>24457.66</v>
          </cell>
          <cell r="I1480">
            <v>135875.85</v>
          </cell>
        </row>
        <row r="1481">
          <cell r="E1481" t="str">
            <v>MUM/23-24/580</v>
          </cell>
          <cell r="F1481" t="str">
            <v>being reward booked on insurance policies placed in Apr to Jun-23.</v>
          </cell>
          <cell r="G1481">
            <v>21564.5</v>
          </cell>
          <cell r="H1481">
            <v>3289.5</v>
          </cell>
          <cell r="I1481">
            <v>18275</v>
          </cell>
        </row>
        <row r="1482">
          <cell r="E1482" t="str">
            <v>MUM/23-24/581</v>
          </cell>
          <cell r="F1482" t="str">
            <v>being brokerage booked on insurance policies placed in Jun-23.</v>
          </cell>
          <cell r="G1482">
            <v>48150.34</v>
          </cell>
          <cell r="H1482">
            <v>7344.96</v>
          </cell>
          <cell r="I1482">
            <v>40805.379999999997</v>
          </cell>
        </row>
        <row r="1483">
          <cell r="E1483" t="str">
            <v>MUM/23-24/582</v>
          </cell>
          <cell r="F1483" t="str">
            <v>being brokerage booked on insurance policies placed in Jun-23.</v>
          </cell>
          <cell r="G1483">
            <v>641.67999999999995</v>
          </cell>
          <cell r="H1483">
            <v>97.88</v>
          </cell>
          <cell r="I1483">
            <v>543.79999999999995</v>
          </cell>
        </row>
        <row r="1484">
          <cell r="E1484" t="str">
            <v>MUM/23-24/583</v>
          </cell>
          <cell r="F1484" t="str">
            <v>being brokerage booked on insurance policies placed in Jun-23.</v>
          </cell>
          <cell r="G1484">
            <v>340725</v>
          </cell>
          <cell r="H1484">
            <v>51975</v>
          </cell>
          <cell r="I1484">
            <v>288750</v>
          </cell>
        </row>
        <row r="1485">
          <cell r="E1485" t="str">
            <v>MUM/23-24/584</v>
          </cell>
          <cell r="F1485" t="str">
            <v>being brokerage booked on insurance policies placed in Jun-23.</v>
          </cell>
          <cell r="G1485">
            <v>921380.29</v>
          </cell>
          <cell r="H1485">
            <v>140549.54</v>
          </cell>
          <cell r="I1485">
            <v>780830.75</v>
          </cell>
        </row>
        <row r="1486">
          <cell r="E1486" t="str">
            <v>MUM/23-24/585</v>
          </cell>
          <cell r="F1486" t="str">
            <v>being brokerage booked on insurance policies placed in Feb-23.</v>
          </cell>
          <cell r="G1486">
            <v>2298531.92</v>
          </cell>
          <cell r="H1486">
            <v>350623.52</v>
          </cell>
          <cell r="I1486">
            <v>1947908.4</v>
          </cell>
        </row>
        <row r="1487">
          <cell r="E1487" t="str">
            <v>MUM/23-24/586</v>
          </cell>
          <cell r="F1487" t="str">
            <v>being brokerage booked on insurnace polices placed in Jun-23.</v>
          </cell>
          <cell r="G1487">
            <v>680108.38</v>
          </cell>
          <cell r="H1487">
            <v>103745.34</v>
          </cell>
          <cell r="I1487">
            <v>576363.04</v>
          </cell>
        </row>
        <row r="1488">
          <cell r="E1488" t="str">
            <v>MUM/23-24/587</v>
          </cell>
          <cell r="F1488" t="str">
            <v>being brokerage booked on insurance policies placed in Apr to Jun-23.</v>
          </cell>
          <cell r="G1488">
            <v>728270.12</v>
          </cell>
          <cell r="H1488">
            <v>111092.06</v>
          </cell>
          <cell r="I1488">
            <v>617178.06000000006</v>
          </cell>
        </row>
        <row r="1489">
          <cell r="E1489" t="str">
            <v>MUM/23-24/588</v>
          </cell>
          <cell r="F1489" t="str">
            <v>being brokerage booked on insurance policies placed in Apr to Jun-23.</v>
          </cell>
          <cell r="G1489">
            <v>829319.85</v>
          </cell>
          <cell r="H1489">
            <v>126506.42</v>
          </cell>
          <cell r="I1489">
            <v>702813.43</v>
          </cell>
        </row>
        <row r="1490">
          <cell r="E1490" t="str">
            <v>MUM/23-24/589</v>
          </cell>
          <cell r="F1490" t="str">
            <v>being brokerage booked on insurance policies placed in May-23.</v>
          </cell>
          <cell r="G1490">
            <v>462.08</v>
          </cell>
          <cell r="H1490">
            <v>70.48</v>
          </cell>
          <cell r="I1490">
            <v>391.6</v>
          </cell>
        </row>
        <row r="1491">
          <cell r="E1491" t="str">
            <v>BLR/23-24/184</v>
          </cell>
          <cell r="F1491" t="str">
            <v>being professional fees charged for broking service for period 1st Jan to 31 Dec 2023 Category - B policy Type GMC, GPA, GTL &amp; Top-up (RM Hasan Raza). LUT No:AD2904230236924</v>
          </cell>
          <cell r="G1491">
            <v>1100000</v>
          </cell>
          <cell r="I1491">
            <v>1100000</v>
          </cell>
        </row>
        <row r="1492">
          <cell r="E1492" t="str">
            <v>GGN/23-24/391</v>
          </cell>
          <cell r="F1492" t="str">
            <v>being brokerage booked on insurance policies placed in Jun-23.</v>
          </cell>
          <cell r="G1492">
            <v>4063440.13</v>
          </cell>
          <cell r="H1492">
            <v>619846.80000000005</v>
          </cell>
          <cell r="I1492">
            <v>3443593.33</v>
          </cell>
        </row>
        <row r="1493">
          <cell r="E1493" t="str">
            <v>GGN/23-24/392</v>
          </cell>
          <cell r="F1493" t="str">
            <v>being reward booked on insurance policies placed in Jun-23.</v>
          </cell>
          <cell r="G1493">
            <v>575419.79</v>
          </cell>
          <cell r="H1493">
            <v>87775.9</v>
          </cell>
          <cell r="I1493">
            <v>487643.89</v>
          </cell>
        </row>
        <row r="1494">
          <cell r="E1494" t="str">
            <v>MUM/23-24/590</v>
          </cell>
          <cell r="F1494" t="str">
            <v>being reward booked on insurance policies placed in Apr-23.</v>
          </cell>
          <cell r="G1494">
            <v>1422053.68</v>
          </cell>
          <cell r="H1494">
            <v>216923.44</v>
          </cell>
          <cell r="I1494">
            <v>1205130.24</v>
          </cell>
        </row>
        <row r="1495">
          <cell r="E1495" t="str">
            <v>MUM/23-24/591</v>
          </cell>
          <cell r="F1495" t="str">
            <v>being reward booked on insurance policies placed in Jun-23.</v>
          </cell>
          <cell r="G1495">
            <v>34241.42</v>
          </cell>
          <cell r="H1495">
            <v>5223.26</v>
          </cell>
          <cell r="I1495">
            <v>29018.16</v>
          </cell>
        </row>
        <row r="1496">
          <cell r="E1496" t="str">
            <v>BLR/23-24/185</v>
          </cell>
          <cell r="F1496" t="str">
            <v>being brokerage booked on insurance policies placed in Jul-23.</v>
          </cell>
          <cell r="G1496">
            <v>34380.19</v>
          </cell>
          <cell r="H1496">
            <v>5244.44</v>
          </cell>
          <cell r="I1496">
            <v>29135.75</v>
          </cell>
        </row>
        <row r="1497">
          <cell r="E1497" t="str">
            <v>BLR/23-24/186</v>
          </cell>
          <cell r="F1497" t="str">
            <v>being brokerage booked on insurance policies placed in Jun-23.</v>
          </cell>
          <cell r="G1497">
            <v>32448.92</v>
          </cell>
          <cell r="H1497">
            <v>4949.84</v>
          </cell>
          <cell r="I1497">
            <v>27499.08</v>
          </cell>
        </row>
        <row r="1498">
          <cell r="E1498" t="str">
            <v>GGN/23-24/393</v>
          </cell>
          <cell r="F1498" t="str">
            <v>being brokerage booked on insurance policies placed in Jun-23.</v>
          </cell>
          <cell r="G1498">
            <v>196524.27</v>
          </cell>
          <cell r="H1498">
            <v>29978.28</v>
          </cell>
          <cell r="I1498">
            <v>166545.99</v>
          </cell>
        </row>
        <row r="1499">
          <cell r="E1499" t="str">
            <v>HYD/23-24/75</v>
          </cell>
          <cell r="F1499" t="str">
            <v>being brokerage booked on insurance policies placed in Jun-23.</v>
          </cell>
          <cell r="G1499">
            <v>1034.94</v>
          </cell>
          <cell r="H1499">
            <v>157.88</v>
          </cell>
          <cell r="I1499">
            <v>877.06</v>
          </cell>
        </row>
        <row r="1500">
          <cell r="E1500" t="str">
            <v>LUD/23-24/50</v>
          </cell>
          <cell r="F1500" t="str">
            <v>being brokerage booked on insurance policies placed in Jun-23.</v>
          </cell>
          <cell r="G1500">
            <v>2634.14</v>
          </cell>
          <cell r="H1500">
            <v>401.82</v>
          </cell>
          <cell r="I1500">
            <v>2232.3200000000002</v>
          </cell>
        </row>
        <row r="1501">
          <cell r="E1501" t="str">
            <v>MUM/23-24/592</v>
          </cell>
          <cell r="F1501" t="str">
            <v>being brokerage booked on insurance policies placed in Jul-23.</v>
          </cell>
          <cell r="G1501">
            <v>1957.62</v>
          </cell>
          <cell r="H1501">
            <v>298.62</v>
          </cell>
          <cell r="I1501">
            <v>1659</v>
          </cell>
        </row>
        <row r="1502">
          <cell r="E1502" t="str">
            <v>MUM/23-24/593</v>
          </cell>
          <cell r="F1502" t="str">
            <v>being brokerage booked on insurance policies placed in Jun-23.</v>
          </cell>
          <cell r="G1502">
            <v>2.48</v>
          </cell>
          <cell r="H1502">
            <v>0.38</v>
          </cell>
          <cell r="I1502">
            <v>2.1</v>
          </cell>
        </row>
        <row r="1503">
          <cell r="E1503" t="str">
            <v>MUM/23-24/594</v>
          </cell>
          <cell r="F1503" t="str">
            <v>being brokerage booked on insurance policies placed in Jun-23.</v>
          </cell>
          <cell r="G1503">
            <v>129520.62</v>
          </cell>
          <cell r="H1503">
            <v>19757.38</v>
          </cell>
          <cell r="I1503">
            <v>109763.24</v>
          </cell>
        </row>
        <row r="1504">
          <cell r="E1504" t="str">
            <v>MUM/23-24/595</v>
          </cell>
          <cell r="F1504" t="str">
            <v>being reward booked on insurance policies placed in Jun-23.</v>
          </cell>
          <cell r="G1504">
            <v>31772.25</v>
          </cell>
          <cell r="H1504">
            <v>4846.62</v>
          </cell>
          <cell r="I1504">
            <v>26925.63</v>
          </cell>
        </row>
        <row r="1505">
          <cell r="E1505" t="str">
            <v>MUM/23-24/596</v>
          </cell>
          <cell r="F1505" t="str">
            <v>being brokerage booked on insurance policies placed in Jul-23.</v>
          </cell>
          <cell r="G1505">
            <v>4087272.33</v>
          </cell>
          <cell r="H1505">
            <v>623482.22</v>
          </cell>
          <cell r="I1505">
            <v>3463790.11</v>
          </cell>
        </row>
        <row r="1506">
          <cell r="E1506" t="str">
            <v>MUM/23-24/597</v>
          </cell>
          <cell r="F1506" t="str">
            <v>being brokerage booked on insurance policies placed in Apr-23.</v>
          </cell>
          <cell r="G1506">
            <v>297316.96999999997</v>
          </cell>
          <cell r="H1506">
            <v>45353.440000000002</v>
          </cell>
          <cell r="I1506">
            <v>251963.53</v>
          </cell>
        </row>
        <row r="1507">
          <cell r="E1507" t="str">
            <v>MUM/23-24/598</v>
          </cell>
          <cell r="F1507" t="str">
            <v>being brokerage booked on insurance policies placed in May-23.</v>
          </cell>
          <cell r="G1507">
            <v>1843.76</v>
          </cell>
          <cell r="H1507">
            <v>281.26</v>
          </cell>
          <cell r="I1507">
            <v>1562.5</v>
          </cell>
        </row>
        <row r="1508">
          <cell r="E1508" t="str">
            <v>BLR/23-24/187</v>
          </cell>
          <cell r="F1508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508">
            <v>1588.64</v>
          </cell>
          <cell r="H1508">
            <v>242.34</v>
          </cell>
          <cell r="I1508">
            <v>1346.3</v>
          </cell>
        </row>
        <row r="1509">
          <cell r="E1509" t="str">
            <v>CHN/23-24/131</v>
          </cell>
          <cell r="F1509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509">
            <v>11078.19</v>
          </cell>
          <cell r="H1509">
            <v>1689.9</v>
          </cell>
          <cell r="I1509">
            <v>9388.2900000000009</v>
          </cell>
        </row>
        <row r="1510">
          <cell r="E1510" t="str">
            <v>CHN/23-24/132</v>
          </cell>
          <cell r="F1510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510">
            <v>10.99</v>
          </cell>
          <cell r="H1510">
            <v>1.68</v>
          </cell>
          <cell r="I1510">
            <v>9.31</v>
          </cell>
        </row>
        <row r="1511">
          <cell r="E1511" t="str">
            <v>CHN/23-24/133</v>
          </cell>
          <cell r="F1511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511">
            <v>83.91</v>
          </cell>
          <cell r="H1511">
            <v>12.8</v>
          </cell>
          <cell r="I1511">
            <v>71.11</v>
          </cell>
        </row>
        <row r="1512">
          <cell r="E1512" t="str">
            <v>GGN/23-24/394</v>
          </cell>
          <cell r="F1512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512">
            <v>627.36</v>
          </cell>
          <cell r="H1512">
            <v>95.7</v>
          </cell>
          <cell r="I1512">
            <v>531.66</v>
          </cell>
        </row>
        <row r="1513">
          <cell r="E1513" t="str">
            <v>GGN/23-24/395</v>
          </cell>
          <cell r="F1513" t="str">
            <v>being reward booked on insurance policies placed. ( Whether the Tax is payable on reverse charge basis: NO, Prudent State Code: 06 - Care Health State Code: 06, Place of Supply  - Gurgaon Haryana.)</v>
          </cell>
          <cell r="G1513">
            <v>14711397.140000001</v>
          </cell>
          <cell r="H1513">
            <v>2244111.42</v>
          </cell>
          <cell r="I1513">
            <v>12467285.720000001</v>
          </cell>
        </row>
        <row r="1514">
          <cell r="E1514" t="str">
            <v>LUD/23-24/51</v>
          </cell>
          <cell r="F1514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514">
            <v>18.59</v>
          </cell>
          <cell r="H1514">
            <v>2.84</v>
          </cell>
          <cell r="I1514">
            <v>15.75</v>
          </cell>
        </row>
        <row r="1515">
          <cell r="E1515" t="str">
            <v>MUM/23-24/599</v>
          </cell>
          <cell r="F1515" t="str">
            <v>being reward booked on insurance policies placed in Mar-23. GST is not payable under reverse charge  on these services. The invoice is issued as per Section 31 of the CGST Act.</v>
          </cell>
          <cell r="G1515">
            <v>11612.38</v>
          </cell>
          <cell r="H1515">
            <v>1771.38</v>
          </cell>
          <cell r="I1515">
            <v>9841</v>
          </cell>
        </row>
        <row r="1516">
          <cell r="E1516" t="str">
            <v>MUM/23-24/600</v>
          </cell>
          <cell r="F1516" t="str">
            <v>being brokerage booked on insurance policies placed in May-23. GST is not payable under reverse charge  on these services. The invoice is issued as per Section 31 of the CGST Act.</v>
          </cell>
          <cell r="G1516">
            <v>458896.1</v>
          </cell>
          <cell r="H1516">
            <v>70001.100000000006</v>
          </cell>
          <cell r="I1516">
            <v>388895</v>
          </cell>
        </row>
        <row r="1517">
          <cell r="E1517" t="str">
            <v>MUM/23-24/601</v>
          </cell>
          <cell r="F1517" t="str">
            <v>being brokerage booked on insurance policies placed in May-23.</v>
          </cell>
          <cell r="G1517">
            <v>192703.8</v>
          </cell>
          <cell r="H1517">
            <v>29395.5</v>
          </cell>
          <cell r="I1517">
            <v>163308.29999999999</v>
          </cell>
        </row>
        <row r="1518">
          <cell r="E1518" t="str">
            <v>MUM/23-24/602</v>
          </cell>
          <cell r="F1518" t="str">
            <v>being brokerage booked on insurance policies placed in May-23.</v>
          </cell>
          <cell r="G1518">
            <v>210722.86</v>
          </cell>
          <cell r="H1518">
            <v>32144.16</v>
          </cell>
          <cell r="I1518">
            <v>178578.7</v>
          </cell>
        </row>
        <row r="1519">
          <cell r="E1519" t="str">
            <v>MUM/23-24/603</v>
          </cell>
          <cell r="F1519" t="str">
            <v>being brokerage booked on insurance policies placed in Jun-23.</v>
          </cell>
          <cell r="G1519">
            <v>388546.24</v>
          </cell>
          <cell r="H1519">
            <v>59269.760000000002</v>
          </cell>
          <cell r="I1519">
            <v>329276.48</v>
          </cell>
        </row>
        <row r="1520">
          <cell r="E1520" t="str">
            <v>MUM/23-24/604</v>
          </cell>
          <cell r="F1520" t="str">
            <v>being brokerage booked on insurance policies placed in Jun-23.</v>
          </cell>
          <cell r="G1520">
            <v>1323582.3899999999</v>
          </cell>
          <cell r="H1520">
            <v>201902.4</v>
          </cell>
          <cell r="I1520">
            <v>1121679.99</v>
          </cell>
        </row>
        <row r="1521">
          <cell r="E1521" t="str">
            <v>MUM/23-24/605</v>
          </cell>
          <cell r="F1521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521">
            <v>5398.52</v>
          </cell>
          <cell r="H1521">
            <v>823.5</v>
          </cell>
          <cell r="I1521">
            <v>4575.0200000000004</v>
          </cell>
        </row>
        <row r="1522">
          <cell r="E1522" t="str">
            <v>MUM/23-24/606</v>
          </cell>
          <cell r="F1522" t="str">
            <v>being brokerage booked on insurance policies placed in Jul-23.</v>
          </cell>
          <cell r="G1522">
            <v>246485.7</v>
          </cell>
          <cell r="H1522">
            <v>37599.519999999997</v>
          </cell>
          <cell r="I1522">
            <v>208886.18</v>
          </cell>
        </row>
        <row r="1523">
          <cell r="E1523" t="str">
            <v>MUM/23-24/607</v>
          </cell>
          <cell r="F1523" t="str">
            <v>being brokerage booked on insurance policies placed in Jul-23.</v>
          </cell>
          <cell r="G1523">
            <v>369728.53</v>
          </cell>
          <cell r="H1523">
            <v>56399.26</v>
          </cell>
          <cell r="I1523">
            <v>313329.27</v>
          </cell>
        </row>
        <row r="1524">
          <cell r="E1524" t="str">
            <v>MUM/23-24/608</v>
          </cell>
          <cell r="F1524" t="str">
            <v>being brokerage booked on insurance policies placed in Jul-23.</v>
          </cell>
          <cell r="G1524">
            <v>855120.55</v>
          </cell>
          <cell r="H1524">
            <v>130442.12</v>
          </cell>
          <cell r="I1524">
            <v>724678.43</v>
          </cell>
        </row>
        <row r="1525">
          <cell r="E1525" t="str">
            <v>MUM/23-24/609</v>
          </cell>
          <cell r="F1525" t="str">
            <v>being brokerage booked on insurance policies placed in month Jul-23. Reverse Charge Mechanism Applicable - NO.</v>
          </cell>
          <cell r="G1525">
            <v>2117324.87</v>
          </cell>
          <cell r="H1525">
            <v>322981.76000000001</v>
          </cell>
          <cell r="I1525">
            <v>1794343.11</v>
          </cell>
        </row>
        <row r="1526">
          <cell r="E1526" t="str">
            <v>MUM/23-24/610</v>
          </cell>
          <cell r="F1526" t="str">
            <v>being brokerage booked on insurance policies placed in month Jul-23. Reverse Charge Mechanism Applicable - NO.</v>
          </cell>
          <cell r="G1526">
            <v>454573.39</v>
          </cell>
          <cell r="H1526">
            <v>69341.7</v>
          </cell>
          <cell r="I1526">
            <v>385231.69</v>
          </cell>
        </row>
        <row r="1527">
          <cell r="E1527" t="str">
            <v>MUM/23-24/611</v>
          </cell>
          <cell r="F1527" t="str">
            <v>being brokerage booked on insurance policies placed in month Jul-23. Reverse Charge Mechanism Applicable - NO.</v>
          </cell>
          <cell r="G1527">
            <v>24240.87</v>
          </cell>
          <cell r="H1527">
            <v>3697.76</v>
          </cell>
          <cell r="I1527">
            <v>20543.11</v>
          </cell>
        </row>
        <row r="1528">
          <cell r="E1528" t="str">
            <v>MUM/23-24/612</v>
          </cell>
          <cell r="F1528" t="str">
            <v>being brokerage booked on insurance policies placed in month Jul-23. Reverse Charge Mechanism Applicable - NO.</v>
          </cell>
          <cell r="G1528">
            <v>1924288.12</v>
          </cell>
          <cell r="H1528">
            <v>293535.48</v>
          </cell>
          <cell r="I1528">
            <v>1630752.64</v>
          </cell>
        </row>
        <row r="1529">
          <cell r="E1529" t="str">
            <v>MUM/23-24/613</v>
          </cell>
          <cell r="F1529" t="str">
            <v>being brokerage booked on insurance policies placed in month Jul-23. Reverse Charge Mechanism Applicable - NO.</v>
          </cell>
          <cell r="G1529">
            <v>178108.99</v>
          </cell>
          <cell r="H1529">
            <v>27169.17</v>
          </cell>
          <cell r="I1529">
            <v>150939.82</v>
          </cell>
        </row>
        <row r="1530">
          <cell r="E1530" t="str">
            <v>MUM/23-24/614</v>
          </cell>
          <cell r="F1530" t="str">
            <v>being brokerage booked on insurance policies placed in month Jul-23. Reverse Charge Mechanism Applicable - NO.</v>
          </cell>
          <cell r="G1530">
            <v>141486.34</v>
          </cell>
          <cell r="H1530">
            <v>21582.66</v>
          </cell>
          <cell r="I1530">
            <v>119903.67999999999</v>
          </cell>
        </row>
        <row r="1531">
          <cell r="E1531" t="str">
            <v>MUM/23-24/615</v>
          </cell>
          <cell r="F1531" t="str">
            <v>being brokerage booked on insurance policies placed in month Jul-23. Reverse Charge Mechanism Applicable - NO.</v>
          </cell>
          <cell r="G1531">
            <v>64809.21</v>
          </cell>
          <cell r="H1531">
            <v>9886.15</v>
          </cell>
          <cell r="I1531">
            <v>54923.06</v>
          </cell>
        </row>
        <row r="1532">
          <cell r="E1532" t="str">
            <v>MUM/23-24/616</v>
          </cell>
          <cell r="F1532" t="str">
            <v>being brokerage booked on insurance policies placed in month Jul-23. Reverse Charge Mechanism Applicable - NO.</v>
          </cell>
          <cell r="G1532">
            <v>19895.349999999999</v>
          </cell>
          <cell r="H1532">
            <v>3034.88</v>
          </cell>
          <cell r="I1532">
            <v>16860.47</v>
          </cell>
        </row>
        <row r="1533">
          <cell r="E1533" t="str">
            <v>MUM/23-24/617</v>
          </cell>
          <cell r="F1533" t="str">
            <v>being brokerage booked on insurance policies placed in month Jul-23. Reverse Charge Mechanism Applicable - NO.</v>
          </cell>
          <cell r="G1533">
            <v>11023.77</v>
          </cell>
          <cell r="H1533">
            <v>1681.59</v>
          </cell>
          <cell r="I1533">
            <v>9342.18</v>
          </cell>
        </row>
        <row r="1534">
          <cell r="E1534" t="str">
            <v>MUM/23-24/618</v>
          </cell>
          <cell r="F1534" t="str">
            <v>being brokerage booked on insurance policies placed in month Jul-23. Reverse Charge Mechanism Applicable - NO.</v>
          </cell>
          <cell r="G1534">
            <v>13539.33</v>
          </cell>
          <cell r="H1534">
            <v>2065.3200000000002</v>
          </cell>
          <cell r="I1534">
            <v>11474.01</v>
          </cell>
        </row>
        <row r="1535">
          <cell r="E1535" t="str">
            <v>MUM/23-24/619</v>
          </cell>
          <cell r="F1535" t="str">
            <v>being brokerage booked on insurance policies placed in month Jul-23. Reverse Charge Mechanism Applicable - NO.</v>
          </cell>
          <cell r="G1535">
            <v>52901.91</v>
          </cell>
          <cell r="H1535">
            <v>8069.78</v>
          </cell>
          <cell r="I1535">
            <v>44832.13</v>
          </cell>
        </row>
        <row r="1536">
          <cell r="E1536" t="str">
            <v>PUN/23-24/51</v>
          </cell>
          <cell r="F1536" t="str">
            <v>being reward booked for the period Q4 2022-23. We also declare that "revenue earned by us during FY 2022-23, from all insurance intermediation activity is more than 50% of the total revenue earned by us during this period."</v>
          </cell>
          <cell r="G1536">
            <v>24989.919999999998</v>
          </cell>
          <cell r="H1536">
            <v>3812.02</v>
          </cell>
          <cell r="I1536">
            <v>21177.9</v>
          </cell>
        </row>
        <row r="1537">
          <cell r="E1537" t="str">
            <v>BLR/23-24/188</v>
          </cell>
          <cell r="F1537" t="str">
            <v>being brokerage booked on insurance policies placed in Jul-23.</v>
          </cell>
          <cell r="G1537">
            <v>597.58000000000004</v>
          </cell>
          <cell r="H1537">
            <v>91.16</v>
          </cell>
          <cell r="I1537">
            <v>506.42</v>
          </cell>
        </row>
        <row r="1538">
          <cell r="E1538" t="str">
            <v>GGN/23-24/396</v>
          </cell>
          <cell r="F1538" t="str">
            <v>being brokerage booked on insurance policies placed in Jul-23.</v>
          </cell>
          <cell r="G1538">
            <v>1184.8399999999999</v>
          </cell>
          <cell r="H1538">
            <v>180.74</v>
          </cell>
          <cell r="I1538">
            <v>1004.1</v>
          </cell>
        </row>
        <row r="1539">
          <cell r="E1539" t="str">
            <v>HYD/23-24/76</v>
          </cell>
          <cell r="F1539" t="str">
            <v>being brokerage booked on insurance policies placed in Jul-23.</v>
          </cell>
          <cell r="G1539">
            <v>114.51</v>
          </cell>
          <cell r="H1539">
            <v>17.46</v>
          </cell>
          <cell r="I1539">
            <v>97.05</v>
          </cell>
        </row>
        <row r="1540">
          <cell r="E1540" t="str">
            <v>MUM/23-24/621</v>
          </cell>
          <cell r="F1540" t="str">
            <v>being brokerage booked on insurance policies placed in Jul-23.</v>
          </cell>
          <cell r="G1540">
            <v>326.74</v>
          </cell>
          <cell r="H1540">
            <v>49.84</v>
          </cell>
          <cell r="I1540">
            <v>276.89999999999998</v>
          </cell>
        </row>
        <row r="1541">
          <cell r="E1541" t="str">
            <v>MUM/23-24/622</v>
          </cell>
          <cell r="F1541" t="str">
            <v>being reward booked on insurance policies placed in Apr to Jun-23.</v>
          </cell>
          <cell r="G1541">
            <v>27987.32</v>
          </cell>
          <cell r="H1541">
            <v>4269.26</v>
          </cell>
          <cell r="I1541">
            <v>23718.06</v>
          </cell>
        </row>
        <row r="1542">
          <cell r="E1542" t="str">
            <v>MUM/23-24/629</v>
          </cell>
          <cell r="F1542" t="str">
            <v>being brokerage booked on insurance policies placed in Jul-23.</v>
          </cell>
          <cell r="G1542">
            <v>1425042.78</v>
          </cell>
          <cell r="H1542">
            <v>217379.4</v>
          </cell>
          <cell r="I1542">
            <v>1207663.3799999999</v>
          </cell>
        </row>
        <row r="1543">
          <cell r="E1543" t="str">
            <v>MUM/23-24/630</v>
          </cell>
          <cell r="F1543" t="str">
            <v>being brokerage booked on insurance policies placed in Jul-23.</v>
          </cell>
          <cell r="G1543">
            <v>802.05</v>
          </cell>
          <cell r="H1543">
            <v>122.34</v>
          </cell>
          <cell r="I1543">
            <v>679.71</v>
          </cell>
        </row>
        <row r="1544">
          <cell r="E1544" t="str">
            <v>MUM/23-24/631</v>
          </cell>
          <cell r="F1544" t="str">
            <v>being brokerage booked on insurance policies placed in Jul-23.</v>
          </cell>
          <cell r="G1544">
            <v>3040.89</v>
          </cell>
          <cell r="H1544">
            <v>463.86</v>
          </cell>
          <cell r="I1544">
            <v>2577.0300000000002</v>
          </cell>
        </row>
        <row r="1545">
          <cell r="E1545" t="str">
            <v>GGN/23-24/397</v>
          </cell>
          <cell r="F1545" t="str">
            <v>being brokerage booked on insurance policies placed in Jun-23.</v>
          </cell>
          <cell r="G1545">
            <v>5916332.2800000003</v>
          </cell>
          <cell r="H1545">
            <v>902491.36</v>
          </cell>
          <cell r="I1545">
            <v>5013840.92</v>
          </cell>
        </row>
        <row r="1546">
          <cell r="E1546" t="str">
            <v>MUM/23-24/632</v>
          </cell>
          <cell r="F1546" t="str">
            <v>being brokerage booked on insurance policies placed in Jul-23.</v>
          </cell>
          <cell r="G1546">
            <v>108240.22</v>
          </cell>
          <cell r="H1546">
            <v>16511.22</v>
          </cell>
          <cell r="I1546">
            <v>91729</v>
          </cell>
        </row>
        <row r="1547">
          <cell r="E1547" t="str">
            <v>MUM/23-24/633</v>
          </cell>
          <cell r="F1547" t="str">
            <v>being brokerage booked on insurance policies placed in Jun-23.</v>
          </cell>
          <cell r="G1547">
            <v>690979.34</v>
          </cell>
          <cell r="H1547">
            <v>105403.62</v>
          </cell>
          <cell r="I1547">
            <v>585575.72</v>
          </cell>
        </row>
        <row r="1548">
          <cell r="E1548" t="str">
            <v>MUM/23-24/634</v>
          </cell>
          <cell r="F1548" t="str">
            <v>being brokerage booked on insurance policies placed in 2020-21.</v>
          </cell>
          <cell r="G1548">
            <v>685026.09</v>
          </cell>
          <cell r="H1548">
            <v>104495.5</v>
          </cell>
          <cell r="I1548">
            <v>580530.59</v>
          </cell>
        </row>
        <row r="1549">
          <cell r="E1549" t="str">
            <v>MUM/23-24/635</v>
          </cell>
          <cell r="F1549" t="str">
            <v>being brokerage booked on insurance policies placed in 2019-21.</v>
          </cell>
          <cell r="G1549">
            <v>566639.5</v>
          </cell>
          <cell r="H1549">
            <v>86436.54</v>
          </cell>
          <cell r="I1549">
            <v>480202.96</v>
          </cell>
        </row>
        <row r="1550">
          <cell r="E1550" t="str">
            <v>MUM/23-24/636</v>
          </cell>
          <cell r="F1550" t="str">
            <v>being brokerage booked on insurance policies placed in 2021-22.</v>
          </cell>
          <cell r="G1550">
            <v>759040.91</v>
          </cell>
          <cell r="H1550">
            <v>115785.9</v>
          </cell>
          <cell r="I1550">
            <v>643255.01</v>
          </cell>
        </row>
        <row r="1551">
          <cell r="E1551" t="str">
            <v>CHN/23-24/134</v>
          </cell>
          <cell r="F1551" t="str">
            <v>being brokerage booked on insurance policies placed in Jun-23.</v>
          </cell>
          <cell r="G1551">
            <v>144474.31</v>
          </cell>
          <cell r="H1551">
            <v>22038.46</v>
          </cell>
          <cell r="I1551">
            <v>122435.85</v>
          </cell>
        </row>
        <row r="1552">
          <cell r="E1552" t="str">
            <v>CHN/23-24/135</v>
          </cell>
          <cell r="F1552" t="str">
            <v>being brokerage booked on insurance policies placed in Jun-23.</v>
          </cell>
          <cell r="G1552">
            <v>20238.78</v>
          </cell>
          <cell r="H1552">
            <v>3087.28</v>
          </cell>
          <cell r="I1552">
            <v>17151.5</v>
          </cell>
        </row>
        <row r="1553">
          <cell r="E1553" t="str">
            <v>GGN/23-24/398</v>
          </cell>
          <cell r="F1553" t="str">
            <v>being brokerage booked on insurance policies placed in Feb-21.</v>
          </cell>
          <cell r="G1553">
            <v>1851.42</v>
          </cell>
          <cell r="H1553">
            <v>282.42</v>
          </cell>
          <cell r="I1553">
            <v>1569</v>
          </cell>
        </row>
        <row r="1554">
          <cell r="E1554" t="str">
            <v>GGN/23-24/399</v>
          </cell>
          <cell r="F1554" t="str">
            <v>being brokerage booked on insurance policies placed in Mar-21.</v>
          </cell>
          <cell r="G1554">
            <v>25184.74</v>
          </cell>
          <cell r="H1554">
            <v>3841.74</v>
          </cell>
          <cell r="I1554">
            <v>21343</v>
          </cell>
        </row>
        <row r="1555">
          <cell r="E1555" t="str">
            <v>GGN/23-24/400</v>
          </cell>
          <cell r="F1555" t="str">
            <v>being brokerage booked on insurance policies placed in May-20.</v>
          </cell>
          <cell r="G1555">
            <v>5266.34</v>
          </cell>
          <cell r="H1555">
            <v>803.34</v>
          </cell>
          <cell r="I1555">
            <v>4463</v>
          </cell>
        </row>
        <row r="1556">
          <cell r="E1556" t="str">
            <v>MUM/23-24/637</v>
          </cell>
          <cell r="F1556" t="str">
            <v>being brokerage booked on insurance policies placed in Jul-23.</v>
          </cell>
          <cell r="G1556">
            <v>2841.7</v>
          </cell>
          <cell r="H1556">
            <v>433.48</v>
          </cell>
          <cell r="I1556">
            <v>2408.2199999999998</v>
          </cell>
        </row>
        <row r="1557">
          <cell r="E1557" t="str">
            <v>MUM/23-24/638</v>
          </cell>
          <cell r="F1557" t="str">
            <v>being brokerage booked on insurance policies placed in Jul-23.</v>
          </cell>
          <cell r="G1557">
            <v>331841.82</v>
          </cell>
          <cell r="H1557">
            <v>50619.94</v>
          </cell>
          <cell r="I1557">
            <v>281221.88</v>
          </cell>
        </row>
        <row r="1558">
          <cell r="E1558" t="str">
            <v>MUM/23-24/639</v>
          </cell>
          <cell r="F1558" t="str">
            <v>being brokerage booked on insurance policies placed in Jun-23.</v>
          </cell>
          <cell r="G1558">
            <v>2195.98</v>
          </cell>
          <cell r="H1558">
            <v>334.98</v>
          </cell>
          <cell r="I1558">
            <v>1861</v>
          </cell>
        </row>
        <row r="1559">
          <cell r="E1559" t="str">
            <v>MUM/23-24/640</v>
          </cell>
          <cell r="F1559" t="str">
            <v>being brokerage booked on insurnace polices placed in Jun-23.</v>
          </cell>
          <cell r="G1559">
            <v>120788.99</v>
          </cell>
          <cell r="H1559">
            <v>18425.439999999999</v>
          </cell>
          <cell r="I1559">
            <v>102363.55</v>
          </cell>
        </row>
        <row r="1560">
          <cell r="E1560" t="str">
            <v>GGN/23-24/401</v>
          </cell>
          <cell r="F1560" t="str">
            <v>being brokerage booked on insurance policies placed in Jun-23.</v>
          </cell>
          <cell r="G1560">
            <v>718594.81</v>
          </cell>
          <cell r="H1560">
            <v>109616.16</v>
          </cell>
          <cell r="I1560">
            <v>608978.65</v>
          </cell>
        </row>
        <row r="1561">
          <cell r="E1561" t="str">
            <v>MUM/23-24/643</v>
          </cell>
          <cell r="F1561" t="str">
            <v>being brokerage booked on insurance policies placed in Jul-23.</v>
          </cell>
          <cell r="G1561">
            <v>77202.7</v>
          </cell>
          <cell r="H1561">
            <v>11776.68</v>
          </cell>
          <cell r="I1561">
            <v>65426.02</v>
          </cell>
        </row>
        <row r="1562">
          <cell r="E1562" t="str">
            <v>MUM/23-24/644</v>
          </cell>
          <cell r="F1562" t="str">
            <v>being brokerage booked on insurance policies placed in Jun-23.</v>
          </cell>
          <cell r="G1562">
            <v>7664.32</v>
          </cell>
          <cell r="H1562">
            <v>1169.1400000000001</v>
          </cell>
          <cell r="I1562">
            <v>6495.18</v>
          </cell>
        </row>
        <row r="1563">
          <cell r="E1563" t="str">
            <v>MUM/23-24/645</v>
          </cell>
          <cell r="F1563" t="str">
            <v>being brokerage booked on insurance policies placed in Jun-23.</v>
          </cell>
          <cell r="G1563">
            <v>76892.02</v>
          </cell>
          <cell r="H1563">
            <v>11729.29</v>
          </cell>
          <cell r="I1563">
            <v>65162.73</v>
          </cell>
        </row>
        <row r="1564">
          <cell r="E1564" t="str">
            <v>MUM/23-24/646</v>
          </cell>
          <cell r="F1564" t="str">
            <v>being brokerage booked on insurance policies placed in Jun-23.</v>
          </cell>
          <cell r="G1564">
            <v>26848.12</v>
          </cell>
          <cell r="H1564">
            <v>4095.48</v>
          </cell>
          <cell r="I1564">
            <v>22752.639999999999</v>
          </cell>
        </row>
        <row r="1565">
          <cell r="E1565" t="str">
            <v>MUM/23-24/647</v>
          </cell>
          <cell r="F1565" t="str">
            <v>being brokerage booked on insurance policies placed in Jul-23.</v>
          </cell>
          <cell r="G1565">
            <v>104963.14</v>
          </cell>
          <cell r="H1565">
            <v>16011.32</v>
          </cell>
          <cell r="I1565">
            <v>88951.82</v>
          </cell>
        </row>
        <row r="1566">
          <cell r="E1566" t="str">
            <v>MUM/23-24/648</v>
          </cell>
          <cell r="F1566" t="str">
            <v>being brokerage booked on insurance policies placed in Jun-23.</v>
          </cell>
          <cell r="G1566">
            <v>3124.92</v>
          </cell>
          <cell r="H1566">
            <v>476.68</v>
          </cell>
          <cell r="I1566">
            <v>2648.24</v>
          </cell>
        </row>
        <row r="1567">
          <cell r="E1567" t="str">
            <v>CHN/23-24/136</v>
          </cell>
          <cell r="F1567" t="str">
            <v>being reward booked on insurance policies placed in Jun-23.</v>
          </cell>
          <cell r="G1567">
            <v>4102.33</v>
          </cell>
          <cell r="H1567">
            <v>625.78</v>
          </cell>
          <cell r="I1567">
            <v>3476.55</v>
          </cell>
        </row>
        <row r="1568">
          <cell r="E1568" t="str">
            <v>GGN/23-24/402</v>
          </cell>
          <cell r="F1568" t="str">
            <v>being reward booked on insurance policies placed in Jun-23</v>
          </cell>
          <cell r="G1568">
            <v>18193.95</v>
          </cell>
          <cell r="H1568">
            <v>2775.35</v>
          </cell>
          <cell r="I1568">
            <v>15418.6</v>
          </cell>
        </row>
        <row r="1569">
          <cell r="E1569" t="str">
            <v>GGN/23-24/403</v>
          </cell>
          <cell r="F1569" t="str">
            <v>being reward booked on insurance policies placed in Jun-23.</v>
          </cell>
          <cell r="G1569">
            <v>1780.61</v>
          </cell>
          <cell r="H1569">
            <v>271.62</v>
          </cell>
          <cell r="I1569">
            <v>1508.99</v>
          </cell>
        </row>
        <row r="1570">
          <cell r="E1570" t="str">
            <v>MUM/23-24/649</v>
          </cell>
          <cell r="F1570" t="str">
            <v>being reward booked on insurance policies placed in Jun-23.</v>
          </cell>
          <cell r="G1570">
            <v>1982143.94</v>
          </cell>
          <cell r="H1570">
            <v>302360.94</v>
          </cell>
          <cell r="I1570">
            <v>1679783</v>
          </cell>
        </row>
        <row r="1571">
          <cell r="E1571" t="str">
            <v>MUM/23-24/650</v>
          </cell>
          <cell r="F1571" t="str">
            <v>being reward booked on insurance policies placed in Jun-23.</v>
          </cell>
          <cell r="G1571">
            <v>2907695.56</v>
          </cell>
          <cell r="H1571">
            <v>443546.78</v>
          </cell>
          <cell r="I1571">
            <v>2464148.7799999998</v>
          </cell>
        </row>
        <row r="1572">
          <cell r="E1572" t="str">
            <v>MUM/23-24/651</v>
          </cell>
          <cell r="F1572" t="str">
            <v>being brokerage booked on insurance policies placed in Jul-23.</v>
          </cell>
          <cell r="G1572">
            <v>214672.19</v>
          </cell>
          <cell r="H1572">
            <v>32746.6</v>
          </cell>
          <cell r="I1572">
            <v>181925.59</v>
          </cell>
        </row>
        <row r="1573">
          <cell r="E1573" t="str">
            <v>MUM/23-24/652</v>
          </cell>
          <cell r="F1573" t="str">
            <v>being brokerage booked on insurance policies placed in Jul-23.</v>
          </cell>
          <cell r="G1573">
            <v>158724.16</v>
          </cell>
          <cell r="H1573">
            <v>24212.16</v>
          </cell>
          <cell r="I1573">
            <v>134512</v>
          </cell>
        </row>
        <row r="1574">
          <cell r="E1574" t="str">
            <v>BLR/23-24/190</v>
          </cell>
          <cell r="F1574" t="str">
            <v>being brokerage booked on insurance policies placed in Jul-23.</v>
          </cell>
          <cell r="G1574">
            <v>93419.79</v>
          </cell>
          <cell r="H1574">
            <v>14250.48</v>
          </cell>
          <cell r="I1574">
            <v>79169.31</v>
          </cell>
        </row>
        <row r="1575">
          <cell r="E1575" t="str">
            <v>BLR/23-24/191</v>
          </cell>
          <cell r="F1575" t="str">
            <v>being brokerage booked on insurance policies placed in Jul-23.</v>
          </cell>
          <cell r="G1575">
            <v>7074.27</v>
          </cell>
          <cell r="H1575">
            <v>1079.1199999999999</v>
          </cell>
          <cell r="I1575">
            <v>5995.15</v>
          </cell>
        </row>
        <row r="1576">
          <cell r="E1576" t="str">
            <v>BLR/23-24/192</v>
          </cell>
          <cell r="F1576" t="str">
            <v>being brokerage booked on insurance policies placed in Jul-23.</v>
          </cell>
          <cell r="G1576">
            <v>318.48</v>
          </cell>
          <cell r="H1576">
            <v>48.58</v>
          </cell>
          <cell r="I1576">
            <v>269.89999999999998</v>
          </cell>
        </row>
        <row r="1577">
          <cell r="E1577" t="str">
            <v>BLR/23-24/193</v>
          </cell>
          <cell r="F1577" t="str">
            <v>being brokerage booked on insurance policies placed in Jul-23.</v>
          </cell>
          <cell r="G1577">
            <v>12121.59</v>
          </cell>
          <cell r="H1577">
            <v>1849.06</v>
          </cell>
          <cell r="I1577">
            <v>10272.530000000001</v>
          </cell>
        </row>
        <row r="1578">
          <cell r="E1578" t="str">
            <v>BLR/23-24/194</v>
          </cell>
          <cell r="F1578" t="str">
            <v>being brokerage booked on insurance policies placed in Jul-23.</v>
          </cell>
          <cell r="G1578">
            <v>13108.38</v>
          </cell>
          <cell r="H1578">
            <v>1999.58</v>
          </cell>
          <cell r="I1578">
            <v>11108.8</v>
          </cell>
        </row>
        <row r="1579">
          <cell r="E1579" t="str">
            <v>CHN/23-24/137</v>
          </cell>
          <cell r="F1579" t="str">
            <v>being brokerage booked on insurance policies placed in Jul-23.</v>
          </cell>
          <cell r="G1579">
            <v>10769.61</v>
          </cell>
          <cell r="H1579">
            <v>1642.82</v>
          </cell>
          <cell r="I1579">
            <v>9126.7900000000009</v>
          </cell>
        </row>
        <row r="1580">
          <cell r="E1580" t="str">
            <v>CHN/23-24/138</v>
          </cell>
          <cell r="F1580" t="str">
            <v>being brokerage booked on insurance policies placed in Jul-23.</v>
          </cell>
          <cell r="G1580">
            <v>5657.68</v>
          </cell>
          <cell r="H1580">
            <v>863.04</v>
          </cell>
          <cell r="I1580">
            <v>4794.6400000000003</v>
          </cell>
        </row>
        <row r="1581">
          <cell r="E1581" t="str">
            <v>CHN/23-24/139</v>
          </cell>
          <cell r="F1581" t="str">
            <v>being brokerage booked on insurance policies placed in Jul-23.</v>
          </cell>
          <cell r="G1581">
            <v>72780.639999999999</v>
          </cell>
          <cell r="H1581">
            <v>11102.14</v>
          </cell>
          <cell r="I1581">
            <v>61678.5</v>
          </cell>
        </row>
        <row r="1582">
          <cell r="E1582" t="str">
            <v>CHN/23-24/140</v>
          </cell>
          <cell r="F1582" t="str">
            <v>being brokerage booked on insurance policies placed in Jul-23.</v>
          </cell>
          <cell r="G1582">
            <v>395673.32</v>
          </cell>
          <cell r="H1582">
            <v>60356.94</v>
          </cell>
          <cell r="I1582">
            <v>335316.38</v>
          </cell>
        </row>
        <row r="1583">
          <cell r="E1583" t="str">
            <v>CHN/23-24/141</v>
          </cell>
          <cell r="F1583" t="str">
            <v>being brokerage booked on insurance policies placed in Jul-23.</v>
          </cell>
          <cell r="G1583">
            <v>11192.45</v>
          </cell>
          <cell r="H1583">
            <v>1707.32</v>
          </cell>
          <cell r="I1583">
            <v>9485.1299999999992</v>
          </cell>
        </row>
        <row r="1584">
          <cell r="E1584" t="str">
            <v>CHN/23-24/142</v>
          </cell>
          <cell r="F1584" t="str">
            <v>being brokerage booked on insurance policies placed in Jul-23.</v>
          </cell>
          <cell r="G1584">
            <v>2754873.63</v>
          </cell>
          <cell r="H1584">
            <v>420234.96</v>
          </cell>
          <cell r="I1584">
            <v>2334638.67</v>
          </cell>
        </row>
        <row r="1585">
          <cell r="E1585" t="str">
            <v>GGN/23-24/404</v>
          </cell>
          <cell r="F1585" t="str">
            <v>being brokerage booked on insurance policies placed in Jul-23.</v>
          </cell>
          <cell r="G1585">
            <v>399076.17</v>
          </cell>
          <cell r="H1585">
            <v>60876.03</v>
          </cell>
          <cell r="I1585">
            <v>338200.14</v>
          </cell>
        </row>
        <row r="1586">
          <cell r="E1586" t="str">
            <v>GGN/23-24/405</v>
          </cell>
          <cell r="F1586" t="str">
            <v>being brokerage booked on insurance policies placed in Jul-23.</v>
          </cell>
          <cell r="G1586">
            <v>2332.6799999999998</v>
          </cell>
          <cell r="H1586">
            <v>355.83</v>
          </cell>
          <cell r="I1586">
            <v>1976.85</v>
          </cell>
        </row>
        <row r="1587">
          <cell r="E1587" t="str">
            <v>GGN/23-24/406</v>
          </cell>
          <cell r="F1587" t="str">
            <v>being brokerage booked on insurance policies placed in Jul-23.</v>
          </cell>
          <cell r="G1587">
            <v>37509.72</v>
          </cell>
          <cell r="H1587">
            <v>5721.82</v>
          </cell>
          <cell r="I1587">
            <v>31787.9</v>
          </cell>
        </row>
        <row r="1588">
          <cell r="E1588" t="str">
            <v>GGN/23-24/407</v>
          </cell>
          <cell r="F1588" t="str">
            <v>being brokerage booked on insurance policies placed in Jul-23.</v>
          </cell>
          <cell r="G1588">
            <v>4872.46</v>
          </cell>
          <cell r="H1588">
            <v>743.26</v>
          </cell>
          <cell r="I1588">
            <v>4129.2</v>
          </cell>
        </row>
        <row r="1589">
          <cell r="E1589" t="str">
            <v>GGN/23-24/408</v>
          </cell>
          <cell r="F1589" t="str">
            <v>being brokerage booked on insurance policies placed in Jul-23.</v>
          </cell>
          <cell r="G1589">
            <v>62863.32</v>
          </cell>
          <cell r="H1589">
            <v>9589.32</v>
          </cell>
          <cell r="I1589">
            <v>53274</v>
          </cell>
        </row>
        <row r="1590">
          <cell r="E1590" t="str">
            <v>GGN/23-24/409</v>
          </cell>
          <cell r="F1590" t="str">
            <v>being brokerage booked on insurance policies placed in Jul-23.</v>
          </cell>
          <cell r="G1590">
            <v>3171.18</v>
          </cell>
          <cell r="H1590">
            <v>483.74</v>
          </cell>
          <cell r="I1590">
            <v>2687.44</v>
          </cell>
        </row>
        <row r="1591">
          <cell r="E1591" t="str">
            <v>GGN/23-24/410</v>
          </cell>
          <cell r="F1591" t="str">
            <v>being brokerage booked on insurance policies placed in Jul-23.</v>
          </cell>
          <cell r="G1591">
            <v>215594.53</v>
          </cell>
          <cell r="H1591">
            <v>32887.300000000003</v>
          </cell>
          <cell r="I1591">
            <v>182707.23</v>
          </cell>
        </row>
        <row r="1592">
          <cell r="E1592" t="str">
            <v>GGN/23-24/411</v>
          </cell>
          <cell r="F1592" t="str">
            <v>being brokerage booked on insurance policies placed in Jul-23.</v>
          </cell>
          <cell r="G1592">
            <v>950.02</v>
          </cell>
          <cell r="H1592">
            <v>144.91999999999999</v>
          </cell>
          <cell r="I1592">
            <v>805.1</v>
          </cell>
        </row>
        <row r="1593">
          <cell r="E1593" t="str">
            <v>GGN/23-24/412</v>
          </cell>
          <cell r="F1593" t="str">
            <v>being brokerage booked on insurance policies placed in Jul-23.</v>
          </cell>
          <cell r="G1593">
            <v>168656.13</v>
          </cell>
          <cell r="H1593">
            <v>25727.21</v>
          </cell>
          <cell r="I1593">
            <v>142928.92000000001</v>
          </cell>
        </row>
        <row r="1594">
          <cell r="E1594" t="str">
            <v>GGN/23-24/413</v>
          </cell>
          <cell r="F1594" t="str">
            <v>being brokerage booked on insurance policies placed in Jul-23.</v>
          </cell>
          <cell r="G1594">
            <v>129689.08</v>
          </cell>
          <cell r="H1594">
            <v>19783.080000000002</v>
          </cell>
          <cell r="I1594">
            <v>109906</v>
          </cell>
        </row>
        <row r="1595">
          <cell r="E1595" t="str">
            <v>HYD/23-24/77</v>
          </cell>
          <cell r="F1595" t="str">
            <v>being brokerage booked on insurance policies placed in Jul-23.</v>
          </cell>
          <cell r="G1595">
            <v>3240.33</v>
          </cell>
          <cell r="H1595">
            <v>494.28</v>
          </cell>
          <cell r="I1595">
            <v>2746.05</v>
          </cell>
        </row>
        <row r="1596">
          <cell r="E1596" t="str">
            <v>HYD/23-24/78</v>
          </cell>
          <cell r="F1596" t="str">
            <v>being brokerage booked on insurance policies placed in Jul-23.</v>
          </cell>
          <cell r="G1596">
            <v>8443.7000000000007</v>
          </cell>
          <cell r="H1596">
            <v>1288.02</v>
          </cell>
          <cell r="I1596">
            <v>7155.68</v>
          </cell>
        </row>
        <row r="1597">
          <cell r="E1597" t="str">
            <v>HYD/23-24/79</v>
          </cell>
          <cell r="F1597" t="str">
            <v>being brokerage booked on insurance poliices placed in May-23.</v>
          </cell>
          <cell r="G1597">
            <v>2309639.85</v>
          </cell>
          <cell r="H1597">
            <v>352317.94</v>
          </cell>
          <cell r="I1597">
            <v>1957321.91</v>
          </cell>
        </row>
        <row r="1598">
          <cell r="E1598" t="str">
            <v>LUD/23-24/52</v>
          </cell>
          <cell r="F1598" t="str">
            <v>being brokerage booked on insurance policies placed in Jul-23.</v>
          </cell>
          <cell r="G1598">
            <v>39122.730000000003</v>
          </cell>
          <cell r="H1598">
            <v>5967.88</v>
          </cell>
          <cell r="I1598">
            <v>33154.85</v>
          </cell>
        </row>
        <row r="1599">
          <cell r="E1599" t="str">
            <v>MUM/23-24/653</v>
          </cell>
          <cell r="F1599" t="str">
            <v>being brokerage booked on insurance policies placed in Jul-23.</v>
          </cell>
          <cell r="G1599">
            <v>333361</v>
          </cell>
          <cell r="H1599">
            <v>50851.68</v>
          </cell>
          <cell r="I1599">
            <v>282509.32</v>
          </cell>
        </row>
        <row r="1600">
          <cell r="E1600" t="str">
            <v>MUM/23-24/654</v>
          </cell>
          <cell r="F1600" t="str">
            <v>being brokerage booked on insurance policies placed in Jul-23.</v>
          </cell>
          <cell r="G1600">
            <v>1879.86</v>
          </cell>
          <cell r="H1600">
            <v>286.76</v>
          </cell>
          <cell r="I1600">
            <v>1593.1</v>
          </cell>
        </row>
        <row r="1601">
          <cell r="E1601" t="str">
            <v>MUM/23-24/655</v>
          </cell>
          <cell r="F1601" t="str">
            <v>being brokerage booked on insurance policies placed in Jul-23.</v>
          </cell>
          <cell r="G1601">
            <v>97698.4</v>
          </cell>
          <cell r="H1601">
            <v>14903.14</v>
          </cell>
          <cell r="I1601">
            <v>82795.259999999995</v>
          </cell>
        </row>
        <row r="1602">
          <cell r="E1602" t="str">
            <v>MUM/23-24/656</v>
          </cell>
          <cell r="F1602" t="str">
            <v>being brokerage booked on insurance policies placed in Jul-23.</v>
          </cell>
          <cell r="G1602">
            <v>54013.73</v>
          </cell>
          <cell r="H1602">
            <v>8239.3799999999992</v>
          </cell>
          <cell r="I1602">
            <v>45774.35</v>
          </cell>
        </row>
        <row r="1603">
          <cell r="E1603" t="str">
            <v>MUM/23-24/657</v>
          </cell>
          <cell r="F1603" t="str">
            <v>being brokerage booked on insurance policies placed in Jul-23.</v>
          </cell>
          <cell r="G1603">
            <v>247.1</v>
          </cell>
          <cell r="H1603">
            <v>37.700000000000003</v>
          </cell>
          <cell r="I1603">
            <v>209.4</v>
          </cell>
        </row>
        <row r="1604">
          <cell r="E1604" t="str">
            <v>MUM/23-24/658</v>
          </cell>
          <cell r="F1604" t="str">
            <v>being brokerage booked on insurance policies placed in Jul-23.</v>
          </cell>
          <cell r="G1604">
            <v>5982.31</v>
          </cell>
          <cell r="H1604">
            <v>912.56</v>
          </cell>
          <cell r="I1604">
            <v>5069.75</v>
          </cell>
        </row>
        <row r="1605">
          <cell r="E1605" t="str">
            <v>MUM/23-24/659</v>
          </cell>
          <cell r="F1605" t="str">
            <v>being brokerage booked on insurance policies placed in Jul-23.</v>
          </cell>
          <cell r="G1605">
            <v>23951.42</v>
          </cell>
          <cell r="H1605">
            <v>3653.61</v>
          </cell>
          <cell r="I1605">
            <v>20297.810000000001</v>
          </cell>
        </row>
        <row r="1606">
          <cell r="E1606" t="str">
            <v>MUM/23-24/660</v>
          </cell>
          <cell r="F1606" t="str">
            <v>being brokerage booked on inusrance policies placed in Jul-23.</v>
          </cell>
          <cell r="G1606">
            <v>2344.9</v>
          </cell>
          <cell r="H1606">
            <v>357.7</v>
          </cell>
          <cell r="I1606">
            <v>1987.2</v>
          </cell>
        </row>
        <row r="1607">
          <cell r="E1607" t="str">
            <v>MUM/23-24/661</v>
          </cell>
          <cell r="F1607" t="str">
            <v>being brokerage booked on insurance policies placed in Jul-23.</v>
          </cell>
          <cell r="G1607">
            <v>2774.54</v>
          </cell>
          <cell r="H1607">
            <v>423.24</v>
          </cell>
          <cell r="I1607">
            <v>2351.3000000000002</v>
          </cell>
        </row>
        <row r="1608">
          <cell r="E1608" t="str">
            <v>MUM/23-24/662</v>
          </cell>
          <cell r="F1608" t="str">
            <v>being brokerage booked on insurance policies placed in Jul-23.</v>
          </cell>
          <cell r="G1608">
            <v>322258.12</v>
          </cell>
          <cell r="H1608">
            <v>49158.02</v>
          </cell>
          <cell r="I1608">
            <v>273100.09999999998</v>
          </cell>
        </row>
        <row r="1609">
          <cell r="E1609" t="str">
            <v>MUM/23-24/663</v>
          </cell>
          <cell r="F1609" t="str">
            <v>being brokerage booked on insurance policies placed in Jul-23.</v>
          </cell>
          <cell r="G1609">
            <v>186058.36</v>
          </cell>
          <cell r="H1609">
            <v>28381.78</v>
          </cell>
          <cell r="I1609">
            <v>157676.57999999999</v>
          </cell>
        </row>
        <row r="1610">
          <cell r="E1610" t="str">
            <v>MUM/23-24/664</v>
          </cell>
          <cell r="F1610" t="str">
            <v>being brokerage booked on insurance policies placed in Jul-23.</v>
          </cell>
          <cell r="G1610">
            <v>53881.02</v>
          </cell>
          <cell r="H1610">
            <v>8219.14</v>
          </cell>
          <cell r="I1610">
            <v>45661.88</v>
          </cell>
        </row>
        <row r="1611">
          <cell r="E1611" t="str">
            <v>MUM/23-24/665</v>
          </cell>
          <cell r="F1611" t="str">
            <v>being brokerage booked on insurance policies placed in Jun-23.</v>
          </cell>
          <cell r="G1611">
            <v>227251.27</v>
          </cell>
          <cell r="H1611">
            <v>34665.440000000002</v>
          </cell>
          <cell r="I1611">
            <v>192585.83</v>
          </cell>
        </row>
        <row r="1612">
          <cell r="E1612" t="str">
            <v>PUN/23-24/52</v>
          </cell>
          <cell r="F1612" t="str">
            <v>being brokerage booked on insurance policies placed in Jul-23.</v>
          </cell>
          <cell r="G1612">
            <v>53044.32</v>
          </cell>
          <cell r="H1612">
            <v>8091.5</v>
          </cell>
          <cell r="I1612">
            <v>44952.82</v>
          </cell>
        </row>
        <row r="1613">
          <cell r="E1613" t="str">
            <v>PUN/23-24/53</v>
          </cell>
          <cell r="F1613" t="str">
            <v>being brokerage booked on insurance policies placed in Jul-23.</v>
          </cell>
          <cell r="G1613">
            <v>1777.12</v>
          </cell>
          <cell r="H1613">
            <v>271.08</v>
          </cell>
          <cell r="I1613">
            <v>1506.04</v>
          </cell>
        </row>
        <row r="1614">
          <cell r="E1614" t="str">
            <v>PUN/23-24/54</v>
          </cell>
          <cell r="F1614" t="str">
            <v>being brokerage booked on insurance policies placed in Jul-23.</v>
          </cell>
          <cell r="G1614">
            <v>137954.4</v>
          </cell>
          <cell r="H1614">
            <v>21043.9</v>
          </cell>
          <cell r="I1614">
            <v>116910.5</v>
          </cell>
        </row>
        <row r="1615">
          <cell r="E1615" t="str">
            <v>CHN/23-24/143</v>
          </cell>
          <cell r="F1615" t="str">
            <v>being brokerage booked on insurance policies placed in Jul-23.</v>
          </cell>
          <cell r="G1615">
            <v>11497.31</v>
          </cell>
          <cell r="H1615">
            <v>1753.82</v>
          </cell>
          <cell r="I1615">
            <v>9743.49</v>
          </cell>
        </row>
        <row r="1616">
          <cell r="E1616" t="str">
            <v>MUM/23-24/666</v>
          </cell>
          <cell r="F1616" t="str">
            <v>Being brokerage booked on insurance policies placed in Jul-23.</v>
          </cell>
          <cell r="G1616">
            <v>59861876.719999999</v>
          </cell>
          <cell r="H1616">
            <v>9131472.7200000007</v>
          </cell>
          <cell r="I1616">
            <v>50730404</v>
          </cell>
        </row>
        <row r="1617">
          <cell r="E1617" t="str">
            <v>BLR/23-24/195</v>
          </cell>
          <cell r="F1617" t="str">
            <v>being brokerage booked on insurance policies placed in Jul-23.</v>
          </cell>
          <cell r="G1617">
            <v>3516.62</v>
          </cell>
          <cell r="H1617">
            <v>536.44000000000005</v>
          </cell>
          <cell r="I1617">
            <v>2980.18</v>
          </cell>
        </row>
        <row r="1618">
          <cell r="E1618" t="str">
            <v>BLR/23-24/196</v>
          </cell>
          <cell r="F1618" t="str">
            <v>being brokerage booked on insurance policies placed in Jul-23.</v>
          </cell>
          <cell r="G1618">
            <v>646770.98</v>
          </cell>
          <cell r="H1618">
            <v>98659.98</v>
          </cell>
          <cell r="I1618">
            <v>548111</v>
          </cell>
        </row>
        <row r="1619">
          <cell r="E1619" t="str">
            <v>CHN/23-24/144</v>
          </cell>
          <cell r="F1619" t="str">
            <v>being brokerage booked on insurance policies placed in Jul-23.</v>
          </cell>
          <cell r="G1619">
            <v>26.56</v>
          </cell>
          <cell r="H1619">
            <v>4.0599999999999996</v>
          </cell>
          <cell r="I1619">
            <v>22.5</v>
          </cell>
        </row>
        <row r="1620">
          <cell r="E1620" t="str">
            <v>CHN/23-24/145</v>
          </cell>
          <cell r="F1620" t="str">
            <v>being brokerage booked on insurance policies placed in Jul-23.</v>
          </cell>
          <cell r="G1620">
            <v>23703.84</v>
          </cell>
          <cell r="H1620">
            <v>3615.84</v>
          </cell>
          <cell r="I1620">
            <v>20088</v>
          </cell>
        </row>
        <row r="1621">
          <cell r="E1621" t="str">
            <v>GGN/23-24/414</v>
          </cell>
          <cell r="F1621" t="str">
            <v>being brokerage booked on insurance policies placed in Jul-23</v>
          </cell>
          <cell r="G1621">
            <v>4600.82</v>
          </cell>
          <cell r="H1621">
            <v>701.82</v>
          </cell>
          <cell r="I1621">
            <v>3899</v>
          </cell>
        </row>
        <row r="1622">
          <cell r="E1622" t="str">
            <v>GGN/23-24/415</v>
          </cell>
          <cell r="F1622" t="str">
            <v>being brokerage booked on insurance policies placed in Jul-23.</v>
          </cell>
          <cell r="G1622">
            <v>1064.3599999999999</v>
          </cell>
          <cell r="H1622">
            <v>162.36000000000001</v>
          </cell>
          <cell r="I1622">
            <v>902</v>
          </cell>
        </row>
        <row r="1623">
          <cell r="E1623" t="str">
            <v>HYD/23-24/80</v>
          </cell>
          <cell r="F1623" t="str">
            <v>being brokerage booked on insurance policies placed in Jul-23.</v>
          </cell>
          <cell r="G1623">
            <v>159709.46</v>
          </cell>
          <cell r="H1623">
            <v>24362.46</v>
          </cell>
          <cell r="I1623">
            <v>135347</v>
          </cell>
        </row>
        <row r="1624">
          <cell r="E1624" t="str">
            <v>HYD/23-24/81</v>
          </cell>
          <cell r="F1624" t="str">
            <v>being brokerage booked on insurance policies placed in Jul-23.</v>
          </cell>
          <cell r="G1624">
            <v>1028.96</v>
          </cell>
          <cell r="H1624">
            <v>156.96</v>
          </cell>
          <cell r="I1624">
            <v>872</v>
          </cell>
        </row>
        <row r="1625">
          <cell r="E1625" t="str">
            <v>MUM/23-24/667</v>
          </cell>
          <cell r="F1625" t="str">
            <v>being brokerage booked on insurance policies placed in Jul-23.</v>
          </cell>
          <cell r="G1625">
            <v>6357.02</v>
          </cell>
          <cell r="H1625">
            <v>969.72</v>
          </cell>
          <cell r="I1625">
            <v>5387.3</v>
          </cell>
        </row>
        <row r="1626">
          <cell r="E1626" t="str">
            <v>MUM/23-24/668</v>
          </cell>
          <cell r="F1626" t="str">
            <v>being brokerage booked on insurance policies placed in month Jul-23. Reverse Charge Mechanism Applicable - NO.</v>
          </cell>
          <cell r="G1626">
            <v>5352938.18</v>
          </cell>
          <cell r="H1626">
            <v>816549.9</v>
          </cell>
          <cell r="I1626">
            <v>4536388.28</v>
          </cell>
        </row>
        <row r="1627">
          <cell r="E1627" t="str">
            <v>MUM/23-24/669</v>
          </cell>
          <cell r="F1627" t="str">
            <v>being brokerage booked on insurance policies placed in month Jul-23. Reverse Charge Mechanism Applicable - NO.</v>
          </cell>
          <cell r="G1627">
            <v>564011.68000000005</v>
          </cell>
          <cell r="H1627">
            <v>86035.68</v>
          </cell>
          <cell r="I1627">
            <v>477976</v>
          </cell>
        </row>
        <row r="1628">
          <cell r="E1628" t="str">
            <v>MUM/23-24/670</v>
          </cell>
          <cell r="F1628" t="str">
            <v>being brokerage booked on insurance policies placed in month Jul-23. Reverse Charge Mechanism Applicable - NO.</v>
          </cell>
          <cell r="G1628">
            <v>63279.75</v>
          </cell>
          <cell r="H1628">
            <v>9652.84</v>
          </cell>
          <cell r="I1628">
            <v>53626.91</v>
          </cell>
        </row>
        <row r="1629">
          <cell r="E1629" t="str">
            <v>MUM/23-24/671</v>
          </cell>
          <cell r="F1629" t="str">
            <v>being brokerage booked on insurance policies placed in month Jul-23. Reverse Charge Mechanism Applicable - NO.</v>
          </cell>
          <cell r="G1629">
            <v>3814845.9</v>
          </cell>
          <cell r="H1629">
            <v>581925.65</v>
          </cell>
          <cell r="I1629">
            <v>3232920.25</v>
          </cell>
        </row>
        <row r="1630">
          <cell r="E1630" t="str">
            <v>MUM/23-24/672</v>
          </cell>
          <cell r="F1630" t="str">
            <v>being brokerage booked on insurance policies placed in month Jul-23. Reverse Charge Mechanism Applicable - NO.</v>
          </cell>
          <cell r="G1630">
            <v>305346.75</v>
          </cell>
          <cell r="H1630">
            <v>46578.32</v>
          </cell>
          <cell r="I1630">
            <v>258768.43</v>
          </cell>
        </row>
        <row r="1631">
          <cell r="E1631" t="str">
            <v>MUM/23-24/673</v>
          </cell>
          <cell r="F1631" t="str">
            <v>being brokerage booked on insurance policies placed in month Jul-23. Reverse Charge Mechanism Applicable - NO.</v>
          </cell>
          <cell r="G1631">
            <v>407142.01</v>
          </cell>
          <cell r="H1631">
            <v>62106.41</v>
          </cell>
          <cell r="I1631">
            <v>345035.6</v>
          </cell>
        </row>
        <row r="1632">
          <cell r="E1632" t="str">
            <v>MUM/23-24/674</v>
          </cell>
          <cell r="F1632" t="str">
            <v>being brokerage booked on insurance policies placed in month Jul-23. Reverse Charge Mechanism Applicable - NO.</v>
          </cell>
          <cell r="G1632">
            <v>50109.67</v>
          </cell>
          <cell r="H1632">
            <v>7643.85</v>
          </cell>
          <cell r="I1632">
            <v>42465.82</v>
          </cell>
        </row>
        <row r="1633">
          <cell r="E1633" t="str">
            <v>MUM/23-24/675</v>
          </cell>
          <cell r="F1633" t="str">
            <v>being brokerage booked on insurance policies placed in month Jul-23. Reverse Charge Mechanism Applicable - NO.</v>
          </cell>
          <cell r="G1633">
            <v>6165.64</v>
          </cell>
          <cell r="H1633">
            <v>940.52</v>
          </cell>
          <cell r="I1633">
            <v>5225.12</v>
          </cell>
        </row>
        <row r="1634">
          <cell r="E1634" t="str">
            <v>MUM/23-24/676</v>
          </cell>
          <cell r="F1634" t="str">
            <v>being brokerage booked on insurance policies placed in month Jul-23. Reverse Charge Mechanism Applicable - NO.</v>
          </cell>
          <cell r="G1634">
            <v>19413.96</v>
          </cell>
          <cell r="H1634">
            <v>2961.45</v>
          </cell>
          <cell r="I1634">
            <v>16452.509999999998</v>
          </cell>
        </row>
        <row r="1635">
          <cell r="E1635" t="str">
            <v>MUM/23-24/677</v>
          </cell>
          <cell r="F1635" t="str">
            <v>being brokerage booked on insurnace polices placed in Jun-23.</v>
          </cell>
          <cell r="G1635">
            <v>19917896.18</v>
          </cell>
          <cell r="H1635">
            <v>3038323.14</v>
          </cell>
          <cell r="I1635">
            <v>16879573.039999999</v>
          </cell>
        </row>
        <row r="1636">
          <cell r="E1636" t="str">
            <v>MUM/23-24/678</v>
          </cell>
          <cell r="F1636" t="str">
            <v>being brokerage booked on insurance policies placed in Jul-23.</v>
          </cell>
          <cell r="G1636">
            <v>8489.93</v>
          </cell>
          <cell r="H1636">
            <v>1295.08</v>
          </cell>
          <cell r="I1636">
            <v>7194.85</v>
          </cell>
        </row>
        <row r="1637">
          <cell r="E1637" t="str">
            <v>MUM/23-24/679</v>
          </cell>
          <cell r="F1637" t="str">
            <v>being brokerage booked on insurance policies placed in Jul-23.</v>
          </cell>
          <cell r="G1637">
            <v>127389.09</v>
          </cell>
          <cell r="H1637">
            <v>19432.240000000002</v>
          </cell>
          <cell r="I1637">
            <v>107956.85</v>
          </cell>
        </row>
        <row r="1638">
          <cell r="E1638" t="str">
            <v>MUM/23-24/680</v>
          </cell>
          <cell r="F1638" t="str">
            <v>being brokerage booked on insurance policies placed in Jul-23.</v>
          </cell>
          <cell r="G1638">
            <v>965.24</v>
          </cell>
          <cell r="H1638">
            <v>147.24</v>
          </cell>
          <cell r="I1638">
            <v>818</v>
          </cell>
        </row>
        <row r="1639">
          <cell r="E1639" t="str">
            <v>MUM/23-24/681</v>
          </cell>
          <cell r="F1639" t="str">
            <v>being brokerage booked on insurance policies placed in Jul-23.</v>
          </cell>
          <cell r="G1639">
            <v>39669.24</v>
          </cell>
          <cell r="H1639">
            <v>6051.24</v>
          </cell>
          <cell r="I1639">
            <v>33618</v>
          </cell>
        </row>
        <row r="1640">
          <cell r="E1640" t="str">
            <v>BLR/23-24/197</v>
          </cell>
          <cell r="F1640" t="str">
            <v>being brokerage booked on insurance policies placed in Jul-23.</v>
          </cell>
          <cell r="G1640">
            <v>2247.34</v>
          </cell>
          <cell r="H1640">
            <v>342.82</v>
          </cell>
          <cell r="I1640">
            <v>1904.52</v>
          </cell>
        </row>
        <row r="1641">
          <cell r="E1641" t="str">
            <v>BLR/23-24/198</v>
          </cell>
          <cell r="F1641" t="str">
            <v>being brokerage booked on insurance policies placed in Jul-23. (Whether the Tax is payable on reverse charge basis: NO).</v>
          </cell>
          <cell r="G1641">
            <v>250394.99</v>
          </cell>
          <cell r="H1641">
            <v>38195.839999999997</v>
          </cell>
          <cell r="I1641">
            <v>212199.15</v>
          </cell>
        </row>
        <row r="1642">
          <cell r="E1642" t="str">
            <v>BLR/23-24/199</v>
          </cell>
          <cell r="F1642" t="str">
            <v>being brokerage booked on insurance policies placed in Jul-23.</v>
          </cell>
          <cell r="G1642">
            <v>10987.25</v>
          </cell>
          <cell r="H1642">
            <v>1676.02</v>
          </cell>
          <cell r="I1642">
            <v>9311.23</v>
          </cell>
        </row>
        <row r="1643">
          <cell r="E1643" t="str">
            <v>BLR/23-24/200</v>
          </cell>
          <cell r="F1643" t="str">
            <v>being brokerage booked on insurance policies placed in Jul-23.</v>
          </cell>
          <cell r="G1643">
            <v>1673221.42</v>
          </cell>
          <cell r="H1643">
            <v>255237.16</v>
          </cell>
          <cell r="I1643">
            <v>1417984.26</v>
          </cell>
        </row>
        <row r="1644">
          <cell r="E1644" t="str">
            <v>BLR/23-24/201</v>
          </cell>
          <cell r="F1644" t="str">
            <v>being brokerage booked on insurance policies placed in Jul-23.</v>
          </cell>
          <cell r="G1644">
            <v>1261735.8500000001</v>
          </cell>
          <cell r="H1644">
            <v>192468.18</v>
          </cell>
          <cell r="I1644">
            <v>1069267.67</v>
          </cell>
        </row>
        <row r="1645">
          <cell r="E1645" t="str">
            <v>BLR/23-24/202</v>
          </cell>
          <cell r="F1645" t="str">
            <v>being brokerage booked on insurance policies placed in Jul-23.</v>
          </cell>
          <cell r="G1645">
            <v>32643.1</v>
          </cell>
          <cell r="H1645">
            <v>4979.46</v>
          </cell>
          <cell r="I1645">
            <v>27663.64</v>
          </cell>
        </row>
        <row r="1646">
          <cell r="E1646" t="str">
            <v>BLR/23-24/203</v>
          </cell>
          <cell r="F1646" t="str">
            <v>being brokerage booked on insurance policies placed in Jul-23.</v>
          </cell>
          <cell r="G1646">
            <v>33308.78</v>
          </cell>
          <cell r="H1646">
            <v>5081</v>
          </cell>
          <cell r="I1646">
            <v>28227.78</v>
          </cell>
        </row>
        <row r="1647">
          <cell r="E1647" t="str">
            <v>CHN/23-24/146</v>
          </cell>
          <cell r="F1647" t="str">
            <v>being brokerage booked on insurance policies placed in Jul-23. (Whether the Tax is payable on reverse charge basis: NO).</v>
          </cell>
          <cell r="G1647">
            <v>67098.62</v>
          </cell>
          <cell r="H1647">
            <v>10235.379999999999</v>
          </cell>
          <cell r="I1647">
            <v>56863.24</v>
          </cell>
        </row>
        <row r="1648">
          <cell r="E1648" t="str">
            <v>CHN/23-24/147</v>
          </cell>
          <cell r="F1648" t="str">
            <v>being brokerage booked on insurance policies placed in Jul-23.</v>
          </cell>
          <cell r="G1648">
            <v>238670.68</v>
          </cell>
          <cell r="H1648">
            <v>36407.4</v>
          </cell>
          <cell r="I1648">
            <v>202263.28</v>
          </cell>
        </row>
        <row r="1649">
          <cell r="E1649" t="str">
            <v>GGN/23-24/416</v>
          </cell>
          <cell r="F1649" t="str">
            <v>being brokerage booked on insurance policies placed in Jul-23.</v>
          </cell>
          <cell r="G1649">
            <v>1371.28</v>
          </cell>
          <cell r="H1649">
            <v>209.18</v>
          </cell>
          <cell r="I1649">
            <v>1162.0999999999999</v>
          </cell>
        </row>
        <row r="1650">
          <cell r="E1650" t="str">
            <v>GGN/23-24/417</v>
          </cell>
          <cell r="F1650" t="str">
            <v>being brokerage booked on insurance policies placed in Jul-23.</v>
          </cell>
          <cell r="G1650">
            <v>25516.79</v>
          </cell>
          <cell r="H1650">
            <v>3892.39</v>
          </cell>
          <cell r="I1650">
            <v>21624.400000000001</v>
          </cell>
        </row>
        <row r="1651">
          <cell r="E1651" t="str">
            <v>GGN/23-24/418</v>
          </cell>
          <cell r="F1651" t="str">
            <v>being brokerage booked on insurance policies placed in Jul-23. (Whether the Tax is payable on reverse charge basis: NO).</v>
          </cell>
          <cell r="G1651">
            <v>1595279.92</v>
          </cell>
          <cell r="H1651">
            <v>243347.78</v>
          </cell>
          <cell r="I1651">
            <v>1351932.14</v>
          </cell>
        </row>
        <row r="1652">
          <cell r="E1652" t="str">
            <v>GGN/23-24/419</v>
          </cell>
          <cell r="F1652" t="str">
            <v>being brokerage booked on insurance policies placed in Jul-23. (Whether the Tax is payable on reverse charge basis: NO).</v>
          </cell>
          <cell r="G1652">
            <v>34762.21</v>
          </cell>
          <cell r="H1652">
            <v>5302.71</v>
          </cell>
          <cell r="I1652">
            <v>29459.5</v>
          </cell>
        </row>
        <row r="1653">
          <cell r="E1653" t="str">
            <v>GGN/23-24/420</v>
          </cell>
          <cell r="F1653" t="str">
            <v>being brokerage booked on insurance policies placed in Jul-23.</v>
          </cell>
          <cell r="G1653">
            <v>130236.8</v>
          </cell>
          <cell r="H1653">
            <v>19866.63</v>
          </cell>
          <cell r="I1653">
            <v>110370.17</v>
          </cell>
        </row>
        <row r="1654">
          <cell r="E1654" t="str">
            <v>GGN/23-24/421</v>
          </cell>
          <cell r="F1654" t="str">
            <v>being brokerage booked on insurance policies placed in Jul-23.</v>
          </cell>
          <cell r="G1654">
            <v>822484.92</v>
          </cell>
          <cell r="H1654">
            <v>125463.8</v>
          </cell>
          <cell r="I1654">
            <v>697021.12</v>
          </cell>
        </row>
        <row r="1655">
          <cell r="E1655" t="str">
            <v>GGN/23-24/422</v>
          </cell>
          <cell r="F1655" t="str">
            <v>being brokerage booked on insurance policies placed in Jul-23.</v>
          </cell>
          <cell r="G1655">
            <v>9011.7199999999993</v>
          </cell>
          <cell r="H1655">
            <v>1374.67</v>
          </cell>
          <cell r="I1655">
            <v>7637.05</v>
          </cell>
        </row>
        <row r="1656">
          <cell r="E1656" t="str">
            <v>GGN/23-24/423</v>
          </cell>
          <cell r="F1656" t="str">
            <v>being brokerage booked on insurance policies placed in Jul-23.</v>
          </cell>
          <cell r="G1656">
            <v>1071776.95</v>
          </cell>
          <cell r="H1656">
            <v>163491.4</v>
          </cell>
          <cell r="I1656">
            <v>908285.55</v>
          </cell>
        </row>
        <row r="1657">
          <cell r="E1657" t="str">
            <v>GGN/23-24/424</v>
          </cell>
          <cell r="F1657" t="str">
            <v>being brokerage booked on insurance policies placed in Jul-23.</v>
          </cell>
          <cell r="G1657">
            <v>261332.59</v>
          </cell>
          <cell r="H1657">
            <v>39864.29</v>
          </cell>
          <cell r="I1657">
            <v>221468.3</v>
          </cell>
        </row>
        <row r="1658">
          <cell r="E1658" t="str">
            <v>GGN/23-24/425</v>
          </cell>
          <cell r="F1658" t="str">
            <v>being brokerage booked on insurance policies placed in Jul-23.</v>
          </cell>
          <cell r="G1658">
            <v>9809.65</v>
          </cell>
          <cell r="H1658">
            <v>1496.39</v>
          </cell>
          <cell r="I1658">
            <v>8313.26</v>
          </cell>
        </row>
        <row r="1659">
          <cell r="E1659" t="str">
            <v>GGN/23-24/426</v>
          </cell>
          <cell r="F1659" t="str">
            <v>being brokerage booked on insurance policies placed in Jul-23.</v>
          </cell>
          <cell r="G1659">
            <v>375630.93</v>
          </cell>
          <cell r="H1659">
            <v>57299.63</v>
          </cell>
          <cell r="I1659">
            <v>318331.3</v>
          </cell>
        </row>
        <row r="1660">
          <cell r="E1660" t="str">
            <v>GGN/23-24/427</v>
          </cell>
          <cell r="F1660" t="str">
            <v>being brokerage booked on insurance policies placed in Jul-23.</v>
          </cell>
          <cell r="G1660">
            <v>93376.07</v>
          </cell>
          <cell r="H1660">
            <v>14243.8</v>
          </cell>
          <cell r="I1660">
            <v>79132.27</v>
          </cell>
        </row>
        <row r="1661">
          <cell r="E1661" t="str">
            <v>GGN/23-24/428</v>
          </cell>
          <cell r="F1661" t="str">
            <v>being brokerage booked on insurance policies placed in Jul-23.</v>
          </cell>
          <cell r="G1661">
            <v>151021.75</v>
          </cell>
          <cell r="H1661">
            <v>23037.22</v>
          </cell>
          <cell r="I1661">
            <v>127984.53</v>
          </cell>
        </row>
        <row r="1662">
          <cell r="E1662" t="str">
            <v>GGN/23-24/429</v>
          </cell>
          <cell r="F1662" t="str">
            <v>being brokerage booked on insurance policies placed in Jul-23.</v>
          </cell>
          <cell r="G1662">
            <v>9289.57</v>
          </cell>
          <cell r="H1662">
            <v>1417.05</v>
          </cell>
          <cell r="I1662">
            <v>7872.52</v>
          </cell>
        </row>
        <row r="1663">
          <cell r="E1663" t="str">
            <v>GFT/23-24/57</v>
          </cell>
          <cell r="F1663" t="str">
            <v>Being RI brokerage booked ; Insured: Sunu Assurances Nigeria Plc- Nigeria; Reinsured :Indo Arab Insurance &amp; Reinsurance Brokers DMCC, Policy Period :25-05-2023 to 01-01-2024</v>
          </cell>
          <cell r="G1663">
            <v>33589.879999999997</v>
          </cell>
          <cell r="H1663">
            <v>5123.88</v>
          </cell>
          <cell r="I1663">
            <v>28466</v>
          </cell>
        </row>
        <row r="1664">
          <cell r="E1664" t="str">
            <v>GFT/23-24/58</v>
          </cell>
          <cell r="F1664" t="str">
            <v>Being RI brokerage booked ; Insured: Sunu Assurances Nigeria Plc- Nigeria; Reinsured :Indo Arab Insurance &amp; Reinsurance Brokers DMCC, Policy Period :25-05-2023 to 01-01-2024</v>
          </cell>
          <cell r="G1664">
            <v>23962.26</v>
          </cell>
          <cell r="H1664">
            <v>3655.26</v>
          </cell>
          <cell r="I1664">
            <v>20307</v>
          </cell>
        </row>
        <row r="1665">
          <cell r="E1665" t="str">
            <v>HYD/23-24/82</v>
          </cell>
          <cell r="F1665" t="str">
            <v>being brokerage booked on insurance policies placed in Jul-23. (Whether the Tax is payable on reverse charge basis: NO).</v>
          </cell>
          <cell r="G1665">
            <v>27525.57</v>
          </cell>
          <cell r="H1665">
            <v>4198.82</v>
          </cell>
          <cell r="I1665">
            <v>23326.75</v>
          </cell>
        </row>
        <row r="1666">
          <cell r="E1666" t="str">
            <v>HYD/23-24/83</v>
          </cell>
          <cell r="F1666" t="str">
            <v>being brokerage booked on insurance policies placed in Jul-23.</v>
          </cell>
          <cell r="G1666">
            <v>7.39</v>
          </cell>
          <cell r="H1666">
            <v>1.1200000000000001</v>
          </cell>
          <cell r="I1666">
            <v>6.27</v>
          </cell>
        </row>
        <row r="1667">
          <cell r="E1667" t="str">
            <v>MUM/23-24/682</v>
          </cell>
          <cell r="F1667" t="str">
            <v>being brokerage booked on insurance policies placed in Jul-23.</v>
          </cell>
          <cell r="G1667">
            <v>3389.51</v>
          </cell>
          <cell r="H1667">
            <v>517.04</v>
          </cell>
          <cell r="I1667">
            <v>2872.47</v>
          </cell>
        </row>
        <row r="1668">
          <cell r="E1668" t="str">
            <v>MUM/23-24/683</v>
          </cell>
          <cell r="F1668" t="str">
            <v>being brokerage booked on insurance policies placed in Jul-23.</v>
          </cell>
          <cell r="G1668">
            <v>176.57</v>
          </cell>
          <cell r="H1668">
            <v>26.94</v>
          </cell>
          <cell r="I1668">
            <v>149.63</v>
          </cell>
        </row>
        <row r="1669">
          <cell r="E1669" t="str">
            <v>MUM/23-24/684</v>
          </cell>
          <cell r="F1669" t="str">
            <v>being brokerage booked on insurance policies placed in Jul-23. (Whether the Tax is payable on reverse charge basis: NO).</v>
          </cell>
          <cell r="G1669">
            <v>1437334.15</v>
          </cell>
          <cell r="H1669">
            <v>219254.36</v>
          </cell>
          <cell r="I1669">
            <v>1218079.79</v>
          </cell>
        </row>
        <row r="1670">
          <cell r="E1670" t="str">
            <v>MUM/23-24/685</v>
          </cell>
          <cell r="F1670" t="str">
            <v>being brokerage booked on insurance policies placed in Jul-23.</v>
          </cell>
          <cell r="G1670">
            <v>1628.4</v>
          </cell>
          <cell r="H1670">
            <v>248.4</v>
          </cell>
          <cell r="I1670">
            <v>1380</v>
          </cell>
        </row>
        <row r="1671">
          <cell r="E1671" t="str">
            <v>MUM/23-24/686</v>
          </cell>
          <cell r="F1671" t="str">
            <v>being brokerage booked on insurance policies placed in Jul-23.</v>
          </cell>
          <cell r="G1671">
            <v>2904.22</v>
          </cell>
          <cell r="H1671">
            <v>443.02</v>
          </cell>
          <cell r="I1671">
            <v>2461.1999999999998</v>
          </cell>
        </row>
        <row r="1672">
          <cell r="E1672" t="str">
            <v>MUM/23-24/687</v>
          </cell>
          <cell r="F1672" t="str">
            <v>being brokerage booked on insurance policies placed in Jul-23.</v>
          </cell>
          <cell r="G1672">
            <v>71116.08</v>
          </cell>
          <cell r="H1672">
            <v>10848.22</v>
          </cell>
          <cell r="I1672">
            <v>60267.86</v>
          </cell>
        </row>
        <row r="1673">
          <cell r="E1673" t="str">
            <v>MUM/23-24/688</v>
          </cell>
          <cell r="F1673" t="str">
            <v>being brokerage booked on insurance policies placed in Jul-23.</v>
          </cell>
          <cell r="G1673">
            <v>56153.99</v>
          </cell>
          <cell r="H1673">
            <v>8565.86</v>
          </cell>
          <cell r="I1673">
            <v>47588.13</v>
          </cell>
        </row>
        <row r="1674">
          <cell r="E1674" t="str">
            <v>MUM/23-24/689</v>
          </cell>
          <cell r="F1674" t="str">
            <v>being brokerage booked on insurance policies placed in Jul-23.</v>
          </cell>
          <cell r="G1674">
            <v>382745.18</v>
          </cell>
          <cell r="H1674">
            <v>58384.86</v>
          </cell>
          <cell r="I1674">
            <v>324360.32000000001</v>
          </cell>
        </row>
        <row r="1675">
          <cell r="E1675" t="str">
            <v>MUM/23-24/690</v>
          </cell>
          <cell r="F1675" t="str">
            <v>being brokerage booked on insurance policies placed in Jul-23.</v>
          </cell>
          <cell r="G1675">
            <v>1648926.21</v>
          </cell>
          <cell r="H1675">
            <v>251531.12</v>
          </cell>
          <cell r="I1675">
            <v>1397395.09</v>
          </cell>
        </row>
        <row r="1676">
          <cell r="E1676" t="str">
            <v>MUM/23-24/691</v>
          </cell>
          <cell r="F1676" t="str">
            <v>being brokerage booked on insurance policies placed in Jul-23.</v>
          </cell>
          <cell r="G1676">
            <v>2330.16</v>
          </cell>
          <cell r="H1676">
            <v>355.45</v>
          </cell>
          <cell r="I1676">
            <v>1974.71</v>
          </cell>
        </row>
        <row r="1677">
          <cell r="E1677" t="str">
            <v>MUM/23-24/692</v>
          </cell>
          <cell r="F1677" t="str">
            <v>being brokerage booked on insurance policies placed in Jul-23.</v>
          </cell>
          <cell r="G1677">
            <v>201312.92</v>
          </cell>
          <cell r="H1677">
            <v>30708.75</v>
          </cell>
          <cell r="I1677">
            <v>170604.17</v>
          </cell>
        </row>
        <row r="1678">
          <cell r="E1678" t="str">
            <v>MUM/23-24/693</v>
          </cell>
          <cell r="F1678" t="str">
            <v>Being RI brokerage booked ; Insured: Petronet LNG Ltd ; Reinsured :Bajaj Allianz General Insurance Co Ltd Policy Period :08.04.2023 to 08.04.2024</v>
          </cell>
          <cell r="G1678">
            <v>1191847.2</v>
          </cell>
          <cell r="H1678">
            <v>181807.2</v>
          </cell>
          <cell r="I1678">
            <v>1010040</v>
          </cell>
        </row>
        <row r="1679">
          <cell r="E1679" t="str">
            <v>MUM/23-24/694</v>
          </cell>
          <cell r="F1679" t="str">
            <v>Being RI brokerage booked ; Insured: Nigerian National Petroleum Corporation; Reinsured :Indo Arab Insurance &amp; Reinsurance Brokers DMCC, Policy Period :01-04-2023 to 01-04-2024.</v>
          </cell>
          <cell r="G1679">
            <v>249776.5</v>
          </cell>
          <cell r="H1679">
            <v>38101.5</v>
          </cell>
          <cell r="I1679">
            <v>211675</v>
          </cell>
        </row>
        <row r="1680">
          <cell r="E1680" t="str">
            <v>MUM/23-24/695</v>
          </cell>
          <cell r="F1680" t="str">
            <v>Being RI brokerage booked ; Insured: BPCL; Reinsured :The New India Assurance Co. Ltd, Policy Period :12-04-2023 to 12-04-2024.</v>
          </cell>
          <cell r="G1680">
            <v>1298075.52</v>
          </cell>
          <cell r="H1680">
            <v>198011.51999999999</v>
          </cell>
          <cell r="I1680">
            <v>1100064</v>
          </cell>
        </row>
        <row r="1681">
          <cell r="E1681" t="str">
            <v>MUM/23-24/696</v>
          </cell>
          <cell r="F1681" t="str">
            <v>Being RI brokerage booked ; Insured: Numaligarh Refinery Limited; Reinsured :The New India Assurance Co. Ltd, Policy Period :12-04-2023 to 12-04-2024.</v>
          </cell>
          <cell r="G1681">
            <v>315795.14</v>
          </cell>
          <cell r="H1681">
            <v>48172.14</v>
          </cell>
          <cell r="I1681">
            <v>267623</v>
          </cell>
        </row>
        <row r="1682">
          <cell r="E1682" t="str">
            <v>MUM/23-24/697</v>
          </cell>
          <cell r="F1682" t="str">
            <v>being brokerage booked on insurance policies placed in Jul-23.</v>
          </cell>
          <cell r="G1682">
            <v>52157.52</v>
          </cell>
          <cell r="H1682">
            <v>7956.24</v>
          </cell>
          <cell r="I1682">
            <v>44201.279999999999</v>
          </cell>
        </row>
        <row r="1683">
          <cell r="E1683" t="str">
            <v>MUM/23-24/698</v>
          </cell>
          <cell r="F1683" t="str">
            <v>being brokerage booked on insurance policies placed in Jul-23.</v>
          </cell>
          <cell r="G1683">
            <v>13434.3</v>
          </cell>
          <cell r="H1683">
            <v>2049.3000000000002</v>
          </cell>
          <cell r="I1683">
            <v>11385</v>
          </cell>
        </row>
        <row r="1684">
          <cell r="E1684" t="str">
            <v>MUM/23-24/699</v>
          </cell>
          <cell r="F1684" t="str">
            <v>being brokerage booked on insurance policies placed in Jul-23.</v>
          </cell>
          <cell r="G1684">
            <v>1657.26</v>
          </cell>
          <cell r="H1684">
            <v>252.8</v>
          </cell>
          <cell r="I1684">
            <v>1404.46</v>
          </cell>
        </row>
        <row r="1685">
          <cell r="E1685" t="str">
            <v>MUM/23-24/700</v>
          </cell>
          <cell r="F1685" t="str">
            <v>being brokerage booked on insurance policies placed in Jul-23.</v>
          </cell>
          <cell r="G1685">
            <v>3387116.2</v>
          </cell>
          <cell r="H1685">
            <v>516678.74</v>
          </cell>
          <cell r="I1685">
            <v>2870437.46</v>
          </cell>
        </row>
        <row r="1686">
          <cell r="E1686" t="str">
            <v>MUM/23-24/701</v>
          </cell>
          <cell r="F1686" t="str">
            <v>being brokerage booked on insurance policies placed in Jul-23.</v>
          </cell>
          <cell r="G1686">
            <v>7877.59</v>
          </cell>
          <cell r="H1686">
            <v>1201.6600000000001</v>
          </cell>
          <cell r="I1686">
            <v>6675.93</v>
          </cell>
        </row>
        <row r="1687">
          <cell r="E1687" t="str">
            <v>MUM/23-24/702</v>
          </cell>
          <cell r="F1687" t="str">
            <v>being brokerage booked on insurance policies placed in Jul-23.</v>
          </cell>
          <cell r="G1687">
            <v>2242.6</v>
          </cell>
          <cell r="H1687">
            <v>342.1</v>
          </cell>
          <cell r="I1687">
            <v>1900.5</v>
          </cell>
        </row>
        <row r="1688">
          <cell r="E1688" t="str">
            <v>PUN/23-24/55</v>
          </cell>
          <cell r="F1688" t="str">
            <v>being brokerage booked on insurance policies placed in Jul-23.</v>
          </cell>
          <cell r="G1688">
            <v>1412.54</v>
          </cell>
          <cell r="H1688">
            <v>215.48</v>
          </cell>
          <cell r="I1688">
            <v>1197.06</v>
          </cell>
        </row>
        <row r="1689">
          <cell r="E1689" t="str">
            <v>PUN/23-24/56</v>
          </cell>
          <cell r="F1689" t="str">
            <v>being brokerage booked on insurance policies placed in Jul-23.</v>
          </cell>
          <cell r="G1689">
            <v>4778.07</v>
          </cell>
          <cell r="H1689">
            <v>728.86</v>
          </cell>
          <cell r="I1689">
            <v>4049.21</v>
          </cell>
        </row>
        <row r="1690">
          <cell r="E1690" t="str">
            <v>BLR/23-24/204</v>
          </cell>
          <cell r="F1690" t="str">
            <v>being brokerage booked on insurance policies placed in Jul-23.</v>
          </cell>
          <cell r="G1690">
            <v>715102.86</v>
          </cell>
          <cell r="H1690">
            <v>109083.48</v>
          </cell>
          <cell r="I1690">
            <v>606019.38</v>
          </cell>
        </row>
        <row r="1691">
          <cell r="E1691" t="str">
            <v>BLR/23-24/205</v>
          </cell>
          <cell r="F1691" t="str">
            <v>being brokerage booked on insurance policies placed in Jul-23.</v>
          </cell>
          <cell r="G1691">
            <v>903017.42</v>
          </cell>
          <cell r="H1691">
            <v>137748.42000000001</v>
          </cell>
          <cell r="I1691">
            <v>765269</v>
          </cell>
        </row>
        <row r="1692">
          <cell r="E1692" t="str">
            <v>BLR/23-24/206</v>
          </cell>
          <cell r="F1692" t="str">
            <v>being brokerage booked on insurance policies placed in Jul-23.</v>
          </cell>
          <cell r="G1692">
            <v>14020.09</v>
          </cell>
          <cell r="H1692">
            <v>2138.66</v>
          </cell>
          <cell r="I1692">
            <v>11881.43</v>
          </cell>
        </row>
        <row r="1693">
          <cell r="E1693" t="str">
            <v>CHN/23-24/148</v>
          </cell>
          <cell r="F1693" t="str">
            <v>being brokerage booked on insurance policies placed in Jul-23.</v>
          </cell>
          <cell r="G1693">
            <v>5.56</v>
          </cell>
          <cell r="H1693">
            <v>0.84</v>
          </cell>
          <cell r="I1693">
            <v>4.72</v>
          </cell>
        </row>
        <row r="1694">
          <cell r="E1694" t="str">
            <v>CHN/23-24/149</v>
          </cell>
          <cell r="F1694" t="str">
            <v>being brokerage booked on insurance poliices placed in Jul-23.</v>
          </cell>
          <cell r="G1694">
            <v>13355.67</v>
          </cell>
          <cell r="H1694">
            <v>2037.3</v>
          </cell>
          <cell r="I1694">
            <v>11318.37</v>
          </cell>
        </row>
        <row r="1695">
          <cell r="E1695" t="str">
            <v>CHN/23-24/150</v>
          </cell>
          <cell r="F1695" t="str">
            <v>being brokerage booked on insurance policies placed in Jul-23.</v>
          </cell>
          <cell r="G1695">
            <v>158.34</v>
          </cell>
          <cell r="H1695">
            <v>24.16</v>
          </cell>
          <cell r="I1695">
            <v>134.18</v>
          </cell>
        </row>
        <row r="1696">
          <cell r="E1696" t="str">
            <v>CHN/23-24/151</v>
          </cell>
          <cell r="F1696" t="str">
            <v>being brokerage booked on insurance policies placed in Jul-23.</v>
          </cell>
          <cell r="G1696">
            <v>6928.96</v>
          </cell>
          <cell r="H1696">
            <v>1056.96</v>
          </cell>
          <cell r="I1696">
            <v>5872</v>
          </cell>
        </row>
        <row r="1697">
          <cell r="E1697" t="str">
            <v>CHN/23-24/152</v>
          </cell>
          <cell r="F1697" t="str">
            <v>being brokerage booked on insurance policies placed in Jul-23.</v>
          </cell>
          <cell r="G1697">
            <v>214846.14</v>
          </cell>
          <cell r="H1697">
            <v>32773.14</v>
          </cell>
          <cell r="I1697">
            <v>182073</v>
          </cell>
        </row>
        <row r="1698">
          <cell r="E1698" t="str">
            <v>CHN/23-24/153</v>
          </cell>
          <cell r="F1698" t="str">
            <v>being brokerage booked on insurance policies placed in Jul-23.</v>
          </cell>
          <cell r="G1698">
            <v>509.76</v>
          </cell>
          <cell r="H1698">
            <v>77.760000000000005</v>
          </cell>
          <cell r="I1698">
            <v>432</v>
          </cell>
        </row>
        <row r="1699">
          <cell r="E1699" t="str">
            <v>CHN/23-24/154</v>
          </cell>
          <cell r="F1699" t="str">
            <v>being brokerage booked on insurance policies placed in Jul-23.</v>
          </cell>
          <cell r="G1699">
            <v>716.67</v>
          </cell>
          <cell r="H1699">
            <v>109.32</v>
          </cell>
          <cell r="I1699">
            <v>607.35</v>
          </cell>
        </row>
        <row r="1700">
          <cell r="E1700" t="str">
            <v>GGN/23-24/430</v>
          </cell>
          <cell r="F1700" t="str">
            <v>being brokerage booked on insurance policies placed in Q1 2023-24.</v>
          </cell>
          <cell r="G1700">
            <v>223270.99</v>
          </cell>
          <cell r="H1700">
            <v>34058.29</v>
          </cell>
          <cell r="I1700">
            <v>189212.7</v>
          </cell>
        </row>
        <row r="1701">
          <cell r="E1701" t="str">
            <v>GGN/23-24/431</v>
          </cell>
          <cell r="F1701" t="str">
            <v>being brokerage booked on insurance policies placed in Jul-23.</v>
          </cell>
          <cell r="G1701">
            <v>461158.16</v>
          </cell>
          <cell r="H1701">
            <v>70346.16</v>
          </cell>
          <cell r="I1701">
            <v>390812</v>
          </cell>
        </row>
        <row r="1702">
          <cell r="E1702" t="str">
            <v>GGN/23-24/432</v>
          </cell>
          <cell r="F1702" t="str">
            <v>being brokerage booked on insurance policies placed in Jul-23.</v>
          </cell>
          <cell r="G1702">
            <v>349958.21</v>
          </cell>
          <cell r="H1702">
            <v>53383.46</v>
          </cell>
          <cell r="I1702">
            <v>296574.75</v>
          </cell>
        </row>
        <row r="1703">
          <cell r="E1703" t="str">
            <v>GGN/23-24/433</v>
          </cell>
          <cell r="F1703" t="str">
            <v>being brokerage booked on insurance policies placed in Jul-23.</v>
          </cell>
          <cell r="G1703">
            <v>3317.36</v>
          </cell>
          <cell r="H1703">
            <v>506.04</v>
          </cell>
          <cell r="I1703">
            <v>2811.32</v>
          </cell>
        </row>
        <row r="1704">
          <cell r="E1704" t="str">
            <v>GGN/23-24/434</v>
          </cell>
          <cell r="F1704" t="str">
            <v>being brokerage booked on insurance policies placed in Jul-23.</v>
          </cell>
          <cell r="G1704">
            <v>67428.740000000005</v>
          </cell>
          <cell r="H1704">
            <v>10285.74</v>
          </cell>
          <cell r="I1704">
            <v>57143</v>
          </cell>
        </row>
        <row r="1705">
          <cell r="E1705" t="str">
            <v>GGN/23-24/435</v>
          </cell>
          <cell r="F1705" t="str">
            <v>being brokerage booked on insurance policies placed in Jul-23.</v>
          </cell>
          <cell r="G1705">
            <v>107.38</v>
          </cell>
          <cell r="H1705">
            <v>16.38</v>
          </cell>
          <cell r="I1705">
            <v>91</v>
          </cell>
        </row>
        <row r="1706">
          <cell r="E1706" t="str">
            <v>GGN/23-24/436</v>
          </cell>
          <cell r="F1706" t="str">
            <v>being brokerage booked on insurance policies placed in Jul-23.</v>
          </cell>
          <cell r="G1706">
            <v>87204.36</v>
          </cell>
          <cell r="H1706">
            <v>13302.36</v>
          </cell>
          <cell r="I1706">
            <v>73902</v>
          </cell>
        </row>
        <row r="1707">
          <cell r="E1707" t="str">
            <v>HYD/23-24/84</v>
          </cell>
          <cell r="F1707" t="str">
            <v>being brokerage booked on insurance policies placed in Jul-23.</v>
          </cell>
          <cell r="G1707">
            <v>276971.61</v>
          </cell>
          <cell r="H1707">
            <v>42249.9</v>
          </cell>
          <cell r="I1707">
            <v>234721.71</v>
          </cell>
        </row>
        <row r="1708">
          <cell r="E1708" t="str">
            <v>HYD/23-24/85</v>
          </cell>
          <cell r="F1708" t="str">
            <v>being brokerage booked on insurance policies placed in Jul-23.</v>
          </cell>
          <cell r="G1708">
            <v>20842.34</v>
          </cell>
          <cell r="H1708">
            <v>3179.34</v>
          </cell>
          <cell r="I1708">
            <v>17663</v>
          </cell>
        </row>
        <row r="1709">
          <cell r="E1709" t="str">
            <v>LUD/23-24/53</v>
          </cell>
          <cell r="F1709" t="str">
            <v>being brokerage booked on insurance policies placed in Jul-23.</v>
          </cell>
          <cell r="G1709">
            <v>8362.66</v>
          </cell>
          <cell r="H1709">
            <v>1275.6600000000001</v>
          </cell>
          <cell r="I1709">
            <v>7087</v>
          </cell>
        </row>
        <row r="1710">
          <cell r="E1710" t="str">
            <v>MUM/23-24/703</v>
          </cell>
          <cell r="F1710" t="str">
            <v>being reward booked on insurance policies placed for Jun-23. We confirm that our revenue from insurance intermediation activities is more than 50% of our total revenue.</v>
          </cell>
          <cell r="G1710">
            <v>1930.35</v>
          </cell>
          <cell r="H1710">
            <v>294.45999999999998</v>
          </cell>
          <cell r="I1710">
            <v>1635.89</v>
          </cell>
        </row>
        <row r="1711">
          <cell r="E1711" t="str">
            <v>MUM/23-24/704</v>
          </cell>
          <cell r="F1711" t="str">
            <v>being reward booked on insurance policies placed in Jun-23. We also declare that our revenue from other than insurance intermidition activities less than fifty percent of our total revenue from all the activities.</v>
          </cell>
          <cell r="G1711">
            <v>1829.12</v>
          </cell>
          <cell r="H1711">
            <v>279.02</v>
          </cell>
          <cell r="I1711">
            <v>1550.1</v>
          </cell>
        </row>
        <row r="1712">
          <cell r="E1712" t="str">
            <v>MUM/23-24/705</v>
          </cell>
          <cell r="F1712" t="str">
            <v>being reward booked on insurance policies placed for Jun-23. We confirm that our revenue from insurance intermediation activities is more than 50% of our total revenue.</v>
          </cell>
          <cell r="G1712">
            <v>185.49</v>
          </cell>
          <cell r="H1712">
            <v>28.3</v>
          </cell>
          <cell r="I1712">
            <v>157.19</v>
          </cell>
        </row>
        <row r="1713">
          <cell r="E1713" t="str">
            <v>MUM/23-24/706</v>
          </cell>
          <cell r="F1713" t="str">
            <v>Being RI brokerage booked ; Insured: Taiwan Semiconductor Manufacturing Company Limited 2023 END 01 (1st Install); Reinsured :Richmond Reinsurance Brokers Pte Ltd, Policy Period :01-04-2023 to 30-09-2024.</v>
          </cell>
          <cell r="G1713">
            <v>191045.54</v>
          </cell>
          <cell r="H1713">
            <v>29142.54</v>
          </cell>
          <cell r="I1713">
            <v>161903</v>
          </cell>
        </row>
        <row r="1714">
          <cell r="E1714" t="str">
            <v>MUM/23-24/707</v>
          </cell>
          <cell r="F1714" t="str">
            <v>Being RI brokerage booked ; Insured: Taiwan Semiconductor Manufacturing Company Limited 2023 END 01 (1st Install); Reinsured :Richmond Reinsurance Brokers Pte Ltd, Policy Period :01-04-2023 to 30-09-2024.</v>
          </cell>
          <cell r="G1714">
            <v>231604.5</v>
          </cell>
          <cell r="H1714">
            <v>35329.5</v>
          </cell>
          <cell r="I1714">
            <v>196275</v>
          </cell>
        </row>
        <row r="1715">
          <cell r="E1715" t="str">
            <v>MUM/23-24/708</v>
          </cell>
          <cell r="F1715" t="str">
            <v>being brokerage booked on insurance policies placed in Jul-23.</v>
          </cell>
          <cell r="G1715">
            <v>6179.66</v>
          </cell>
          <cell r="H1715">
            <v>942.66</v>
          </cell>
          <cell r="I1715">
            <v>5237</v>
          </cell>
        </row>
        <row r="1716">
          <cell r="E1716" t="str">
            <v>MUM/23-24/709</v>
          </cell>
          <cell r="F1716" t="str">
            <v>being brokerage booked on insurance policies placed in Jul-23.</v>
          </cell>
          <cell r="G1716">
            <v>26668</v>
          </cell>
          <cell r="H1716">
            <v>4068</v>
          </cell>
          <cell r="I1716">
            <v>22600</v>
          </cell>
        </row>
        <row r="1717">
          <cell r="E1717" t="str">
            <v>MUM/23-24/710</v>
          </cell>
          <cell r="F1717" t="str">
            <v>being brokerage booked on insurance policies placed in Jul-23.</v>
          </cell>
          <cell r="G1717">
            <v>45568.06</v>
          </cell>
          <cell r="H1717">
            <v>6951.06</v>
          </cell>
          <cell r="I1717">
            <v>38617</v>
          </cell>
        </row>
        <row r="1718">
          <cell r="E1718" t="str">
            <v>MUM/23-24/711</v>
          </cell>
          <cell r="F1718" t="str">
            <v>being brokerage booked on insurance policies placed in Jul-23.</v>
          </cell>
          <cell r="G1718">
            <v>466266.86</v>
          </cell>
          <cell r="H1718">
            <v>71125.460000000006</v>
          </cell>
          <cell r="I1718">
            <v>395141.4</v>
          </cell>
        </row>
        <row r="1719">
          <cell r="E1719" t="str">
            <v>MUM/23-24/712</v>
          </cell>
          <cell r="F1719" t="str">
            <v>being brokerage booked on insurance policies placed in Jul-23.</v>
          </cell>
          <cell r="G1719">
            <v>2810.76</v>
          </cell>
          <cell r="H1719">
            <v>428.76</v>
          </cell>
          <cell r="I1719">
            <v>2382</v>
          </cell>
        </row>
        <row r="1720">
          <cell r="E1720" t="str">
            <v>MUM/23-24/713</v>
          </cell>
          <cell r="F1720" t="str">
            <v>being brokerage booked on insurance policies placed in Jul-23.</v>
          </cell>
          <cell r="G1720">
            <v>86261.54</v>
          </cell>
          <cell r="H1720">
            <v>13158.54</v>
          </cell>
          <cell r="I1720">
            <v>73103</v>
          </cell>
        </row>
        <row r="1721">
          <cell r="E1721" t="str">
            <v>PUN/23-24/57</v>
          </cell>
          <cell r="F1721" t="str">
            <v>being brokerage booked on insurance policies placed in Jul-23.</v>
          </cell>
          <cell r="G1721">
            <v>7185.02</v>
          </cell>
          <cell r="H1721">
            <v>1096.02</v>
          </cell>
          <cell r="I1721">
            <v>6089</v>
          </cell>
        </row>
        <row r="1722">
          <cell r="E1722" t="str">
            <v>PUN/23-24/58</v>
          </cell>
          <cell r="F1722" t="str">
            <v>being brokerage booked on insurance policies placed in Jul-23.</v>
          </cell>
          <cell r="G1722">
            <v>21471.279999999999</v>
          </cell>
          <cell r="H1722">
            <v>3275.28</v>
          </cell>
          <cell r="I1722">
            <v>18196</v>
          </cell>
        </row>
        <row r="1723">
          <cell r="E1723" t="str">
            <v>PUN/23-24/59</v>
          </cell>
          <cell r="F1723" t="str">
            <v>being brokerage booked on insurance policies placed in Jul-23.</v>
          </cell>
          <cell r="G1723">
            <v>468338.46</v>
          </cell>
          <cell r="H1723">
            <v>71441.460000000006</v>
          </cell>
          <cell r="I1723">
            <v>396897</v>
          </cell>
        </row>
        <row r="1724">
          <cell r="E1724" t="str">
            <v>BLR/23-24/207</v>
          </cell>
          <cell r="F1724" t="str">
            <v>being brokerage booked on insurance policies placed in Jul-23.</v>
          </cell>
          <cell r="G1724">
            <v>3848.39</v>
          </cell>
          <cell r="H1724">
            <v>587.04</v>
          </cell>
          <cell r="I1724">
            <v>3261.35</v>
          </cell>
        </row>
        <row r="1725">
          <cell r="E1725" t="str">
            <v>BLR/23-24/208</v>
          </cell>
          <cell r="F1725" t="str">
            <v>being brokerage booked on insurance policies placed in Jul-23.</v>
          </cell>
          <cell r="G1725">
            <v>900567.99</v>
          </cell>
          <cell r="H1725">
            <v>137374.78</v>
          </cell>
          <cell r="I1725">
            <v>763193.21</v>
          </cell>
        </row>
        <row r="1726">
          <cell r="E1726" t="str">
            <v>BLR/23-24/209</v>
          </cell>
          <cell r="F1726" t="str">
            <v>being brokerage booked on insurance policies placed in Jul-23.</v>
          </cell>
          <cell r="G1726">
            <v>253384.07</v>
          </cell>
          <cell r="H1726">
            <v>38651.800000000003</v>
          </cell>
          <cell r="I1726">
            <v>214732.27</v>
          </cell>
        </row>
        <row r="1727">
          <cell r="E1727" t="str">
            <v>BLR/23-24/210</v>
          </cell>
          <cell r="F1727" t="str">
            <v>being brokerage booked on insurance policies placed in Jul-23.</v>
          </cell>
          <cell r="G1727">
            <v>79667.460000000006</v>
          </cell>
          <cell r="H1727">
            <v>12152.66</v>
          </cell>
          <cell r="I1727">
            <v>67514.8</v>
          </cell>
        </row>
        <row r="1728">
          <cell r="E1728" t="str">
            <v>BLR/23-24/211</v>
          </cell>
          <cell r="F1728" t="str">
            <v>being brokerage booked on insurance policies placed in Jul-23.</v>
          </cell>
          <cell r="G1728">
            <v>11.32</v>
          </cell>
          <cell r="H1728">
            <v>1.72</v>
          </cell>
          <cell r="I1728">
            <v>9.6</v>
          </cell>
        </row>
        <row r="1729">
          <cell r="E1729" t="str">
            <v>CHN/23-24/155</v>
          </cell>
          <cell r="F1729" t="str">
            <v>being brokerage booked on insurance policies placed in Jul-23.</v>
          </cell>
          <cell r="G1729">
            <v>92997.92</v>
          </cell>
          <cell r="H1729">
            <v>14186.12</v>
          </cell>
          <cell r="I1729">
            <v>78811.8</v>
          </cell>
        </row>
        <row r="1730">
          <cell r="E1730" t="str">
            <v>CHN/23-24/156</v>
          </cell>
          <cell r="F1730" t="str">
            <v>being brokerage booked on insurance policies placed in Jul-23.</v>
          </cell>
          <cell r="G1730">
            <v>63853.04</v>
          </cell>
          <cell r="H1730">
            <v>9740.2999999999993</v>
          </cell>
          <cell r="I1730">
            <v>54112.74</v>
          </cell>
        </row>
        <row r="1731">
          <cell r="E1731" t="str">
            <v>GGN/23-24/437</v>
          </cell>
          <cell r="F1731" t="str">
            <v>being brokerage booked on insurance policies placed in Jul-23.</v>
          </cell>
          <cell r="G1731">
            <v>160525.35999999999</v>
          </cell>
          <cell r="H1731">
            <v>24486.92</v>
          </cell>
          <cell r="I1731">
            <v>136038.44</v>
          </cell>
        </row>
        <row r="1732">
          <cell r="E1732" t="str">
            <v>GGN/23-24/438</v>
          </cell>
          <cell r="F1732" t="str">
            <v>being brokerage booked on insurance policies placed in Jul-23.</v>
          </cell>
          <cell r="G1732">
            <v>165452.18</v>
          </cell>
          <cell r="H1732">
            <v>25238.47</v>
          </cell>
          <cell r="I1732">
            <v>140213.71</v>
          </cell>
        </row>
        <row r="1733">
          <cell r="E1733" t="str">
            <v>GGN/23-24/439</v>
          </cell>
          <cell r="F1733" t="str">
            <v>being brokerage booked on insurance policies placed in Jul-23.</v>
          </cell>
          <cell r="G1733">
            <v>22653.65</v>
          </cell>
          <cell r="H1733">
            <v>3455.64</v>
          </cell>
          <cell r="I1733">
            <v>19198.009999999998</v>
          </cell>
        </row>
        <row r="1734">
          <cell r="E1734" t="str">
            <v>GGN/23-24/440</v>
          </cell>
          <cell r="F1734" t="str">
            <v>being brokerage booked on insurance policies placed in Jul-23.</v>
          </cell>
          <cell r="G1734">
            <v>27357.77</v>
          </cell>
          <cell r="H1734">
            <v>4173.22</v>
          </cell>
          <cell r="I1734">
            <v>23184.55</v>
          </cell>
        </row>
        <row r="1735">
          <cell r="E1735" t="str">
            <v>GGN/23-24/441</v>
          </cell>
          <cell r="F1735" t="str">
            <v>being brokerage booked on insurance policies placed in Jul-23.</v>
          </cell>
          <cell r="G1735">
            <v>2299527.81</v>
          </cell>
          <cell r="H1735">
            <v>350775.43</v>
          </cell>
          <cell r="I1735">
            <v>1948752.38</v>
          </cell>
        </row>
        <row r="1736">
          <cell r="E1736" t="str">
            <v>GGN/23-24/442</v>
          </cell>
          <cell r="F1736" t="str">
            <v>being brokerage booked on insurance policies placed in Jul-23.</v>
          </cell>
          <cell r="G1736">
            <v>119212.33</v>
          </cell>
          <cell r="H1736">
            <v>18184.93</v>
          </cell>
          <cell r="I1736">
            <v>101027.4</v>
          </cell>
        </row>
        <row r="1737">
          <cell r="E1737" t="str">
            <v>GGN/23-24/443</v>
          </cell>
          <cell r="F1737" t="str">
            <v>being brokerage booked on insurance policies placed in Jul-23.</v>
          </cell>
          <cell r="G1737">
            <v>64291.040000000001</v>
          </cell>
          <cell r="H1737">
            <v>9807.11</v>
          </cell>
          <cell r="I1737">
            <v>54483.93</v>
          </cell>
        </row>
        <row r="1738">
          <cell r="E1738" t="str">
            <v>GGN/23-24/444</v>
          </cell>
          <cell r="F1738" t="str">
            <v>being brokerage booked on insurance policies placed in Jul-23.</v>
          </cell>
          <cell r="G1738">
            <v>1140298.1200000001</v>
          </cell>
          <cell r="H1738">
            <v>173943.78</v>
          </cell>
          <cell r="I1738">
            <v>966354.34</v>
          </cell>
        </row>
        <row r="1739">
          <cell r="E1739" t="str">
            <v>GGN/23-24/445</v>
          </cell>
          <cell r="F1739" t="str">
            <v>being brokerage booked on insurance policies placed in Jul-23.</v>
          </cell>
          <cell r="G1739">
            <v>4123.46</v>
          </cell>
          <cell r="H1739">
            <v>629</v>
          </cell>
          <cell r="I1739">
            <v>3494.46</v>
          </cell>
        </row>
        <row r="1740">
          <cell r="E1740" t="str">
            <v>GFT/23-24/59</v>
          </cell>
          <cell r="F1740" t="str">
            <v>Being RI brokerage booked ; Insured: Swiss Singapore Oversese Enterprises Pvt Ltd; Reinsured :Watania Takaful PSJ, Policy Period :01-05-2023 to 31-05-2023.</v>
          </cell>
          <cell r="G1740">
            <v>12459.62</v>
          </cell>
          <cell r="H1740">
            <v>1900.62</v>
          </cell>
          <cell r="I1740">
            <v>10559</v>
          </cell>
        </row>
        <row r="1741">
          <cell r="E1741" t="str">
            <v>GFT/23-24/60</v>
          </cell>
          <cell r="F1741" t="str">
            <v>Being RI brokerage booked ; Insured: Axa Sigorta A.S.; Reinsured :BMS Group USD , Policy Period :08-04-2023 to 08-10-2024.</v>
          </cell>
          <cell r="G1741">
            <v>2190581.5</v>
          </cell>
          <cell r="H1741">
            <v>334156.5</v>
          </cell>
          <cell r="I1741">
            <v>1856425</v>
          </cell>
        </row>
        <row r="1742">
          <cell r="E1742" t="str">
            <v>HYD/23-24/86</v>
          </cell>
          <cell r="F1742" t="str">
            <v>being brokerage booked on insurance policies placed in Jul-23.</v>
          </cell>
          <cell r="G1742">
            <v>174.4</v>
          </cell>
          <cell r="H1742">
            <v>26.6</v>
          </cell>
          <cell r="I1742">
            <v>147.80000000000001</v>
          </cell>
        </row>
        <row r="1743">
          <cell r="E1743" t="str">
            <v>LUD/23-24/54</v>
          </cell>
          <cell r="F1743" t="str">
            <v>being brokerage booked on insurance policies placed in Jul-23.</v>
          </cell>
          <cell r="G1743">
            <v>142.56</v>
          </cell>
          <cell r="H1743">
            <v>21.74</v>
          </cell>
          <cell r="I1743">
            <v>120.82</v>
          </cell>
        </row>
        <row r="1744">
          <cell r="E1744" t="str">
            <v>MUM/23-24/714</v>
          </cell>
          <cell r="F1744" t="str">
            <v>Being RI brokerage booked ; Insured: Taiwan Semiconductor Manufacturing Company Limited 2023 END 01 (1st Install); Reinsured :Richmond Reinsurance Brokers Pte Ltd, Policy Period :01-04-2023 to 30-09-2024</v>
          </cell>
          <cell r="G1744">
            <v>1443586.04</v>
          </cell>
          <cell r="H1744">
            <v>220208.04</v>
          </cell>
          <cell r="I1744">
            <v>1223378</v>
          </cell>
        </row>
        <row r="1745">
          <cell r="E1745" t="str">
            <v>MUM/23-24/715</v>
          </cell>
          <cell r="F1745" t="str">
            <v>being brokerage booked on insurance policies placed in Jul-23.</v>
          </cell>
          <cell r="G1745">
            <v>5322.75</v>
          </cell>
          <cell r="H1745">
            <v>811.94</v>
          </cell>
          <cell r="I1745">
            <v>4510.8100000000004</v>
          </cell>
        </row>
        <row r="1746">
          <cell r="E1746" t="str">
            <v>MUM/23-24/716</v>
          </cell>
          <cell r="F1746" t="str">
            <v>being brokerage booked on insurance policies placed in Jul-23.</v>
          </cell>
          <cell r="G1746">
            <v>151369.39000000001</v>
          </cell>
          <cell r="H1746">
            <v>23090.240000000002</v>
          </cell>
          <cell r="I1746">
            <v>128279.15</v>
          </cell>
        </row>
        <row r="1747">
          <cell r="E1747" t="str">
            <v>MUM/23-24/717</v>
          </cell>
          <cell r="F1747" t="str">
            <v>being reward booked on insurance policies placed in May-23. We confirm that our revenue from insurance intermediation activities is more than 50% of our total revenue.</v>
          </cell>
          <cell r="G1747">
            <v>643042.18000000005</v>
          </cell>
          <cell r="H1747">
            <v>98091.18</v>
          </cell>
          <cell r="I1747">
            <v>544951</v>
          </cell>
        </row>
        <row r="1748">
          <cell r="E1748" t="str">
            <v>MUM/23-24/718</v>
          </cell>
          <cell r="F1748" t="str">
            <v>being reward booked on insurance policies placed in Jun-23. We confirm that our revenue from insurance intermediation activities is more than 50% of our total revenue.</v>
          </cell>
          <cell r="G1748">
            <v>76056.899999999994</v>
          </cell>
          <cell r="H1748">
            <v>11601.9</v>
          </cell>
          <cell r="I1748">
            <v>64455</v>
          </cell>
        </row>
        <row r="1749">
          <cell r="E1749" t="str">
            <v>MUM/23-24/719</v>
          </cell>
          <cell r="F1749" t="str">
            <v>being brokerage booked on insurance policies placed in Jul-23.</v>
          </cell>
          <cell r="G1749">
            <v>1287250.94</v>
          </cell>
          <cell r="H1749">
            <v>196360.32000000001</v>
          </cell>
          <cell r="I1749">
            <v>1090890.6200000001</v>
          </cell>
        </row>
        <row r="1750">
          <cell r="E1750" t="str">
            <v>MUM/23-24/720</v>
          </cell>
          <cell r="F1750" t="str">
            <v>being brokerage booked on insurance policies placed in Jul-23.</v>
          </cell>
          <cell r="G1750">
            <v>104255.22</v>
          </cell>
          <cell r="H1750">
            <v>15903.34</v>
          </cell>
          <cell r="I1750">
            <v>88351.88</v>
          </cell>
        </row>
        <row r="1751">
          <cell r="E1751" t="str">
            <v>MUM/23-24/721</v>
          </cell>
          <cell r="F1751" t="str">
            <v>being brokerage booked on insurance policies placed in Jul-23.</v>
          </cell>
          <cell r="G1751">
            <v>1587285.05</v>
          </cell>
          <cell r="H1751">
            <v>242128.22</v>
          </cell>
          <cell r="I1751">
            <v>1345156.83</v>
          </cell>
        </row>
        <row r="1752">
          <cell r="E1752" t="str">
            <v>MUM/23-24/722</v>
          </cell>
          <cell r="F1752" t="str">
            <v>being brokerage booked on insurance policies placed in Jul-23.</v>
          </cell>
          <cell r="G1752">
            <v>25783</v>
          </cell>
          <cell r="H1752">
            <v>3933</v>
          </cell>
          <cell r="I1752">
            <v>21850</v>
          </cell>
        </row>
        <row r="1753">
          <cell r="E1753" t="str">
            <v>MUM/23-24/723</v>
          </cell>
          <cell r="F1753" t="str">
            <v>being brokerage booked on insurance policies placed in Jul-23.</v>
          </cell>
          <cell r="G1753">
            <v>1818091.58</v>
          </cell>
          <cell r="H1753">
            <v>277336</v>
          </cell>
          <cell r="I1753">
            <v>1540755.58</v>
          </cell>
        </row>
        <row r="1754">
          <cell r="E1754" t="str">
            <v>MUM/23-24/724</v>
          </cell>
          <cell r="F1754" t="str">
            <v>being reward booked on insurance policies placed in Apr to Jun.</v>
          </cell>
          <cell r="G1754">
            <v>14663772.140000001</v>
          </cell>
          <cell r="H1754">
            <v>2236846.6</v>
          </cell>
          <cell r="I1754">
            <v>12426925.539999999</v>
          </cell>
        </row>
        <row r="1755">
          <cell r="E1755" t="str">
            <v>PUN/23-24/60</v>
          </cell>
          <cell r="F1755" t="str">
            <v>being brokerage booked on insurance policies placed in Jul-23.</v>
          </cell>
          <cell r="G1755">
            <v>131546.29999999999</v>
          </cell>
          <cell r="H1755">
            <v>20066.38</v>
          </cell>
          <cell r="I1755">
            <v>111479.92</v>
          </cell>
        </row>
        <row r="1756">
          <cell r="E1756" t="str">
            <v>BLR/23-24/212</v>
          </cell>
          <cell r="F1756" t="str">
            <v>being brokerage booked on insurance policies placed in Jul-23.</v>
          </cell>
          <cell r="G1756">
            <v>322188.02</v>
          </cell>
          <cell r="H1756">
            <v>49147.32</v>
          </cell>
          <cell r="I1756">
            <v>273040.7</v>
          </cell>
        </row>
        <row r="1757">
          <cell r="E1757" t="str">
            <v>BLR/23-24/213</v>
          </cell>
          <cell r="F1757" t="str">
            <v>being reward booked on insurance policies placed in Q4 2022-23.</v>
          </cell>
          <cell r="G1757">
            <v>9097.7999999999993</v>
          </cell>
          <cell r="H1757">
            <v>1387.8</v>
          </cell>
          <cell r="I1757">
            <v>7710</v>
          </cell>
        </row>
        <row r="1758">
          <cell r="E1758" t="str">
            <v>CHN/23-24/157</v>
          </cell>
          <cell r="F1758" t="str">
            <v>being reward booked on insurance policies placed in Q4 2022-23.</v>
          </cell>
          <cell r="G1758">
            <v>6086.44</v>
          </cell>
          <cell r="H1758">
            <v>928.44</v>
          </cell>
          <cell r="I1758">
            <v>5158</v>
          </cell>
        </row>
        <row r="1759">
          <cell r="E1759" t="str">
            <v>GGN/23-24/446</v>
          </cell>
          <cell r="F1759" t="str">
            <v>being reward booked on insurance policies placed in Jul-23. We also declare that our revenue from other than insurance intermidition activities less than fifty percent of our total revenue from all the activities.</v>
          </cell>
          <cell r="G1759">
            <v>321533.48</v>
          </cell>
          <cell r="H1759">
            <v>49047.48</v>
          </cell>
          <cell r="I1759">
            <v>272486</v>
          </cell>
        </row>
        <row r="1760">
          <cell r="E1760" t="str">
            <v>GGN/23-24/447</v>
          </cell>
          <cell r="F1760" t="str">
            <v>being brokerage booked on insurance policies placed in Jul-23.</v>
          </cell>
          <cell r="G1760">
            <v>233975.5</v>
          </cell>
          <cell r="H1760">
            <v>35691.18</v>
          </cell>
          <cell r="I1760">
            <v>198284.32</v>
          </cell>
        </row>
        <row r="1761">
          <cell r="E1761" t="str">
            <v>GGN/23-24/448</v>
          </cell>
          <cell r="F1761" t="str">
            <v>being brokerage booked on insurance policies placed in Jul-23.</v>
          </cell>
          <cell r="G1761">
            <v>4.37</v>
          </cell>
          <cell r="H1761">
            <v>0.67</v>
          </cell>
          <cell r="I1761">
            <v>3.7</v>
          </cell>
        </row>
        <row r="1762">
          <cell r="E1762" t="str">
            <v>MUM/23-24/725</v>
          </cell>
          <cell r="F1762" t="str">
            <v>being brokerage booked on insurance policies placed in Apr-23. Reverse Charge Mechanism Applicable - NO.</v>
          </cell>
          <cell r="G1762">
            <v>6384060.3899999997</v>
          </cell>
          <cell r="H1762">
            <v>973839.72</v>
          </cell>
          <cell r="I1762">
            <v>5410220.6699999999</v>
          </cell>
        </row>
        <row r="1763">
          <cell r="E1763" t="str">
            <v>MUM/23-24/726</v>
          </cell>
          <cell r="F1763" t="str">
            <v>being brokerage booked on insurance policies placed in May-23. Reverse Charge Mechanism Applicable - NO.</v>
          </cell>
          <cell r="G1763">
            <v>4531217.42</v>
          </cell>
          <cell r="H1763">
            <v>691202.66</v>
          </cell>
          <cell r="I1763">
            <v>3840014.76</v>
          </cell>
        </row>
        <row r="1764">
          <cell r="E1764" t="str">
            <v>MUM/23-24/727</v>
          </cell>
          <cell r="F1764" t="str">
            <v>being brokerage booked on insurance policies placed in Jun-23. Reverse Charge Mechanism Applicable - NO.</v>
          </cell>
          <cell r="G1764">
            <v>1890448.41</v>
          </cell>
          <cell r="H1764">
            <v>288373.48</v>
          </cell>
          <cell r="I1764">
            <v>1602074.93</v>
          </cell>
        </row>
        <row r="1765">
          <cell r="E1765" t="str">
            <v>MUM/23-24/728</v>
          </cell>
          <cell r="F1765" t="str">
            <v xml:space="preserve">being brokerage booked on insurance policies placed in Jun-23. Reverse Charge Mechanism Applicable - NO._x000D_
</v>
          </cell>
          <cell r="G1765">
            <v>31676.95</v>
          </cell>
          <cell r="H1765">
            <v>4832.08</v>
          </cell>
          <cell r="I1765">
            <v>26844.87</v>
          </cell>
        </row>
        <row r="1766">
          <cell r="E1766" t="str">
            <v>MUM/23-24/729</v>
          </cell>
          <cell r="F1766" t="str">
            <v>being brokerage booked on insurance policies placed in Jun-23. Reverse Charge Mechanism Applicable - NO.</v>
          </cell>
          <cell r="G1766">
            <v>2042387.9</v>
          </cell>
          <cell r="H1766">
            <v>311550.7</v>
          </cell>
          <cell r="I1766">
            <v>1730837.2</v>
          </cell>
        </row>
        <row r="1767">
          <cell r="E1767" t="str">
            <v>MUM/23-24/730</v>
          </cell>
          <cell r="F1767" t="str">
            <v>being brokerage booked on insurance policies placed in Jun-23. Reverse Charge Mechanism Applicable - NO.</v>
          </cell>
          <cell r="G1767">
            <v>653.34</v>
          </cell>
          <cell r="H1767">
            <v>99.66</v>
          </cell>
          <cell r="I1767">
            <v>553.67999999999995</v>
          </cell>
        </row>
        <row r="1768">
          <cell r="E1768" t="str">
            <v>MUM/23-24/731</v>
          </cell>
          <cell r="F1768" t="str">
            <v>being brokerage booked on insurance policies placed in Jun-23. Reverse Charge Mechanism Applicable - NO.</v>
          </cell>
          <cell r="G1768">
            <v>117116.35</v>
          </cell>
          <cell r="H1768">
            <v>17865.21</v>
          </cell>
          <cell r="I1768">
            <v>99251.14</v>
          </cell>
        </row>
        <row r="1769">
          <cell r="E1769" t="str">
            <v>MUM/23-24/732</v>
          </cell>
          <cell r="F1769" t="str">
            <v>being brokerage booked on insurance policies placed in Jun-23. Reverse Charge Mechanism Applicable - NO.</v>
          </cell>
          <cell r="G1769">
            <v>42349.91</v>
          </cell>
          <cell r="H1769">
            <v>6460.16</v>
          </cell>
          <cell r="I1769">
            <v>35889.75</v>
          </cell>
        </row>
        <row r="1770">
          <cell r="E1770" t="str">
            <v>MUM/23-24/733</v>
          </cell>
          <cell r="F1770" t="str">
            <v>being brokerage booked on insurance policies placed in Jun-23. Reverse Charge Mechanism Applicable - NO.</v>
          </cell>
          <cell r="G1770">
            <v>267060.27</v>
          </cell>
          <cell r="H1770">
            <v>40738.01</v>
          </cell>
          <cell r="I1770">
            <v>226322.26</v>
          </cell>
        </row>
        <row r="1771">
          <cell r="E1771" t="str">
            <v>MUM/23-24/734</v>
          </cell>
          <cell r="F1771" t="str">
            <v>being brokerage booked on insurance policies placed in Jun-23. Reverse Charge Mechanism Applicable - NO.</v>
          </cell>
          <cell r="G1771">
            <v>769383.13</v>
          </cell>
          <cell r="H1771">
            <v>117363.53</v>
          </cell>
          <cell r="I1771">
            <v>652019.6</v>
          </cell>
        </row>
        <row r="1772">
          <cell r="E1772" t="str">
            <v>MUM/23-24/735</v>
          </cell>
          <cell r="F1772" t="str">
            <v>being brokerage booked on insurance policies placed in Jun-23. Reverse Charge Mechanism Applicable - NO.</v>
          </cell>
          <cell r="G1772">
            <v>21837.38</v>
          </cell>
          <cell r="H1772">
            <v>3331.13</v>
          </cell>
          <cell r="I1772">
            <v>18506.25</v>
          </cell>
        </row>
        <row r="1773">
          <cell r="E1773" t="str">
            <v>MUM/23-24/736</v>
          </cell>
          <cell r="F1773" t="str">
            <v>being brokerage booked on insurance policies placed in Jun-23. Reverse Charge Mechanism Applicable - NO.</v>
          </cell>
          <cell r="G1773">
            <v>1127.05</v>
          </cell>
          <cell r="H1773">
            <v>171.92</v>
          </cell>
          <cell r="I1773">
            <v>955.13</v>
          </cell>
        </row>
        <row r="1774">
          <cell r="E1774" t="str">
            <v>MUM/23-24/737</v>
          </cell>
          <cell r="F1774" t="str">
            <v>being brokerage booked on insurance policies placed in Jul-23.</v>
          </cell>
          <cell r="G1774">
            <v>583177.89</v>
          </cell>
          <cell r="H1774">
            <v>88959.34</v>
          </cell>
          <cell r="I1774">
            <v>494218.55</v>
          </cell>
        </row>
        <row r="1775">
          <cell r="E1775" t="str">
            <v>MUM/23-24/738</v>
          </cell>
          <cell r="F1775" t="str">
            <v>being brokerage booked on insurance policies placed in Jul-23.</v>
          </cell>
          <cell r="G1775">
            <v>580774.76</v>
          </cell>
          <cell r="H1775">
            <v>88592.76</v>
          </cell>
          <cell r="I1775">
            <v>492182</v>
          </cell>
        </row>
        <row r="1776">
          <cell r="E1776" t="str">
            <v>MUM/23-24/739</v>
          </cell>
          <cell r="F1776" t="str">
            <v>being reward booked on insurance policies placed in Q3 2022-23.</v>
          </cell>
          <cell r="G1776">
            <v>283897.38</v>
          </cell>
          <cell r="H1776">
            <v>43306.38</v>
          </cell>
          <cell r="I1776">
            <v>240591</v>
          </cell>
        </row>
        <row r="1777">
          <cell r="E1777" t="str">
            <v>MUM/23-24/740</v>
          </cell>
          <cell r="F1777" t="str">
            <v>being reward booked on insurance policies placed in FY 2021-22.</v>
          </cell>
          <cell r="G1777">
            <v>271744.56</v>
          </cell>
          <cell r="H1777">
            <v>41452.559999999998</v>
          </cell>
          <cell r="I1777">
            <v>230292</v>
          </cell>
        </row>
        <row r="1778">
          <cell r="E1778" t="str">
            <v>MUM/23-24/741</v>
          </cell>
          <cell r="F1778" t="str">
            <v>being brokerage booked on insurance policies placed in Jul-23.</v>
          </cell>
          <cell r="G1778">
            <v>2047916.73</v>
          </cell>
          <cell r="H1778">
            <v>312394.08</v>
          </cell>
          <cell r="I1778">
            <v>1735522.65</v>
          </cell>
        </row>
        <row r="1779">
          <cell r="E1779" t="str">
            <v>MUM/23-24/742</v>
          </cell>
          <cell r="F1779" t="str">
            <v>being brokerage booked on insurance policies placed in Jul-23.</v>
          </cell>
          <cell r="G1779">
            <v>2557.06</v>
          </cell>
          <cell r="H1779">
            <v>390.06</v>
          </cell>
          <cell r="I1779">
            <v>2167</v>
          </cell>
        </row>
        <row r="1780">
          <cell r="E1780" t="str">
            <v>MUM/23-24/743</v>
          </cell>
          <cell r="F1780" t="str">
            <v>being brokerage booked on insurance policies placed in Jul-23.</v>
          </cell>
          <cell r="G1780">
            <v>76063.070000000007</v>
          </cell>
          <cell r="H1780">
            <v>11602.84</v>
          </cell>
          <cell r="I1780">
            <v>64460.23</v>
          </cell>
        </row>
        <row r="1781">
          <cell r="E1781" t="str">
            <v>PUN/23-24/61</v>
          </cell>
          <cell r="F1781" t="str">
            <v>being reward booked on insurance policies placed in Q3 2022-23.</v>
          </cell>
          <cell r="G1781">
            <v>151835.32</v>
          </cell>
          <cell r="H1781">
            <v>23161.32</v>
          </cell>
          <cell r="I1781">
            <v>128674</v>
          </cell>
        </row>
        <row r="1782">
          <cell r="E1782" t="str">
            <v>PUN/23-24/62</v>
          </cell>
          <cell r="F1782" t="str">
            <v>being reward booked on insurance policies placed in Q4 2022-23.</v>
          </cell>
          <cell r="G1782">
            <v>115464.18</v>
          </cell>
          <cell r="H1782">
            <v>17613.18</v>
          </cell>
          <cell r="I1782">
            <v>97851</v>
          </cell>
        </row>
        <row r="1783">
          <cell r="E1783" t="str">
            <v>BLR/23-24/214</v>
          </cell>
          <cell r="F1783" t="str">
            <v>being brokerage booked on insurance policies placed in Jul-23. GST is not payable under reverse charge  on these services. The invoice is issued as per Section 31 of the CGST Act.</v>
          </cell>
          <cell r="G1783">
            <v>759899.94</v>
          </cell>
          <cell r="H1783">
            <v>115916.94</v>
          </cell>
          <cell r="I1783">
            <v>643983</v>
          </cell>
        </row>
        <row r="1784">
          <cell r="E1784" t="str">
            <v>CHN/23-24/158</v>
          </cell>
          <cell r="F1784" t="str">
            <v>being brokerage booked on insurance policies placed in Jul-23. GST is not payable under reverse charge  on these services. The invoice is issued as per Section 31 of the CGST Act.</v>
          </cell>
          <cell r="G1784">
            <v>217735.96</v>
          </cell>
          <cell r="H1784">
            <v>33213.96</v>
          </cell>
          <cell r="I1784">
            <v>184522</v>
          </cell>
        </row>
        <row r="1785">
          <cell r="E1785" t="str">
            <v>GGN/23-24/449</v>
          </cell>
          <cell r="F1785" t="str">
            <v>being brokerage booked on insurance policies placed in Jul-23. GST is not payable under reverse charge  on these services. The invoice is issued as per Section 31 of the CGST Act.</v>
          </cell>
          <cell r="G1785">
            <v>6053243.0599999996</v>
          </cell>
          <cell r="H1785">
            <v>923376.06</v>
          </cell>
          <cell r="I1785">
            <v>5129867</v>
          </cell>
        </row>
        <row r="1786">
          <cell r="E1786" t="str">
            <v>HYD/23-24/87</v>
          </cell>
          <cell r="F1786" t="str">
            <v>being brokerage booked on insurance policies placed in Jul-23. GST is not payable under reverse charge  on these services. The invoice is issued as per Section 31 of the CGST Act.</v>
          </cell>
          <cell r="G1786">
            <v>173830.52</v>
          </cell>
          <cell r="H1786">
            <v>26516.52</v>
          </cell>
          <cell r="I1786">
            <v>147314</v>
          </cell>
        </row>
        <row r="1787">
          <cell r="E1787" t="str">
            <v>LUD/23-24/55</v>
          </cell>
          <cell r="F1787" t="str">
            <v>being brokerage booked on insurance policies placed in Jul-23. GST is not payable under reverse charge  on these services. The invoice is issued as per Section 31 of the CGST Act.</v>
          </cell>
          <cell r="G1787">
            <v>37270.300000000003</v>
          </cell>
          <cell r="H1787">
            <v>5685.3</v>
          </cell>
          <cell r="I1787">
            <v>31585</v>
          </cell>
        </row>
        <row r="1788">
          <cell r="E1788" t="str">
            <v>MUM/23-24/744</v>
          </cell>
          <cell r="F1788" t="str">
            <v>being brokerage booked on insurance policies placed in Jul-23. GST is not payable under reverse charge  on these services. The invoice is issued as per Section 31 of the CGST Act.</v>
          </cell>
          <cell r="G1788">
            <v>71701.52</v>
          </cell>
          <cell r="H1788">
            <v>10937.52</v>
          </cell>
          <cell r="I1788">
            <v>60764</v>
          </cell>
        </row>
        <row r="1789">
          <cell r="E1789" t="str">
            <v>PUN/23-24/63</v>
          </cell>
          <cell r="F1789" t="str">
            <v>being brokerage booked on insurance policies placed in Jul-23. GST is not payable under reverse charge  on these services. The invoice is issued as per Section 31 of the CGST Act.</v>
          </cell>
          <cell r="G1789">
            <v>14070.32</v>
          </cell>
          <cell r="H1789">
            <v>2146.3200000000002</v>
          </cell>
          <cell r="I1789">
            <v>11924</v>
          </cell>
        </row>
        <row r="1790">
          <cell r="E1790" t="str">
            <v>BLR/23-24/215</v>
          </cell>
          <cell r="F1790" t="str">
            <v>being brokerage booked on insurance policies placed in Jul-23.</v>
          </cell>
          <cell r="G1790">
            <v>19037.2</v>
          </cell>
          <cell r="H1790">
            <v>2903.98</v>
          </cell>
          <cell r="I1790">
            <v>16133.22</v>
          </cell>
        </row>
        <row r="1791">
          <cell r="E1791" t="str">
            <v>CHN/23-24/159</v>
          </cell>
          <cell r="F1791" t="str">
            <v>being brokerage booked on insurance policies placed in Jul-23.</v>
          </cell>
          <cell r="G1791">
            <v>3885.56</v>
          </cell>
          <cell r="H1791">
            <v>592.72</v>
          </cell>
          <cell r="I1791">
            <v>3292.84</v>
          </cell>
        </row>
        <row r="1792">
          <cell r="E1792" t="str">
            <v>GGN/23-24/450</v>
          </cell>
          <cell r="F1792" t="str">
            <v>being brokerage booked on insurance policies placed in Jul-23.</v>
          </cell>
          <cell r="G1792">
            <v>1496</v>
          </cell>
          <cell r="H1792">
            <v>228.14</v>
          </cell>
          <cell r="I1792">
            <v>1267.8599999999999</v>
          </cell>
        </row>
        <row r="1793">
          <cell r="E1793" t="str">
            <v>GGN/23-24/451</v>
          </cell>
          <cell r="F1793" t="str">
            <v>being brokerage booked on insurance policies placed in Jul-23.</v>
          </cell>
          <cell r="G1793">
            <v>7364</v>
          </cell>
          <cell r="H1793">
            <v>1123.3399999999999</v>
          </cell>
          <cell r="I1793">
            <v>6240.66</v>
          </cell>
        </row>
        <row r="1794">
          <cell r="E1794" t="str">
            <v>GGN/23-24/452</v>
          </cell>
          <cell r="F1794" t="str">
            <v>being reward booked on insurance policies placed. ( Whether the Tax is payable on reverse charge basis: NO, Prudent State Code: 06 - Care Health State Code: 06, Place of Supply  - Gurgaon Haryana.)</v>
          </cell>
          <cell r="G1794">
            <v>138038.24</v>
          </cell>
          <cell r="H1794">
            <v>21056.68</v>
          </cell>
          <cell r="I1794">
            <v>116981.56</v>
          </cell>
        </row>
        <row r="1795">
          <cell r="E1795" t="str">
            <v>GGN/23-24/453</v>
          </cell>
          <cell r="F1795" t="str">
            <v>being brokerage booked on insurance policies placed in Jul-23.</v>
          </cell>
          <cell r="G1795">
            <v>392.98</v>
          </cell>
          <cell r="H1795">
            <v>59.94</v>
          </cell>
          <cell r="I1795">
            <v>333.04</v>
          </cell>
        </row>
        <row r="1796">
          <cell r="E1796" t="str">
            <v>GGN/23-24/454</v>
          </cell>
          <cell r="F1796" t="str">
            <v>being brokerage booked on insurance policies placed in Jul-23.</v>
          </cell>
          <cell r="G1796">
            <v>16.079999999999998</v>
          </cell>
          <cell r="H1796">
            <v>2.4500000000000002</v>
          </cell>
          <cell r="I1796">
            <v>13.63</v>
          </cell>
        </row>
        <row r="1797">
          <cell r="E1797" t="str">
            <v>GGN/23-24/455</v>
          </cell>
          <cell r="F1797" t="str">
            <v>being brokerage booked on insurance policies placed in Jul-23.</v>
          </cell>
          <cell r="G1797">
            <v>7076141.5700000003</v>
          </cell>
          <cell r="H1797">
            <v>1079411.43</v>
          </cell>
          <cell r="I1797">
            <v>5996730.1399999997</v>
          </cell>
        </row>
        <row r="1798">
          <cell r="E1798" t="str">
            <v>HYD/23-24/88</v>
          </cell>
          <cell r="F1798" t="str">
            <v>being brokerage booked on insurance poliices placed in Jul-23.</v>
          </cell>
          <cell r="G1798">
            <v>35704</v>
          </cell>
          <cell r="H1798">
            <v>5446.44</v>
          </cell>
          <cell r="I1798">
            <v>30257.56</v>
          </cell>
        </row>
        <row r="1799">
          <cell r="E1799" t="str">
            <v>HYD/23-24/89</v>
          </cell>
          <cell r="F1799" t="str">
            <v>being brokerage booked on insurance policies placed in Jul-23.</v>
          </cell>
          <cell r="G1799">
            <v>3005.05</v>
          </cell>
          <cell r="H1799">
            <v>458.4</v>
          </cell>
          <cell r="I1799">
            <v>2546.65</v>
          </cell>
        </row>
        <row r="1800">
          <cell r="E1800" t="str">
            <v>HYD/23-24/90</v>
          </cell>
          <cell r="F1800" t="str">
            <v>being brokerage booked on insurance policies placed in Jul-23.</v>
          </cell>
          <cell r="G1800">
            <v>5.56</v>
          </cell>
          <cell r="H1800">
            <v>0.85</v>
          </cell>
          <cell r="I1800">
            <v>4.71</v>
          </cell>
        </row>
        <row r="1801">
          <cell r="E1801" t="str">
            <v>MUM/23-24/745</v>
          </cell>
          <cell r="F1801" t="str">
            <v>Being RI brokerage booked ; Insured: Iterglobe Aviation Limited; Reinsured :Bajaj Allianz General Insurance Co Ltd, Policy Period :03/07/2023 to 02/07/2024</v>
          </cell>
          <cell r="G1801">
            <v>2160780.6</v>
          </cell>
          <cell r="H1801">
            <v>329610.59999999998</v>
          </cell>
          <cell r="I1801">
            <v>1831170</v>
          </cell>
        </row>
        <row r="1802">
          <cell r="E1802" t="str">
            <v>MUM/23-24/746</v>
          </cell>
          <cell r="F1802" t="str">
            <v>Being RI brokerage booked ; Insured: O2 Power Pvt. Ltd.; Reinsured :Bajaj Allianz General Insurance Co Ltd, Policy Period :11/03/2023 to 10/03/2024</v>
          </cell>
          <cell r="G1802">
            <v>233480.7</v>
          </cell>
          <cell r="H1802">
            <v>35615.699999999997</v>
          </cell>
          <cell r="I1802">
            <v>197865</v>
          </cell>
        </row>
        <row r="1803">
          <cell r="E1803" t="str">
            <v>MUM/23-24/747</v>
          </cell>
          <cell r="F1803" t="str">
            <v>being brokerage booked on insurance policies placed in Apr-23. GST is not payable under reverse charge  on these services. The invoice is issued as per Section 31 of the CGST Act.</v>
          </cell>
          <cell r="G1803">
            <v>1594833.72</v>
          </cell>
          <cell r="H1803">
            <v>243279.72</v>
          </cell>
          <cell r="I1803">
            <v>1351554</v>
          </cell>
        </row>
        <row r="1804">
          <cell r="E1804" t="str">
            <v>MUM/23-24/748</v>
          </cell>
          <cell r="F1804" t="str">
            <v>being brokerage booked on insurance policies placed in Jul-23.</v>
          </cell>
          <cell r="G1804">
            <v>772718</v>
          </cell>
          <cell r="H1804">
            <v>117872.24</v>
          </cell>
          <cell r="I1804">
            <v>654845.76</v>
          </cell>
        </row>
        <row r="1805">
          <cell r="E1805" t="str">
            <v>MUM/23-24/749</v>
          </cell>
          <cell r="F1805" t="str">
            <v>being brokerage booked on insurance policies placed in Jul-23.</v>
          </cell>
          <cell r="G1805">
            <v>981</v>
          </cell>
          <cell r="H1805">
            <v>149.69999999999999</v>
          </cell>
          <cell r="I1805">
            <v>831.3</v>
          </cell>
        </row>
        <row r="1806">
          <cell r="E1806" t="str">
            <v>MUM/23-24/750</v>
          </cell>
          <cell r="F1806" t="str">
            <v>being brokerage booked on insurance policies placed in Jul-23.</v>
          </cell>
          <cell r="G1806">
            <v>14276.8</v>
          </cell>
          <cell r="H1806">
            <v>2177.8200000000002</v>
          </cell>
          <cell r="I1806">
            <v>12098.98</v>
          </cell>
        </row>
        <row r="1807">
          <cell r="E1807" t="str">
            <v>MUM/23-24/751</v>
          </cell>
          <cell r="F1807" t="str">
            <v>being brokerage booked on insurance policies placed in Jul-23.</v>
          </cell>
          <cell r="G1807">
            <v>4968.0200000000004</v>
          </cell>
          <cell r="H1807">
            <v>757.83</v>
          </cell>
          <cell r="I1807">
            <v>4210.1899999999996</v>
          </cell>
        </row>
        <row r="1808">
          <cell r="E1808" t="str">
            <v>MUM/23-24/752</v>
          </cell>
          <cell r="F1808" t="str">
            <v>being brokerage booked on insurance policies placed in Jul-23.</v>
          </cell>
          <cell r="G1808">
            <v>54274.34</v>
          </cell>
          <cell r="H1808">
            <v>8279.14</v>
          </cell>
          <cell r="I1808">
            <v>45995.199999999997</v>
          </cell>
        </row>
        <row r="1809">
          <cell r="E1809" t="str">
            <v>MUM/23-24/753</v>
          </cell>
          <cell r="F1809" t="str">
            <v>being brokerage booked on insurance policies placed in Jul-23.</v>
          </cell>
          <cell r="G1809">
            <v>15262.22</v>
          </cell>
          <cell r="H1809">
            <v>2328.14</v>
          </cell>
          <cell r="I1809">
            <v>12934.08</v>
          </cell>
        </row>
        <row r="1810">
          <cell r="E1810" t="str">
            <v>MUM/23-24/754</v>
          </cell>
          <cell r="F1810" t="str">
            <v>being brokerage booked on insurance policies placed in Jul-23.</v>
          </cell>
          <cell r="G1810">
            <v>76.69</v>
          </cell>
          <cell r="H1810">
            <v>11.7</v>
          </cell>
          <cell r="I1810">
            <v>64.989999999999995</v>
          </cell>
        </row>
        <row r="1811">
          <cell r="E1811" t="str">
            <v>MUM/23-24/755</v>
          </cell>
          <cell r="F1811" t="str">
            <v>being brokerage booked on insurnace polices placed in Jul-23.</v>
          </cell>
          <cell r="G1811">
            <v>2258784.37</v>
          </cell>
          <cell r="H1811">
            <v>344560.32</v>
          </cell>
          <cell r="I1811">
            <v>1914224.05</v>
          </cell>
        </row>
        <row r="1812">
          <cell r="E1812" t="str">
            <v>MUM/23-24/756</v>
          </cell>
          <cell r="F1812" t="str">
            <v>being brokerage booked on insurance policies placed in Jul-23.</v>
          </cell>
          <cell r="G1812">
            <v>1794.6</v>
          </cell>
          <cell r="H1812">
            <v>273.75</v>
          </cell>
          <cell r="I1812">
            <v>1520.85</v>
          </cell>
        </row>
        <row r="1813">
          <cell r="E1813" t="str">
            <v>MUM/23-24/757</v>
          </cell>
          <cell r="F1813" t="str">
            <v>being brokerage booked on insurnace polices placed in Jul-23.</v>
          </cell>
          <cell r="G1813">
            <v>20796499.100000001</v>
          </cell>
          <cell r="H1813">
            <v>3172347.32</v>
          </cell>
          <cell r="I1813">
            <v>17624151.780000001</v>
          </cell>
        </row>
        <row r="1814">
          <cell r="E1814" t="str">
            <v>PUN/23-24/64</v>
          </cell>
          <cell r="F1814" t="str">
            <v>being brokerage booked on insurance policies placed in Jul-23.</v>
          </cell>
          <cell r="G1814">
            <v>26492</v>
          </cell>
          <cell r="H1814">
            <v>4041.22</v>
          </cell>
          <cell r="I1814">
            <v>22450.78</v>
          </cell>
        </row>
        <row r="1815">
          <cell r="E1815" t="str">
            <v>BLR/23-24/216</v>
          </cell>
          <cell r="F1815" t="str">
            <v>being brokerage booked on insurance policies placed in Jul-23.</v>
          </cell>
          <cell r="G1815">
            <v>1157260.49</v>
          </cell>
          <cell r="H1815">
            <v>176531.26</v>
          </cell>
          <cell r="I1815">
            <v>980729.23</v>
          </cell>
        </row>
        <row r="1816">
          <cell r="E1816" t="str">
            <v>CHN/23-24/160</v>
          </cell>
          <cell r="F1816" t="str">
            <v>being brokerage booked on insurance policies placed in Jul-23.</v>
          </cell>
          <cell r="G1816">
            <v>235718.24</v>
          </cell>
          <cell r="H1816">
            <v>35957.019999999997</v>
          </cell>
          <cell r="I1816">
            <v>199761.22</v>
          </cell>
        </row>
        <row r="1817">
          <cell r="E1817" t="str">
            <v>GGN/23-24/456</v>
          </cell>
          <cell r="F1817" t="str">
            <v>being brokerage booked on insurance policies placed in Jul-23.</v>
          </cell>
          <cell r="G1817">
            <v>125170.95</v>
          </cell>
          <cell r="H1817">
            <v>19093.88</v>
          </cell>
          <cell r="I1817">
            <v>106077.07</v>
          </cell>
        </row>
        <row r="1818">
          <cell r="E1818" t="str">
            <v>GGN/23-24/457</v>
          </cell>
          <cell r="F1818" t="str">
            <v>being brokerage booked on insurance policies placed in Jul-23.</v>
          </cell>
          <cell r="G1818">
            <v>7178894.3600000003</v>
          </cell>
          <cell r="H1818">
            <v>1095085.58</v>
          </cell>
          <cell r="I1818">
            <v>6083808.7800000003</v>
          </cell>
        </row>
        <row r="1819">
          <cell r="E1819" t="str">
            <v>GGN/23-24/458</v>
          </cell>
          <cell r="F1819" t="str">
            <v>being brokerage booked on insurance policies placed in Jul-23.</v>
          </cell>
          <cell r="G1819">
            <v>3161.07</v>
          </cell>
          <cell r="H1819">
            <v>482.2</v>
          </cell>
          <cell r="I1819">
            <v>2678.87</v>
          </cell>
        </row>
        <row r="1820">
          <cell r="E1820" t="str">
            <v>GGN/23-24/459</v>
          </cell>
          <cell r="F1820" t="str">
            <v>being brokerage booked on insurance policies placed in Jul-23.</v>
          </cell>
          <cell r="G1820">
            <v>10267.91</v>
          </cell>
          <cell r="H1820">
            <v>1566.29</v>
          </cell>
          <cell r="I1820">
            <v>8701.6200000000008</v>
          </cell>
        </row>
        <row r="1821">
          <cell r="E1821" t="str">
            <v>GGN/23-24/460</v>
          </cell>
          <cell r="F1821" t="str">
            <v>being brokerage booked on insurance policies placed in Jul-23.</v>
          </cell>
          <cell r="G1821">
            <v>209.39</v>
          </cell>
          <cell r="H1821">
            <v>31.94</v>
          </cell>
          <cell r="I1821">
            <v>177.45</v>
          </cell>
        </row>
        <row r="1822">
          <cell r="E1822" t="str">
            <v>HYD/23-24/91</v>
          </cell>
          <cell r="F1822" t="str">
            <v>being brokerage booked on insurance policies placed in Jul-23.</v>
          </cell>
          <cell r="G1822">
            <v>457931.3</v>
          </cell>
          <cell r="H1822">
            <v>69853.919999999998</v>
          </cell>
          <cell r="I1822">
            <v>388077.38</v>
          </cell>
        </row>
        <row r="1823">
          <cell r="E1823" t="str">
            <v>LUD/23-24/56</v>
          </cell>
          <cell r="F1823" t="str">
            <v>being brokerage booked on insurance policies placed in Jul-23.</v>
          </cell>
          <cell r="G1823">
            <v>21583.599999999999</v>
          </cell>
          <cell r="H1823">
            <v>3292.42</v>
          </cell>
          <cell r="I1823">
            <v>18291.18</v>
          </cell>
        </row>
        <row r="1824">
          <cell r="E1824" t="str">
            <v>MUM/23-24/758</v>
          </cell>
          <cell r="F1824" t="str">
            <v>being brokerage booked on insurance policies placed in Jul-23.</v>
          </cell>
          <cell r="G1824">
            <v>7115564.29</v>
          </cell>
          <cell r="H1824">
            <v>1085425.06</v>
          </cell>
          <cell r="I1824">
            <v>6030139.2300000004</v>
          </cell>
        </row>
        <row r="1825">
          <cell r="E1825" t="str">
            <v>MUM/23-24/759</v>
          </cell>
          <cell r="F1825" t="str">
            <v>being brokerage booked on insurance policies placed in Jul-23.</v>
          </cell>
          <cell r="G1825">
            <v>211888.23</v>
          </cell>
          <cell r="H1825">
            <v>32321.93</v>
          </cell>
          <cell r="I1825">
            <v>179566.3</v>
          </cell>
        </row>
        <row r="1826">
          <cell r="E1826" t="str">
            <v>MUM/23-24/760</v>
          </cell>
          <cell r="F1826" t="str">
            <v>being brokerage booked on insurance policies placed in Jul-23.</v>
          </cell>
          <cell r="G1826">
            <v>2362.0500000000002</v>
          </cell>
          <cell r="H1826">
            <v>360.31</v>
          </cell>
          <cell r="I1826">
            <v>2001.74</v>
          </cell>
        </row>
        <row r="1827">
          <cell r="E1827" t="str">
            <v>MUM/23-24/761</v>
          </cell>
          <cell r="F1827" t="str">
            <v>being brokerage booked on insurance policies placed in Jul-23.</v>
          </cell>
          <cell r="G1827">
            <v>1290.96</v>
          </cell>
          <cell r="H1827">
            <v>196.93</v>
          </cell>
          <cell r="I1827">
            <v>1094.03</v>
          </cell>
        </row>
      </sheetData>
      <sheetData sheetId="1">
        <row r="1">
          <cell r="E1" t="str">
            <v>Voucher No.</v>
          </cell>
          <cell r="F1" t="str">
            <v>Narration</v>
          </cell>
          <cell r="G1" t="str">
            <v>Gross Total</v>
          </cell>
          <cell r="H1" t="str">
            <v>GST Collections</v>
          </cell>
          <cell r="I1" t="str">
            <v>Related Items</v>
          </cell>
        </row>
        <row r="2">
          <cell r="E2" t="str">
            <v>MUM/C/23-24/01</v>
          </cell>
          <cell r="F2" t="str">
            <v>being negative brokerage booked on insurance policies placed in Mar-23.</v>
          </cell>
          <cell r="G2">
            <v>397.45</v>
          </cell>
          <cell r="H2">
            <v>60.62</v>
          </cell>
          <cell r="I2">
            <v>336.83</v>
          </cell>
        </row>
        <row r="3">
          <cell r="E3" t="str">
            <v>MUM/C/23-24/02</v>
          </cell>
          <cell r="F3" t="str">
            <v>being negative reward booked on insurance policies placed in month Feb-23. as discussed with soni &amp; sachin insurer will share revised statement.</v>
          </cell>
          <cell r="G3">
            <v>403996.12</v>
          </cell>
          <cell r="H3">
            <v>61626.52</v>
          </cell>
          <cell r="I3">
            <v>342369.6</v>
          </cell>
        </row>
        <row r="4">
          <cell r="E4" t="str">
            <v>CHN/C/23-24/01</v>
          </cell>
          <cell r="F4" t="str">
            <v>being negative brokerage booked on insurance policies placed in  Mar-23.</v>
          </cell>
          <cell r="G4">
            <v>7919.46</v>
          </cell>
          <cell r="H4">
            <v>1208.06</v>
          </cell>
          <cell r="I4">
            <v>6711.4</v>
          </cell>
        </row>
        <row r="5">
          <cell r="E5" t="str">
            <v>GGN/C/23-24/01</v>
          </cell>
          <cell r="F5" t="str">
            <v>being negative brokerage booked on insurance policies placed in  Mar-23.</v>
          </cell>
          <cell r="G5">
            <v>211.62</v>
          </cell>
          <cell r="H5">
            <v>32.28</v>
          </cell>
          <cell r="I5">
            <v>179.34</v>
          </cell>
        </row>
        <row r="6">
          <cell r="E6" t="str">
            <v>GGN/C/23-24/02</v>
          </cell>
          <cell r="F6" t="str">
            <v>being negative brokerage booked on insurance policies placed in Mar-23.</v>
          </cell>
          <cell r="G6">
            <v>41911.370000000003</v>
          </cell>
          <cell r="H6">
            <v>6393.26</v>
          </cell>
          <cell r="I6">
            <v>35518.11</v>
          </cell>
        </row>
        <row r="7">
          <cell r="E7" t="str">
            <v>MUM/C/23-24/03</v>
          </cell>
          <cell r="F7" t="str">
            <v>being negative reward booked on insurance policies placed in Apr'22 to Jan'23. as insurer did not inform us that we need to raise invoice for only cases were Premium settled/ Premium &amp; Brokerage settled remarks are mentioned and not for Not received Premium.</v>
          </cell>
          <cell r="G7">
            <v>2500709.15</v>
          </cell>
          <cell r="H7">
            <v>381464.1</v>
          </cell>
          <cell r="I7">
            <v>2119245.0499999998</v>
          </cell>
        </row>
        <row r="8">
          <cell r="E8" t="str">
            <v>BLR/C/23-24/01</v>
          </cell>
          <cell r="F8" t="str">
            <v>being negative brokerage booked on insurance policies placed in Mar-23.</v>
          </cell>
          <cell r="G8">
            <v>148.46</v>
          </cell>
          <cell r="H8">
            <v>22.64</v>
          </cell>
          <cell r="I8">
            <v>125.82</v>
          </cell>
        </row>
        <row r="9">
          <cell r="E9" t="str">
            <v>CHN/C/23-24/02</v>
          </cell>
          <cell r="F9" t="str">
            <v>being brokerage booked on insurance policies placed in Mar-23. ( Whether the Tax is payable on reverse charge basis: NO). against CHN/22-23/464	10-Feb-2.</v>
          </cell>
          <cell r="G9">
            <v>2226.7600000000002</v>
          </cell>
          <cell r="H9">
            <v>339.68</v>
          </cell>
          <cell r="I9">
            <v>1887.08</v>
          </cell>
        </row>
        <row r="10">
          <cell r="E10" t="str">
            <v>MUM/C/23-24/04</v>
          </cell>
          <cell r="F10" t="str">
            <v>being negative brokerage on insurance policies placed in month of Mar-23 against MUM/22-23/1688	04-Nov-22.</v>
          </cell>
          <cell r="G10">
            <v>2777.67</v>
          </cell>
          <cell r="H10">
            <v>423.72</v>
          </cell>
          <cell r="I10">
            <v>2353.9499999999998</v>
          </cell>
        </row>
        <row r="11">
          <cell r="E11" t="str">
            <v>PUN/C/23-24/01</v>
          </cell>
          <cell r="F11" t="str">
            <v>being negative brokerage booked on insurance policies placed in Mar-23.</v>
          </cell>
          <cell r="G11">
            <v>33401.1</v>
          </cell>
          <cell r="H11">
            <v>5095.08</v>
          </cell>
          <cell r="I11">
            <v>28306.02</v>
          </cell>
        </row>
        <row r="12">
          <cell r="E12" t="str">
            <v>GGN/C/23-24/03</v>
          </cell>
          <cell r="F12" t="str">
            <v>being negative brokerage booked on insurance policies placed in Mar-23 against GGN/22-23/1002 Dt. 07-Nov-22.</v>
          </cell>
          <cell r="G12">
            <v>1465.56</v>
          </cell>
          <cell r="H12">
            <v>223.56</v>
          </cell>
          <cell r="I12">
            <v>1242</v>
          </cell>
        </row>
        <row r="13">
          <cell r="E13" t="str">
            <v>GGN/C/23-24/04</v>
          </cell>
          <cell r="F13" t="str">
            <v>being negative brokerage booked on insurance policies placed in Sep-22.</v>
          </cell>
          <cell r="G13">
            <v>71531.600000000006</v>
          </cell>
          <cell r="H13">
            <v>10911.6</v>
          </cell>
          <cell r="I13">
            <v>60620</v>
          </cell>
        </row>
        <row r="14">
          <cell r="E14" t="str">
            <v>HYD/C/23-24/01</v>
          </cell>
          <cell r="F14" t="str">
            <v>being negative  brokerage booked on insurance policies placed in month Mar-23. against HYD/22-23/233	08-Mar-23.</v>
          </cell>
          <cell r="G14">
            <v>1555.9</v>
          </cell>
          <cell r="H14">
            <v>237.34</v>
          </cell>
          <cell r="I14">
            <v>1318.56</v>
          </cell>
        </row>
        <row r="15">
          <cell r="E15" t="str">
            <v>GGN/C/23-24/05</v>
          </cell>
          <cell r="F15" t="str">
            <v>being negative reward booked on insurance policies placed in month Jan-23. as invoice was raised with wrong amount.</v>
          </cell>
          <cell r="G15">
            <v>2847.49</v>
          </cell>
          <cell r="H15">
            <v>434.36</v>
          </cell>
          <cell r="I15">
            <v>2413.13</v>
          </cell>
        </row>
        <row r="16">
          <cell r="E16" t="str">
            <v>CHN/C/23-24/03</v>
          </cell>
          <cell r="F16" t="str">
            <v>being negative  brokerage booked on insurance policies placed in month Mar-23. against CHN/22-23/394	21-Dec-22.</v>
          </cell>
          <cell r="G16">
            <v>31.45</v>
          </cell>
          <cell r="H16">
            <v>4.8</v>
          </cell>
          <cell r="I16">
            <v>26.65</v>
          </cell>
        </row>
        <row r="17">
          <cell r="E17" t="str">
            <v>GGN/C/23-24/06</v>
          </cell>
          <cell r="F17" t="str">
            <v>being negative  brokerage booked on insurance policies placed in month Mar-23. against GGN/22-23/1000	07-Nov-22</v>
          </cell>
          <cell r="G17">
            <v>380.55</v>
          </cell>
          <cell r="H17">
            <v>58.05</v>
          </cell>
          <cell r="I17">
            <v>322.5</v>
          </cell>
        </row>
        <row r="18">
          <cell r="E18" t="str">
            <v>MUM/C/23-24/05</v>
          </cell>
          <cell r="F18" t="str">
            <v>being negative  brokerage booked on insurance policies placed in month Mar-23. against MUM/22-23/2107	22-Feb-23.</v>
          </cell>
          <cell r="G18">
            <v>422.08</v>
          </cell>
          <cell r="H18">
            <v>64.38</v>
          </cell>
          <cell r="I18">
            <v>357.7</v>
          </cell>
        </row>
        <row r="19">
          <cell r="E19" t="str">
            <v>CHN/C/23-24/04</v>
          </cell>
          <cell r="F19" t="str">
            <v>being negative brokerage booked on insurance poliices placed in Mar-23</v>
          </cell>
          <cell r="G19">
            <v>359.09</v>
          </cell>
          <cell r="H19">
            <v>54.78</v>
          </cell>
          <cell r="I19">
            <v>304.31</v>
          </cell>
        </row>
        <row r="20">
          <cell r="E20" t="str">
            <v>CHN/C/23-24/05</v>
          </cell>
          <cell r="F20" t="str">
            <v>being negative brokerage booked on insurance policies placed in Mar-23. against CHN/22-23/508	09-Mar-23.</v>
          </cell>
          <cell r="G20">
            <v>38.770000000000003</v>
          </cell>
          <cell r="H20">
            <v>5.92</v>
          </cell>
          <cell r="I20">
            <v>32.85</v>
          </cell>
        </row>
        <row r="21">
          <cell r="E21" t="str">
            <v>GGN/C/23-24/07</v>
          </cell>
          <cell r="F21" t="str">
            <v>being  negative brokerage booked on insurance policies placed in month Apr-22.</v>
          </cell>
          <cell r="G21">
            <v>10663.87</v>
          </cell>
          <cell r="H21">
            <v>1626.69</v>
          </cell>
          <cell r="I21">
            <v>9037.18</v>
          </cell>
        </row>
        <row r="22">
          <cell r="E22" t="str">
            <v>GGN/C/23-24/08</v>
          </cell>
          <cell r="F22" t="str">
            <v>being negative brokerage booked on insurance policies placed in Mar-23. against GGN/22-23/1010	08-Nov-22.</v>
          </cell>
          <cell r="G22">
            <v>123216.61</v>
          </cell>
          <cell r="H22">
            <v>18795.75</v>
          </cell>
          <cell r="I22">
            <v>104420.86</v>
          </cell>
        </row>
        <row r="23">
          <cell r="E23" t="str">
            <v>MUM/C/23-24/06</v>
          </cell>
          <cell r="F23" t="str">
            <v>being negative brokerage booked on insurance policies placed in Mar-23. MUM/22-23/1185	21-Sep-22.</v>
          </cell>
          <cell r="G23">
            <v>2022.45</v>
          </cell>
          <cell r="H23">
            <v>308.51</v>
          </cell>
          <cell r="I23">
            <v>1713.94</v>
          </cell>
        </row>
        <row r="24">
          <cell r="E24" t="str">
            <v>MUM/C/23-24/07</v>
          </cell>
          <cell r="F24" t="str">
            <v>being negative brokerage booked on insurance policies placed in Mar-23 against MUM/22-23/2245	17-Mar-23.</v>
          </cell>
          <cell r="G24">
            <v>2040.27</v>
          </cell>
          <cell r="H24">
            <v>311.22000000000003</v>
          </cell>
          <cell r="I24">
            <v>1729.05</v>
          </cell>
        </row>
        <row r="25">
          <cell r="E25" t="str">
            <v>MUM/C/23-24/08</v>
          </cell>
          <cell r="F25" t="str">
            <v>being negative brokerage booked on insurance policies placed in Q4 22-23. as invoice was raise including GST amount,</v>
          </cell>
          <cell r="G25">
            <v>1026221.86</v>
          </cell>
          <cell r="H25">
            <v>156542.32</v>
          </cell>
          <cell r="I25">
            <v>869679.54</v>
          </cell>
        </row>
        <row r="26">
          <cell r="E26" t="str">
            <v>CHN/C/23-24/06</v>
          </cell>
          <cell r="F26" t="str">
            <v>being negative brokerage booked on insurance policies placed in Apr-23 against CHN/22-23/365	21-Nov-22.</v>
          </cell>
          <cell r="G26">
            <v>1068.02</v>
          </cell>
          <cell r="H26">
            <v>162.91999999999999</v>
          </cell>
          <cell r="I26">
            <v>905.1</v>
          </cell>
        </row>
        <row r="27">
          <cell r="E27" t="str">
            <v>MUM/C/23-24/09</v>
          </cell>
          <cell r="F27" t="str">
            <v>being negative brokerage booked on insurance policies placed in Apr-23. MUM/22-23/1411	20-Oct-22.</v>
          </cell>
          <cell r="G27">
            <v>67.209999999999994</v>
          </cell>
          <cell r="H27">
            <v>10.26</v>
          </cell>
          <cell r="I27">
            <v>56.95</v>
          </cell>
        </row>
        <row r="28">
          <cell r="E28" t="str">
            <v>BLR/C/23-24/02</v>
          </cell>
          <cell r="F28" t="str">
            <v>being reward booked on insurance policies placed in month Feb-23</v>
          </cell>
          <cell r="G28">
            <v>1966.29</v>
          </cell>
          <cell r="H28">
            <v>299.94</v>
          </cell>
          <cell r="I28">
            <v>1666.35</v>
          </cell>
        </row>
        <row r="29">
          <cell r="E29" t="str">
            <v>CHN/C/23-24/07</v>
          </cell>
          <cell r="F29" t="str">
            <v>being reward booked on insurance policies placed in month Feb-23</v>
          </cell>
          <cell r="G29">
            <v>99.39</v>
          </cell>
          <cell r="H29">
            <v>15.16</v>
          </cell>
          <cell r="I29">
            <v>84.23</v>
          </cell>
        </row>
        <row r="30">
          <cell r="E30" t="str">
            <v>HYD/C/23-24/02</v>
          </cell>
          <cell r="F30" t="str">
            <v>being reward booked on insurance policies placed in month Feb-23</v>
          </cell>
          <cell r="G30">
            <v>2288.04</v>
          </cell>
          <cell r="H30">
            <v>349.02</v>
          </cell>
          <cell r="I30">
            <v>1939.02</v>
          </cell>
        </row>
        <row r="31">
          <cell r="E31" t="str">
            <v>GGN/C/23-24/09</v>
          </cell>
          <cell r="F31" t="str">
            <v>Being negative fees invoice raised for Broking Services for period 01-04-22 to 31-03-23. (RM Maneesh Golchha). as invoce to raise client wise.</v>
          </cell>
          <cell r="G31">
            <v>590000</v>
          </cell>
          <cell r="H31">
            <v>90000</v>
          </cell>
          <cell r="I31">
            <v>500000</v>
          </cell>
        </row>
        <row r="32">
          <cell r="E32" t="str">
            <v>MUM/C/23-24/10</v>
          </cell>
          <cell r="F32" t="str">
            <v>being negative reward booked on insurance policies placed in month Mar-23. Some error as IRN no not showing against M-130 IRN issue.</v>
          </cell>
          <cell r="G32">
            <v>30324.080000000002</v>
          </cell>
          <cell r="H32">
            <v>4625.7</v>
          </cell>
          <cell r="I32">
            <v>25698.38</v>
          </cell>
        </row>
        <row r="33">
          <cell r="E33" t="str">
            <v>CHN/C/23-24/08</v>
          </cell>
          <cell r="F33" t="str">
            <v>being negative brokerage booked on insurance policies placed in Mar-23</v>
          </cell>
          <cell r="G33">
            <v>122119.59</v>
          </cell>
          <cell r="H33">
            <v>18628.419999999998</v>
          </cell>
          <cell r="I33">
            <v>103491.17</v>
          </cell>
        </row>
        <row r="34">
          <cell r="E34" t="str">
            <v>GGN/C/23-24/10</v>
          </cell>
          <cell r="F34" t="str">
            <v>being negative brokerage booked on insurance policies placed in Feb-23</v>
          </cell>
          <cell r="G34">
            <v>2448001.5699999998</v>
          </cell>
          <cell r="H34">
            <v>373423.97</v>
          </cell>
          <cell r="I34">
            <v>2074577.6</v>
          </cell>
        </row>
        <row r="35">
          <cell r="E35" t="str">
            <v>GGN/C/23-24/11</v>
          </cell>
          <cell r="F35" t="str">
            <v>being negative brokerage booked on insurance policies placed in Mar-23</v>
          </cell>
          <cell r="G35">
            <v>329986.13</v>
          </cell>
          <cell r="H35">
            <v>50336.87</v>
          </cell>
          <cell r="I35">
            <v>279649.26</v>
          </cell>
        </row>
        <row r="36">
          <cell r="E36" t="str">
            <v>BLR/C/23-24/03</v>
          </cell>
          <cell r="F36" t="str">
            <v>Being fees invoice raised for Broking Services for period 01-04-22 to 31-03-23. (RM Maneesh Golchha). LUT Ref No. AD2904230236924. as amount was raised with wrong amount.</v>
          </cell>
          <cell r="G36">
            <v>68044</v>
          </cell>
          <cell r="I36">
            <v>68044</v>
          </cell>
        </row>
        <row r="37">
          <cell r="E37" t="str">
            <v>CHN/C/23-24/09</v>
          </cell>
          <cell r="F37" t="str">
            <v>being negative reward booked on insurance policies placed in Q2  22-23. As insurer wanted invoice on current date.</v>
          </cell>
          <cell r="G37">
            <v>496849.15</v>
          </cell>
          <cell r="H37">
            <v>75790.539999999994</v>
          </cell>
          <cell r="I37">
            <v>421058.61</v>
          </cell>
        </row>
        <row r="38">
          <cell r="E38" t="str">
            <v>GGN/C/23-24/12</v>
          </cell>
          <cell r="F38" t="str">
            <v>being negative reward booked on insurance policies placed in Q2 22-23. As insurer wanted invoice on current date.</v>
          </cell>
          <cell r="G38">
            <v>795092</v>
          </cell>
          <cell r="H38">
            <v>121285.22</v>
          </cell>
          <cell r="I38">
            <v>673806.78</v>
          </cell>
        </row>
        <row r="39">
          <cell r="E39" t="str">
            <v>GGN/C/23-24/13</v>
          </cell>
          <cell r="F39" t="str">
            <v>being negative reward booked on insurance policies placed in Q3 22-23. As insurer wanted invoice on current date.</v>
          </cell>
          <cell r="G39">
            <v>1741196.54</v>
          </cell>
          <cell r="H39">
            <v>265606.25</v>
          </cell>
          <cell r="I39">
            <v>1475590.29</v>
          </cell>
        </row>
        <row r="40">
          <cell r="E40" t="str">
            <v>GFT/C/23-24/1</v>
          </cell>
          <cell r="F40" t="str">
            <v>being negative professional fees charged for Risk Management Fee period 21-Nov-2022 to 30-Dec-2022 (RM Bankim Parekh). for Risk Management: (1) Coverage for Fines and Penalties and (2) Product Liability Legislation in India @ USD 250 @ 82.48 GST Nil rated = 20,620/-</v>
          </cell>
          <cell r="G40">
            <v>20620</v>
          </cell>
          <cell r="I40">
            <v>20620</v>
          </cell>
        </row>
        <row r="41">
          <cell r="E41" t="str">
            <v>MUM/C/23-24/11</v>
          </cell>
          <cell r="F41" t="str">
            <v>being brokerage booked negative insurance policies placed in Apr-23.</v>
          </cell>
          <cell r="G41">
            <v>97.43</v>
          </cell>
          <cell r="H41">
            <v>14.86</v>
          </cell>
          <cell r="I41">
            <v>82.57</v>
          </cell>
        </row>
        <row r="42">
          <cell r="E42" t="str">
            <v>MUM/C/23-24/12</v>
          </cell>
          <cell r="F42" t="str">
            <v>being brokerage booked negative insurance policies placed in Apr-23.</v>
          </cell>
          <cell r="G42">
            <v>43054.1</v>
          </cell>
          <cell r="H42">
            <v>6567.58</v>
          </cell>
          <cell r="I42">
            <v>36486.519999999997</v>
          </cell>
        </row>
        <row r="43">
          <cell r="E43" t="str">
            <v>MUM/C/23-24/13</v>
          </cell>
          <cell r="F43" t="str">
            <v>being brokerage booked negative insurance policies placed in Apr-23.</v>
          </cell>
          <cell r="G43">
            <v>43792.44</v>
          </cell>
          <cell r="H43">
            <v>6680.2</v>
          </cell>
          <cell r="I43">
            <v>37112.239999999998</v>
          </cell>
        </row>
        <row r="44">
          <cell r="E44" t="str">
            <v>CHN/C/23-24/10</v>
          </cell>
          <cell r="F44" t="str">
            <v>being negative brokerage booked on insurance policies placed in Apr-23 2nd cycle against CHN/22-23/394.</v>
          </cell>
          <cell r="G44">
            <v>30.03</v>
          </cell>
          <cell r="H44">
            <v>4.58</v>
          </cell>
          <cell r="I44">
            <v>25.45</v>
          </cell>
        </row>
        <row r="45">
          <cell r="E45" t="str">
            <v>MUM/C/23-24/14</v>
          </cell>
          <cell r="F45" t="str">
            <v>being negative brokerage booked on insurance policies placed in Apr-23 2nd cycle against MUM/22-23/1482.</v>
          </cell>
          <cell r="G45">
            <v>3420.44</v>
          </cell>
          <cell r="H45">
            <v>521.76</v>
          </cell>
          <cell r="I45">
            <v>2898.68</v>
          </cell>
        </row>
        <row r="46">
          <cell r="E46" t="str">
            <v>MUM/C/23-24/15</v>
          </cell>
          <cell r="F46" t="str">
            <v>being negative brokerage booked on insurance policies placed in Apr-23.</v>
          </cell>
          <cell r="G46">
            <v>1703.08</v>
          </cell>
          <cell r="H46">
            <v>259.8</v>
          </cell>
          <cell r="I46">
            <v>1443.28</v>
          </cell>
        </row>
        <row r="47">
          <cell r="E47" t="str">
            <v>MUM/C/23-24/16</v>
          </cell>
          <cell r="F47" t="str">
            <v>being negative brokerage booked on insurance policies placed in Apr-23.</v>
          </cell>
          <cell r="G47">
            <v>2539.94</v>
          </cell>
          <cell r="H47">
            <v>387.45</v>
          </cell>
          <cell r="I47">
            <v>2152.4899999999998</v>
          </cell>
        </row>
        <row r="48">
          <cell r="E48" t="str">
            <v>CHN/C/23-24/11</v>
          </cell>
          <cell r="F48" t="str">
            <v>being negative brokerage booked on insurance policies placed in Apr-23.</v>
          </cell>
          <cell r="G48">
            <v>385.6</v>
          </cell>
          <cell r="H48">
            <v>58.82</v>
          </cell>
          <cell r="I48">
            <v>326.77999999999997</v>
          </cell>
        </row>
        <row r="49">
          <cell r="E49" t="str">
            <v>LUD/C/23-24/01</v>
          </cell>
          <cell r="F49" t="str">
            <v>being negative brokerage booked on insurance policies placed in Apr-23.</v>
          </cell>
          <cell r="G49">
            <v>17432.740000000002</v>
          </cell>
          <cell r="H49">
            <v>2659.24</v>
          </cell>
          <cell r="I49">
            <v>14773.5</v>
          </cell>
        </row>
        <row r="50">
          <cell r="E50" t="str">
            <v>GGN/C/23-24/14</v>
          </cell>
          <cell r="F50" t="str">
            <v>being negative brokerage booked on insurance policies placed in Apr-23 against GGN/22-23/1007	08-Nov-22.</v>
          </cell>
          <cell r="G50">
            <v>314.70999999999998</v>
          </cell>
          <cell r="H50">
            <v>48</v>
          </cell>
          <cell r="I50">
            <v>266.70999999999998</v>
          </cell>
        </row>
        <row r="51">
          <cell r="E51" t="str">
            <v>GGN/C/23-24/15</v>
          </cell>
          <cell r="F51" t="str">
            <v>being negative brokerage booked on insurance policies placed in Apr-23.</v>
          </cell>
          <cell r="G51">
            <v>119.71</v>
          </cell>
          <cell r="H51">
            <v>18.260000000000002</v>
          </cell>
          <cell r="I51">
            <v>101.45</v>
          </cell>
        </row>
        <row r="52">
          <cell r="E52" t="str">
            <v>MUM/C/23-24/17</v>
          </cell>
          <cell r="F52" t="str">
            <v>being negative brokerage booked on insurance policies placed in Apr-23 against BLR/23-24/20 30-Apr-23.</v>
          </cell>
          <cell r="G52">
            <v>1383.53</v>
          </cell>
          <cell r="H52">
            <v>211.05</v>
          </cell>
          <cell r="I52">
            <v>1172.48</v>
          </cell>
        </row>
        <row r="53">
          <cell r="E53" t="str">
            <v>PUN/C/23-24/02</v>
          </cell>
          <cell r="F53" t="str">
            <v>being negative brokerage booked on insurance policies placed in Apr-23 2nd cycle against PUN/23-24/12	26-Apr-23.</v>
          </cell>
          <cell r="G53">
            <v>1700.49</v>
          </cell>
          <cell r="H53">
            <v>259.39999999999998</v>
          </cell>
          <cell r="I53">
            <v>1441.09</v>
          </cell>
        </row>
        <row r="54">
          <cell r="E54" t="str">
            <v>GGN/C/23-24/16</v>
          </cell>
          <cell r="F54" t="str">
            <v>being negative brokerage booked on insurance policies placed in Apr-23 against GGN/23-24/80	25-Apr-23</v>
          </cell>
          <cell r="G54">
            <v>17424.650000000001</v>
          </cell>
          <cell r="H54">
            <v>2658</v>
          </cell>
          <cell r="I54">
            <v>14766.65</v>
          </cell>
        </row>
        <row r="55">
          <cell r="E55" t="str">
            <v>GGN/C/23-24/17</v>
          </cell>
          <cell r="F55" t="str">
            <v>being negative reward booked on insurance policies placed for Dec-22. We also declare that our revenue from other than insurance intermidition activities less than fifty percent of our total revenue from all the activities.</v>
          </cell>
          <cell r="G55">
            <v>2442.6</v>
          </cell>
          <cell r="H55">
            <v>372.6</v>
          </cell>
          <cell r="I55">
            <v>2070</v>
          </cell>
        </row>
        <row r="56">
          <cell r="E56" t="str">
            <v>GGN/C/23-24/18</v>
          </cell>
          <cell r="F56" t="str">
            <v>being negative reward booked on insurance policies placed for Jan-23. We also declare that our revenue from other than insurance intermidition activities less than fifty percent of our total revenue from all the activities.</v>
          </cell>
          <cell r="G56">
            <v>772.9</v>
          </cell>
          <cell r="H56">
            <v>117.9</v>
          </cell>
          <cell r="I56">
            <v>655</v>
          </cell>
        </row>
        <row r="57">
          <cell r="E57" t="str">
            <v>HYD/C/23-24/03</v>
          </cell>
          <cell r="F57" t="str">
            <v>being negative brokerage booked on isurance policies placed in Apr-23 against HYD/22-23/225	22-Feb-23</v>
          </cell>
          <cell r="G57">
            <v>121.63</v>
          </cell>
          <cell r="H57">
            <v>18.559999999999999</v>
          </cell>
          <cell r="I57">
            <v>103.07</v>
          </cell>
        </row>
        <row r="58">
          <cell r="E58" t="str">
            <v>GGN/C/23-24/19</v>
          </cell>
          <cell r="F58" t="str">
            <v>being negative reward booked on insurance policies placed for Jan-23. We also declare that our revenue from other than insurance intermidition activities less than fifty percent of our total revenue from all the activities.</v>
          </cell>
          <cell r="G58">
            <v>63.72</v>
          </cell>
          <cell r="H58">
            <v>9.7200000000000006</v>
          </cell>
          <cell r="I58">
            <v>54</v>
          </cell>
        </row>
        <row r="59">
          <cell r="E59" t="str">
            <v>MUM/C/23-24/18</v>
          </cell>
          <cell r="F59" t="str">
            <v>being negative brokerage booked on insurance policies placed in Jul-22</v>
          </cell>
          <cell r="G59">
            <v>55312.5</v>
          </cell>
          <cell r="H59">
            <v>8437.5</v>
          </cell>
          <cell r="I59">
            <v>46875</v>
          </cell>
        </row>
        <row r="60">
          <cell r="E60" t="str">
            <v>CHN/C/23-24/12</v>
          </cell>
          <cell r="F60" t="str">
            <v xml:space="preserve">being brokerage booked on insurance policies placed in Apr-23. against CHN/22-23/393	19-Dec-22_x000D_
</v>
          </cell>
          <cell r="G60">
            <v>1264.96</v>
          </cell>
          <cell r="H60">
            <v>192.96</v>
          </cell>
          <cell r="I60">
            <v>1072</v>
          </cell>
        </row>
        <row r="61">
          <cell r="E61" t="str">
            <v>LUD/C/23-24/02</v>
          </cell>
          <cell r="F61" t="str">
            <v>being negative brokerage booked on insurance policies placed in Feb-23.</v>
          </cell>
          <cell r="G61">
            <v>20657.46</v>
          </cell>
          <cell r="H61">
            <v>3151.14</v>
          </cell>
          <cell r="I61">
            <v>17506.32</v>
          </cell>
        </row>
        <row r="62">
          <cell r="E62" t="str">
            <v>CHN/C/23-24/13</v>
          </cell>
          <cell r="F62" t="str">
            <v>being negative brokerage booked on insurance policies placed in May-22., sales invoice reversed since refund initiated against the credit note which was cancelled IRN error not able to generate so cancelled. entered manualy in GSTR-1.</v>
          </cell>
          <cell r="G62">
            <v>933.38</v>
          </cell>
          <cell r="H62">
            <v>142.38</v>
          </cell>
          <cell r="I62">
            <v>791</v>
          </cell>
        </row>
        <row r="63">
          <cell r="E63" t="str">
            <v>HYD/C/23-24/04</v>
          </cell>
          <cell r="F63" t="str">
            <v>being negative brokerage booked on insurance policies placed in Apr-23 against HYD/22-23/132	17-Oct-22.</v>
          </cell>
          <cell r="G63">
            <v>963</v>
          </cell>
          <cell r="H63">
            <v>146.9</v>
          </cell>
          <cell r="I63">
            <v>816.1</v>
          </cell>
        </row>
        <row r="64">
          <cell r="E64" t="str">
            <v>HYD/C/23-24/05</v>
          </cell>
          <cell r="F64" t="str">
            <v>being negative brokerage booked on insurance policies placed in Apr-23 against HYD/22-23/115	26-Sep-22.</v>
          </cell>
          <cell r="G64">
            <v>1531.46</v>
          </cell>
          <cell r="H64">
            <v>233.62</v>
          </cell>
          <cell r="I64">
            <v>1297.8399999999999</v>
          </cell>
        </row>
        <row r="65">
          <cell r="E65" t="str">
            <v>MUM/C/23-24/19</v>
          </cell>
          <cell r="F65" t="str">
            <v>being negative reward booked on insurance policies placed in Jan23 to Mar23. Reverse Charge Mechanism Applicable - NO.</v>
          </cell>
          <cell r="G65">
            <v>2483104.69</v>
          </cell>
          <cell r="H65">
            <v>378778.68</v>
          </cell>
          <cell r="I65">
            <v>2104326.0099999998</v>
          </cell>
        </row>
        <row r="66">
          <cell r="E66" t="str">
            <v>MUM/C/23-24/20</v>
          </cell>
          <cell r="F66" t="str">
            <v>being negative reward booked on insurance policies placed in Jan23 to Mar23. Reverse Charge Mechanism Applicable - NO.</v>
          </cell>
          <cell r="G66">
            <v>59441.86</v>
          </cell>
          <cell r="H66">
            <v>9067.4</v>
          </cell>
          <cell r="I66">
            <v>50374.46</v>
          </cell>
        </row>
        <row r="67">
          <cell r="E67" t="str">
            <v>MUM/C/23-24/21</v>
          </cell>
          <cell r="F67" t="str">
            <v>being negative reward booked on insurance policies placed in Jan23 to Mar23. Reverse Charge Mechanism Applicable - NO.</v>
          </cell>
          <cell r="G67">
            <v>3832008.56</v>
          </cell>
          <cell r="H67">
            <v>584543.68000000005</v>
          </cell>
          <cell r="I67">
            <v>3247464.88</v>
          </cell>
        </row>
        <row r="68">
          <cell r="E68" t="str">
            <v>MUM/C/23-24/22</v>
          </cell>
          <cell r="F68" t="str">
            <v>being negative reward booked on insurance policies placed in Jan23 to Mar23. Reverse Charge Mechanism Applicable - NO.</v>
          </cell>
          <cell r="G68">
            <v>1803.98</v>
          </cell>
          <cell r="H68">
            <v>275.18</v>
          </cell>
          <cell r="I68">
            <v>1528.8</v>
          </cell>
        </row>
        <row r="69">
          <cell r="E69" t="str">
            <v>MUM/C/23-24/23</v>
          </cell>
          <cell r="F69" t="str">
            <v>being negative reward booked on insurance policies placed in Jan23 to Mar23. Reverse Charge Mechanism Applicable - NO.</v>
          </cell>
          <cell r="G69">
            <v>23129.32</v>
          </cell>
          <cell r="H69">
            <v>3528.2</v>
          </cell>
          <cell r="I69">
            <v>19601.12</v>
          </cell>
        </row>
        <row r="70">
          <cell r="E70" t="str">
            <v>MUM/C/23-24/24</v>
          </cell>
          <cell r="F70" t="str">
            <v>being negative reward booked on insurance policies placed in Jan23 to Mar23. Reverse Charge Mechanism Applicable - NO.</v>
          </cell>
          <cell r="G70">
            <v>17691.099999999999</v>
          </cell>
          <cell r="H70">
            <v>2698.64</v>
          </cell>
          <cell r="I70">
            <v>14992.46</v>
          </cell>
        </row>
        <row r="71">
          <cell r="E71" t="str">
            <v>MUM/C/23-24/25</v>
          </cell>
          <cell r="F71" t="str">
            <v>being negative reward booked on insurance policies placed in Jan23 to Mar23. Reverse Charge Mechanism Applicable - NO.</v>
          </cell>
          <cell r="G71">
            <v>63913.5</v>
          </cell>
          <cell r="H71">
            <v>9749.52</v>
          </cell>
          <cell r="I71">
            <v>54163.98</v>
          </cell>
        </row>
        <row r="72">
          <cell r="E72" t="str">
            <v>MUM/C/23-24/26</v>
          </cell>
          <cell r="F72" t="str">
            <v>being negative reward booked on insurance policies placed in Jan23 to Mar23. Reverse Charge Mechanism Applicable - NO.</v>
          </cell>
          <cell r="G72">
            <v>703409.17</v>
          </cell>
          <cell r="H72">
            <v>107299.7</v>
          </cell>
          <cell r="I72">
            <v>596109.47</v>
          </cell>
        </row>
        <row r="73">
          <cell r="E73" t="str">
            <v>MUM/C/23-24/27</v>
          </cell>
          <cell r="F73" t="str">
            <v>being negative reward booked on insurance policies placed in Jan23 to Mar23. Reverse Charge Mechanism Applicable - NO.</v>
          </cell>
          <cell r="G73">
            <v>445264.15</v>
          </cell>
          <cell r="H73">
            <v>67921.649999999994</v>
          </cell>
          <cell r="I73">
            <v>377342.5</v>
          </cell>
        </row>
        <row r="74">
          <cell r="E74" t="str">
            <v>GGN/C/23-24/20</v>
          </cell>
          <cell r="F74" t="str">
            <v>being negative brokerage insurance policies placed in 22-23. against 28-Oct-22	GGN/22-23/972 FY 22-23.</v>
          </cell>
          <cell r="G74">
            <v>13009.5</v>
          </cell>
          <cell r="H74">
            <v>1984.5</v>
          </cell>
          <cell r="I74">
            <v>11025</v>
          </cell>
        </row>
        <row r="75">
          <cell r="E75" t="str">
            <v>GGN/C/23-24/21</v>
          </cell>
          <cell r="F75" t="str">
            <v>being negative brokerage booked on insurance policies placed in Aug-22. Against  Dt. 21-Jan-22	GGN/C/21-22/169 of Nov-21</v>
          </cell>
          <cell r="G75">
            <v>49816.06</v>
          </cell>
          <cell r="H75">
            <v>7599.06</v>
          </cell>
          <cell r="I75">
            <v>42217</v>
          </cell>
        </row>
        <row r="76">
          <cell r="E76" t="str">
            <v>HYD/C/23-24/06</v>
          </cell>
          <cell r="F76" t="str">
            <v>being negative brokerage booked on insurance policies placed in Apr-23.</v>
          </cell>
          <cell r="G76">
            <v>136714.19</v>
          </cell>
          <cell r="H76">
            <v>20854.7</v>
          </cell>
          <cell r="I76">
            <v>115859.49</v>
          </cell>
        </row>
        <row r="77">
          <cell r="E77" t="str">
            <v>GGN/C/23-24/22</v>
          </cell>
          <cell r="F77" t="str">
            <v>being neagative brokerage booked on insurance policies placed in Aug-22.</v>
          </cell>
          <cell r="G77">
            <v>185.26</v>
          </cell>
          <cell r="H77">
            <v>28.26</v>
          </cell>
          <cell r="I77">
            <v>157</v>
          </cell>
        </row>
        <row r="78">
          <cell r="E78" t="str">
            <v>GGN/C/23-24/23</v>
          </cell>
          <cell r="F78" t="str">
            <v>being negative brokerage booked on insurance policies placed in Sep-22.</v>
          </cell>
          <cell r="G78">
            <v>550807.48</v>
          </cell>
          <cell r="H78">
            <v>84021.48</v>
          </cell>
          <cell r="I78">
            <v>466786</v>
          </cell>
        </row>
        <row r="79">
          <cell r="E79" t="str">
            <v>GFT/C/23-24/2</v>
          </cell>
          <cell r="F79" t="str">
            <v>being RI brokerage booked USD 493.56 @ 83  ( AED 1826.62  = USD 493.83) ; Insured: Mercure Hotel Suites &amp; Apartments; Cedant: Orient Takaful PJSC; Policy Period: 01.01.23 to 31.12.2023( invoice cancelled since taxable and new invoice raised)</v>
          </cell>
          <cell r="G79">
            <v>40966</v>
          </cell>
          <cell r="I79">
            <v>40966</v>
          </cell>
        </row>
        <row r="80">
          <cell r="E80" t="str">
            <v>GFT/C/23-24/3</v>
          </cell>
          <cell r="F80" t="str">
            <v>being RI brokerage booked USD 6647.73 @ 83 ( AED 24647.30 = USD 6647.73) ; Insured: Mercure Hotel Suites &amp; Apartments; Cedant: Orient Takaful PJSC; Policy Period: 01.01.23 to 31.12.2023 (invoice cancelled since taxble and new invoice booked)</v>
          </cell>
          <cell r="G80">
            <v>551761</v>
          </cell>
          <cell r="I80">
            <v>551761</v>
          </cell>
        </row>
        <row r="81">
          <cell r="E81" t="str">
            <v>GFT/C/23-24/4</v>
          </cell>
          <cell r="F81" t="str">
            <v>being RI brokerage booked USD 658.42 @ 83 ( AED 2435.50 = USD 658.42) ; Insured: Mercure Hotel Suites &amp; Apartments; Cedant: Orient Takaful PJSC; Policy Period: 01.01.23 to 31.12.2023 (invoice cancelled since taxble and new invoice booked)</v>
          </cell>
          <cell r="G81">
            <v>54649</v>
          </cell>
          <cell r="I81">
            <v>54649</v>
          </cell>
        </row>
        <row r="82">
          <cell r="E82" t="str">
            <v>GFT/C/23-24/5</v>
          </cell>
          <cell r="F82" t="str">
            <v>being RI brokerage booked USD 487.30 @ 83 ( AED 131.48 = USD 487.30 ) ; Insured: Mercure Hotel Suites &amp; Apartments; Cedant: Orient Takaful PJSC; Policy Period: 01.01.23 to 31.12.2023 (invoice cancelled since taxble and new invoice booked)</v>
          </cell>
          <cell r="G82">
            <v>10913</v>
          </cell>
          <cell r="I82">
            <v>10913</v>
          </cell>
        </row>
        <row r="83">
          <cell r="E83" t="str">
            <v>GFT/C/23-24/6</v>
          </cell>
          <cell r="F83" t="str">
            <v>being RI brokerage booked USD 175.19 @ 83 ( AED 643.81 = USD 175.19) ; Insured: SWISS SINGAPORE OVERSESE ENTERPRISES PVT LTD; Cedant: NOOR TAKAFUL GENERAL PJSC ; Policy Period: 01.11.2022 to 31.12.2022 (invoice cancelled since taxble and new invoice booked)</v>
          </cell>
          <cell r="G83">
            <v>14540</v>
          </cell>
          <cell r="I83">
            <v>14540</v>
          </cell>
        </row>
        <row r="84">
          <cell r="E84" t="str">
            <v>GFT/C/23-24/7</v>
          </cell>
          <cell r="F84" t="str">
            <v>being RI brokerage booked USD 18.17 @ 83 ( AED 66.75 = USD 18.17 ) ; Insured: SWISS SINGAPORE OVERSESE ENTERPRISES PVT LTD; Cedant: NOOR TAKAFUL GENERAL PJSC ; Policy Period: 01.01.2023 to 31.01.2023 (invoice cancelled since taxble and new invoice booked)</v>
          </cell>
          <cell r="G84">
            <v>1508</v>
          </cell>
          <cell r="I84">
            <v>1508</v>
          </cell>
        </row>
        <row r="85">
          <cell r="E85" t="str">
            <v>GFT/C/23-24/8</v>
          </cell>
          <cell r="F85" t="str">
            <v>being RI brokerage booked USD 3380 @ 83  ; Insured: Emerald Sri Lanka Fund I Limited ; Cedant: THE MAURITIUS UNION ASSURANCE CY LTD  ; Policy Period:22.01.2023 to 21.01.2024</v>
          </cell>
          <cell r="G85">
            <v>280540</v>
          </cell>
          <cell r="I85">
            <v>280540</v>
          </cell>
        </row>
        <row r="86">
          <cell r="E86" t="str">
            <v>GFT/C/23-24/9</v>
          </cell>
          <cell r="F86" t="str">
            <v>being RI brokerage booked USD 2880 @ 83  ; Insured: NDB ZEPHYR PARTNERS LIMITED - MANAGER (MAURITIUS) &amp; (LANKA) ; Cedant: THE MAURITIUS UNION ASSURANCE CY LTD  ; Policy Period:22.01.2023 to 21.01.2024</v>
          </cell>
          <cell r="G86">
            <v>239040</v>
          </cell>
          <cell r="I86">
            <v>239040</v>
          </cell>
        </row>
        <row r="87">
          <cell r="E87" t="str">
            <v>GFT/C/23-24/10</v>
          </cell>
          <cell r="F87" t="str">
            <v>being RI brokerage booked AED 6693.30 USD 1822.30 @ 83  ; Insured: Dubai Express, M/S. DANWAY LLC, M/S. Danway Electrical &amp; Mechanical Engineering LLC, AL NOWAIS INVESTMENTS LLC, Jaspa General Trading Co. LLC, New York Auto Spare Parts ; Cedant:Paraklis Insurance Solution ; Policy Period: 01.01.23 to 31.12.2023(invoice cancelled since taxble and new invoice booked)</v>
          </cell>
          <cell r="G87">
            <v>151251</v>
          </cell>
          <cell r="I87">
            <v>151251</v>
          </cell>
        </row>
        <row r="88">
          <cell r="E88" t="str">
            <v>GFT/C/23-24/11</v>
          </cell>
          <cell r="F88" t="str">
            <v>being RI brokerage booked AED 2915.17 = USD 793.68  @ 83  ; Insured:  M/S. DANWAY LLC, M/S. Danway Electrical &amp; Mechanical Engineering LLC, AL NOWAIS INVESTMENTS LLC,  ; Cedant:Paraklis Insurance Solution ; Policy Period: 01.01.23 to 31.12.2023 (invoice cancelled since taxble and new invoice booked)</v>
          </cell>
          <cell r="G88">
            <v>65876</v>
          </cell>
          <cell r="I88">
            <v>65876</v>
          </cell>
        </row>
        <row r="89">
          <cell r="E89" t="str">
            <v>GFT/C/23-24/12</v>
          </cell>
          <cell r="F89" t="str">
            <v>being RI brokerage booked USD 2880 @ 83  ; Insured: Centro Nacional De Inteligencia ; Cedant:THB Mexico Intermediario   ; Policy Period: 01.01.2023 to 31.12.2023 (invoice cancelled since taxble and new invoice booked)</v>
          </cell>
          <cell r="G89">
            <v>38906</v>
          </cell>
          <cell r="I89">
            <v>38906</v>
          </cell>
        </row>
        <row r="90">
          <cell r="E90" t="str">
            <v>HYD/C/23-24/07</v>
          </cell>
          <cell r="F90" t="str">
            <v>being negative reward booked on insurance policies placed in Mar-23. Against HYD/22-23/225	22-Feb-23</v>
          </cell>
          <cell r="G90">
            <v>311.17</v>
          </cell>
          <cell r="H90">
            <v>47.46</v>
          </cell>
          <cell r="I90">
            <v>263.70999999999998</v>
          </cell>
        </row>
        <row r="91">
          <cell r="E91" t="str">
            <v>BLR/C/23-24/04</v>
          </cell>
          <cell r="F91" t="str">
            <v>being negative brokerage booked on insurance policies placed in May-23.</v>
          </cell>
          <cell r="G91">
            <v>72725.759999999995</v>
          </cell>
          <cell r="H91">
            <v>11093.76</v>
          </cell>
          <cell r="I91">
            <v>61632</v>
          </cell>
        </row>
        <row r="92">
          <cell r="E92" t="str">
            <v>CHN/C/23-24/14</v>
          </cell>
          <cell r="F92" t="str">
            <v>being negative brokerage booked on insurance policies placed in May-23 against 06-Apr-23 CHN/23-24/15</v>
          </cell>
          <cell r="G92">
            <v>1331.04</v>
          </cell>
          <cell r="H92">
            <v>203.04</v>
          </cell>
          <cell r="I92">
            <v>1128</v>
          </cell>
        </row>
        <row r="93">
          <cell r="E93" t="str">
            <v>GGN/C/23-24/24</v>
          </cell>
          <cell r="F93" t="str">
            <v>being negative brokerage booked on insurance policies placed in May-23 against GGN/22-23/1049	21-Nov-22</v>
          </cell>
          <cell r="G93">
            <v>99.24</v>
          </cell>
          <cell r="H93">
            <v>15.14</v>
          </cell>
          <cell r="I93">
            <v>84.1</v>
          </cell>
        </row>
        <row r="94">
          <cell r="E94" t="str">
            <v>MUM/C/23-24/28</v>
          </cell>
          <cell r="F94" t="str">
            <v>being negative brokerage booked on insurance policies placed in May-23 against MUM/23-24/246	19-May-23.</v>
          </cell>
          <cell r="G94">
            <v>1673.84</v>
          </cell>
          <cell r="H94">
            <v>255.34</v>
          </cell>
          <cell r="I94">
            <v>1418.5</v>
          </cell>
        </row>
        <row r="95">
          <cell r="E95" t="str">
            <v>GGN/C/23-24/25</v>
          </cell>
          <cell r="F95" t="str">
            <v>being negative brokerage booked on insurance policies placed in May-23.</v>
          </cell>
          <cell r="G95">
            <v>6357.99</v>
          </cell>
          <cell r="H95">
            <v>969.86</v>
          </cell>
          <cell r="I95">
            <v>5388.13</v>
          </cell>
        </row>
        <row r="96">
          <cell r="E96" t="str">
            <v>GGN/C/23-24/26</v>
          </cell>
          <cell r="F96" t="str">
            <v>being negative brokerage booked on insurance policies placed in May-23 against GGN/23-24/169	16-May-23.</v>
          </cell>
          <cell r="G96">
            <v>385.86</v>
          </cell>
          <cell r="H96">
            <v>58.86</v>
          </cell>
          <cell r="I96">
            <v>327</v>
          </cell>
        </row>
        <row r="97">
          <cell r="E97" t="str">
            <v>GGN/C/23-24/27</v>
          </cell>
          <cell r="F97" t="str">
            <v>being negative brokerage booked on insurance policies placed in May-23 against GGN/22-23/1002	07-Nov-22.</v>
          </cell>
          <cell r="G97">
            <v>472</v>
          </cell>
          <cell r="H97">
            <v>72</v>
          </cell>
          <cell r="I97">
            <v>400</v>
          </cell>
        </row>
        <row r="98">
          <cell r="E98" t="str">
            <v>HYD/C/23-24/08</v>
          </cell>
          <cell r="F98" t="str">
            <v>being negative brokerage booked on insurance policies placed in May-23 against HYD/22-23/252	28-Mar-23.</v>
          </cell>
          <cell r="G98">
            <v>4185.46</v>
          </cell>
          <cell r="H98">
            <v>638.46</v>
          </cell>
          <cell r="I98">
            <v>3547</v>
          </cell>
        </row>
        <row r="99">
          <cell r="E99" t="str">
            <v>MUM/C/23-24/29</v>
          </cell>
          <cell r="F99" t="str">
            <v>being negative brokerage booked on insurance policies placed in May-23 against MUM/22-23/1867	16-Jan-23.</v>
          </cell>
          <cell r="G99">
            <v>549.30999999999995</v>
          </cell>
          <cell r="H99">
            <v>83.79</v>
          </cell>
          <cell r="I99">
            <v>465.52</v>
          </cell>
        </row>
        <row r="100">
          <cell r="E100" t="str">
            <v>CHN/C/23-24/15</v>
          </cell>
          <cell r="F100" t="str">
            <v>being negative brokerage booked on insurance policies placed in May-23.</v>
          </cell>
          <cell r="G100">
            <v>872.62</v>
          </cell>
          <cell r="H100">
            <v>133.12</v>
          </cell>
          <cell r="I100">
            <v>739.5</v>
          </cell>
        </row>
        <row r="101">
          <cell r="E101" t="str">
            <v>GGN/C/23-24/28</v>
          </cell>
          <cell r="F101" t="str">
            <v>being negative brokerage booked on insurance policies placed in Apr-23.</v>
          </cell>
          <cell r="G101">
            <v>804020.27</v>
          </cell>
          <cell r="H101">
            <v>122647.16</v>
          </cell>
          <cell r="I101">
            <v>681373.11</v>
          </cell>
        </row>
        <row r="102">
          <cell r="E102" t="str">
            <v>CHN/C/23-24/16</v>
          </cell>
          <cell r="F102" t="str">
            <v>being negative brokerage booked on insurance policies placed in Apr-23. As amount was revised.</v>
          </cell>
          <cell r="G102">
            <v>176333.26</v>
          </cell>
          <cell r="H102">
            <v>26898.3</v>
          </cell>
          <cell r="I102">
            <v>149434.96</v>
          </cell>
        </row>
        <row r="103">
          <cell r="E103" t="str">
            <v>GGN/C/23-24/29</v>
          </cell>
          <cell r="F103" t="str">
            <v>being negative brokerage booked on insurance policies placed in Apr-23. As amount was revised.</v>
          </cell>
          <cell r="G103">
            <v>521.79999999999995</v>
          </cell>
          <cell r="H103">
            <v>79.599999999999994</v>
          </cell>
          <cell r="I103">
            <v>442.2</v>
          </cell>
        </row>
        <row r="104">
          <cell r="E104" t="str">
            <v>GGN/C/23-24/30</v>
          </cell>
          <cell r="F104" t="str">
            <v>being negative brokerage booked on insurance policies placed in Apr-23. As amount was revised.</v>
          </cell>
          <cell r="G104">
            <v>3186127.98</v>
          </cell>
          <cell r="H104">
            <v>486019.52</v>
          </cell>
          <cell r="I104">
            <v>2700108.46</v>
          </cell>
        </row>
        <row r="105">
          <cell r="E105" t="str">
            <v>GGN/C/23-24/31</v>
          </cell>
          <cell r="F105" t="str">
            <v>being negative brokerage booked on insurance policies placed in Apr-23. As amount was revised.</v>
          </cell>
          <cell r="G105">
            <v>565327</v>
          </cell>
          <cell r="H105">
            <v>86236.32</v>
          </cell>
          <cell r="I105">
            <v>479090.68</v>
          </cell>
        </row>
        <row r="106">
          <cell r="E106" t="str">
            <v>MUM/C/23-24/30</v>
          </cell>
          <cell r="F106" t="str">
            <v>being negative brokerage booked on insurance policies placed in Apr-23. As amount was revised.</v>
          </cell>
          <cell r="G106">
            <v>568991.01</v>
          </cell>
          <cell r="H106">
            <v>86795.24</v>
          </cell>
          <cell r="I106">
            <v>482195.77</v>
          </cell>
        </row>
        <row r="107">
          <cell r="E107" t="str">
            <v>CHN/C/23-24/17</v>
          </cell>
          <cell r="F107" t="str">
            <v>being negative reward booked on insurance policies placed placed in Jul to Sep Q2 2022-23. As amount was revised.</v>
          </cell>
          <cell r="G107">
            <v>496849.15</v>
          </cell>
          <cell r="H107">
            <v>75790.539999999994</v>
          </cell>
          <cell r="I107">
            <v>421058.61</v>
          </cell>
        </row>
        <row r="108">
          <cell r="E108" t="str">
            <v>GGN/C/23-24/32</v>
          </cell>
          <cell r="F108" t="str">
            <v>being negative reward booked on insurance policies placed in Jul to Sep Q2 2022-23. As amount was revised</v>
          </cell>
          <cell r="G108">
            <v>795092</v>
          </cell>
          <cell r="H108">
            <v>121285.22</v>
          </cell>
          <cell r="I108">
            <v>673806.78</v>
          </cell>
        </row>
        <row r="109">
          <cell r="E109" t="str">
            <v>GGN/C/23-24/33</v>
          </cell>
          <cell r="F109" t="str">
            <v>being negative reward booked on insurance policies placed in Oct to Dec Q3 2022-23. As amount was revised.</v>
          </cell>
          <cell r="G109">
            <v>1741196.54</v>
          </cell>
          <cell r="H109">
            <v>265606.25</v>
          </cell>
          <cell r="I109">
            <v>1475590.29</v>
          </cell>
        </row>
        <row r="110">
          <cell r="E110" t="str">
            <v>MUM/C/23-24/31</v>
          </cell>
          <cell r="F110" t="str">
            <v>being negative brokerage booked on insurance policies placed in May-23 against BLR/23-24/20	30-Apr-23.</v>
          </cell>
          <cell r="G110">
            <v>3597.44</v>
          </cell>
          <cell r="H110">
            <v>548.76</v>
          </cell>
          <cell r="I110">
            <v>3048.68</v>
          </cell>
        </row>
        <row r="111">
          <cell r="E111" t="str">
            <v>GGN/C/23-24/34</v>
          </cell>
          <cell r="F111" t="str">
            <v>being negative brokerage booked on insurance policies placed in May-23.</v>
          </cell>
          <cell r="G111">
            <v>82785.100000000006</v>
          </cell>
          <cell r="H111">
            <v>12628.24</v>
          </cell>
          <cell r="I111">
            <v>70156.86</v>
          </cell>
        </row>
        <row r="112">
          <cell r="E112" t="str">
            <v>MUM/C/23-24/32</v>
          </cell>
          <cell r="F112" t="str">
            <v>being negative brokerage booked on insurance policies placed in Jan-23.</v>
          </cell>
          <cell r="G112">
            <v>1194970.6100000001</v>
          </cell>
          <cell r="H112">
            <v>182283.66</v>
          </cell>
          <cell r="I112">
            <v>1012686.95</v>
          </cell>
        </row>
        <row r="113">
          <cell r="E113" t="str">
            <v>MUM/C/23-24/33</v>
          </cell>
          <cell r="F113" t="str">
            <v>being negative brokerage booked on insurance policies placed in Jun-23.</v>
          </cell>
          <cell r="G113">
            <v>1943945.32</v>
          </cell>
          <cell r="H113">
            <v>296534.03999999998</v>
          </cell>
          <cell r="I113">
            <v>1647411.28</v>
          </cell>
        </row>
        <row r="114">
          <cell r="E114" t="str">
            <v>CHN/C/23-24/18</v>
          </cell>
          <cell r="F114" t="str">
            <v>being negative brokerage booked on insurance poliices placed in May-23 against CHN/22-23/174	12-Jul-22</v>
          </cell>
          <cell r="G114">
            <v>2156.77</v>
          </cell>
          <cell r="H114">
            <v>329</v>
          </cell>
          <cell r="I114">
            <v>1827.77</v>
          </cell>
        </row>
        <row r="115">
          <cell r="E115" t="str">
            <v>GGN/C/23-24/35</v>
          </cell>
          <cell r="F115" t="str">
            <v>being negative brokerage booked on insurance policies placed in May-23 against GGN/23-24/70	21-Apr-23.</v>
          </cell>
          <cell r="G115">
            <v>38.159999999999997</v>
          </cell>
          <cell r="H115">
            <v>5.82</v>
          </cell>
          <cell r="I115">
            <v>32.340000000000003</v>
          </cell>
        </row>
        <row r="116">
          <cell r="E116" t="str">
            <v>CHN/C/23-24/19</v>
          </cell>
          <cell r="F116" t="str">
            <v>being negative brokerage booked on insurance policies placed in May-22., sales invoice reversed since refund initiated against the credit note which was cancelled</v>
          </cell>
          <cell r="G116">
            <v>933.38</v>
          </cell>
          <cell r="H116">
            <v>142.38</v>
          </cell>
          <cell r="I116">
            <v>791</v>
          </cell>
        </row>
        <row r="117">
          <cell r="E117" t="str">
            <v>BLR/C/23-24/05</v>
          </cell>
          <cell r="F117" t="str">
            <v>being negative brokerage booked on insurance policies placed in May-23. As amount revised and Split.</v>
          </cell>
          <cell r="G117">
            <v>18868.21</v>
          </cell>
          <cell r="H117">
            <v>2878.2</v>
          </cell>
          <cell r="I117">
            <v>15990.01</v>
          </cell>
        </row>
        <row r="118">
          <cell r="E118" t="str">
            <v>CHN/C/23-24/20</v>
          </cell>
          <cell r="F118" t="str">
            <v>being negative brokerage booked on insurance policies placed in May-23. As amount revised and Split.</v>
          </cell>
          <cell r="G118">
            <v>2238.84</v>
          </cell>
          <cell r="H118">
            <v>341.52</v>
          </cell>
          <cell r="I118">
            <v>1897.32</v>
          </cell>
        </row>
        <row r="119">
          <cell r="E119" t="str">
            <v>CHN/C/23-24/21</v>
          </cell>
          <cell r="F119" t="str">
            <v>being negative brokerage booked on insurance policies placed in May-23.</v>
          </cell>
          <cell r="G119">
            <v>20.059999999999999</v>
          </cell>
          <cell r="H119">
            <v>3.06</v>
          </cell>
          <cell r="I119">
            <v>17</v>
          </cell>
        </row>
        <row r="120">
          <cell r="E120" t="str">
            <v>GGN/C/23-24/36</v>
          </cell>
          <cell r="F120" t="str">
            <v>being negative brokerage booked on insurance policies placed in Jun-23 against GGN/22-23/1049	21-Nov-22.</v>
          </cell>
          <cell r="G120">
            <v>130.15</v>
          </cell>
          <cell r="H120">
            <v>19.850000000000001</v>
          </cell>
          <cell r="I120">
            <v>110.3</v>
          </cell>
        </row>
        <row r="121">
          <cell r="E121" t="str">
            <v>GGN/C/23-24/37</v>
          </cell>
          <cell r="F121" t="str">
            <v>being negative brokerage booked on insurance policies placed in May-23. As amount revised and Split.</v>
          </cell>
          <cell r="G121">
            <v>1028807.99</v>
          </cell>
          <cell r="H121">
            <v>156936.81</v>
          </cell>
          <cell r="I121">
            <v>871871.18</v>
          </cell>
        </row>
        <row r="122">
          <cell r="E122" t="str">
            <v>GGN/C/23-24/38</v>
          </cell>
          <cell r="F122" t="str">
            <v>being negative brokerage booked on insurance policies placed in Apr-23. as insurer wants raise invoice from HO.</v>
          </cell>
          <cell r="G122">
            <v>127.44</v>
          </cell>
          <cell r="H122">
            <v>19.440000000000001</v>
          </cell>
          <cell r="I122">
            <v>108</v>
          </cell>
        </row>
        <row r="123">
          <cell r="E123" t="str">
            <v>MUM/C/23-24/34</v>
          </cell>
          <cell r="F123" t="str">
            <v>being negative brokerage booked on insurance policies placed in May-23. As amount revised and Split.</v>
          </cell>
          <cell r="G123">
            <v>628441.38</v>
          </cell>
          <cell r="H123">
            <v>95863.94</v>
          </cell>
          <cell r="I123">
            <v>532577.43999999994</v>
          </cell>
        </row>
        <row r="124">
          <cell r="E124" t="str">
            <v>MUM/C/23-24/35</v>
          </cell>
          <cell r="F124" t="str">
            <v>being negative brokerage booked on insurance policies placed in May-23 against MUM/23-24/389	09-Jun-23.</v>
          </cell>
          <cell r="G124">
            <v>43235.03</v>
          </cell>
          <cell r="H124">
            <v>6595.18</v>
          </cell>
          <cell r="I124">
            <v>36639.85</v>
          </cell>
        </row>
        <row r="125">
          <cell r="E125" t="str">
            <v>GGN/C/23-24/39</v>
          </cell>
          <cell r="F125" t="str">
            <v>being negative reward booked on insurance policies placed in 2022-23. As amount revised due to location change.</v>
          </cell>
          <cell r="G125">
            <v>249387.1</v>
          </cell>
          <cell r="H125">
            <v>38042.1</v>
          </cell>
          <cell r="I125">
            <v>211345</v>
          </cell>
        </row>
        <row r="126">
          <cell r="E126" t="str">
            <v>GGN/C/23-24/40</v>
          </cell>
          <cell r="F126" t="str">
            <v>being negative reward booked on insurance policies placed in Dec-22.</v>
          </cell>
          <cell r="G126">
            <v>67919.77</v>
          </cell>
          <cell r="H126">
            <v>10360.64</v>
          </cell>
          <cell r="I126">
            <v>57559.13</v>
          </cell>
        </row>
        <row r="127">
          <cell r="E127" t="str">
            <v>HYD/C/23-24/09</v>
          </cell>
          <cell r="F127" t="str">
            <v>being negative brokerage booked on insurance policies placed in May-23 against HYD/22-23/174	09-Dec-22.</v>
          </cell>
          <cell r="G127">
            <v>6267.85</v>
          </cell>
          <cell r="H127">
            <v>956.11</v>
          </cell>
          <cell r="I127">
            <v>5311.74</v>
          </cell>
        </row>
        <row r="128">
          <cell r="E128" t="str">
            <v>GGN/C/23-24/41</v>
          </cell>
          <cell r="F128" t="str">
            <v>being negative brokerage booked on insurance policies placed in May-23.</v>
          </cell>
          <cell r="G128">
            <v>1244878.3700000001</v>
          </cell>
          <cell r="H128">
            <v>189896.7</v>
          </cell>
          <cell r="I128">
            <v>1054981.67</v>
          </cell>
        </row>
        <row r="129">
          <cell r="E129" t="str">
            <v>GGN/C/23-24/42</v>
          </cell>
          <cell r="F129" t="str">
            <v>being negative brokerage booked on insurance policies placed in Dec-22.</v>
          </cell>
          <cell r="G129">
            <v>8145297.7599999998</v>
          </cell>
          <cell r="H129">
            <v>1242503.05</v>
          </cell>
          <cell r="I129">
            <v>6902794.71</v>
          </cell>
        </row>
        <row r="130">
          <cell r="E130" t="str">
            <v>CHN/C/23-24/22</v>
          </cell>
          <cell r="F130" t="str">
            <v>being negative brokerage booked on insurance policies placed in Jun-23.</v>
          </cell>
          <cell r="G130">
            <v>945.35</v>
          </cell>
          <cell r="H130">
            <v>144.19999999999999</v>
          </cell>
          <cell r="I130">
            <v>801.15</v>
          </cell>
        </row>
        <row r="131">
          <cell r="E131" t="str">
            <v>GGN/C/23-24/43</v>
          </cell>
          <cell r="F131" t="str">
            <v>being negative brokerage booked on insurance policies placed in Jun-23.</v>
          </cell>
          <cell r="G131">
            <v>2883.07</v>
          </cell>
          <cell r="H131">
            <v>439.79</v>
          </cell>
          <cell r="I131">
            <v>2443.2800000000002</v>
          </cell>
        </row>
        <row r="132">
          <cell r="E132" t="str">
            <v>MUM/C/23-24/36</v>
          </cell>
          <cell r="F132" t="str">
            <v>being negative brokerage booked on insurance policies placed in month of Jun-23.</v>
          </cell>
          <cell r="G132">
            <v>12647.54</v>
          </cell>
          <cell r="H132">
            <v>1929.29</v>
          </cell>
          <cell r="I132">
            <v>10718.25</v>
          </cell>
        </row>
        <row r="133">
          <cell r="E133" t="str">
            <v>BLR/C/23-24/06</v>
          </cell>
          <cell r="F133" t="str">
            <v>being negative brokerage booked on insurance policies placed in Jun-23.</v>
          </cell>
          <cell r="G133">
            <v>24634.32</v>
          </cell>
          <cell r="H133">
            <v>3757.78</v>
          </cell>
          <cell r="I133">
            <v>20876.54</v>
          </cell>
        </row>
        <row r="134">
          <cell r="E134" t="str">
            <v>MUM/C/23-24/37</v>
          </cell>
          <cell r="F134" t="str">
            <v>being negative brokerage booked on insurance policies placed in Jun-23.</v>
          </cell>
          <cell r="G134">
            <v>78044.759999999995</v>
          </cell>
          <cell r="H134">
            <v>11905.14</v>
          </cell>
          <cell r="I134">
            <v>66139.62</v>
          </cell>
        </row>
        <row r="135">
          <cell r="E135" t="str">
            <v>GGN/C/23-24/44</v>
          </cell>
          <cell r="F135" t="str">
            <v>being negative brokerage booked on insurance policies placed in Feb &amp; Mar-23.</v>
          </cell>
          <cell r="G135">
            <v>237305.55</v>
          </cell>
          <cell r="H135">
            <v>36199.15</v>
          </cell>
          <cell r="I135">
            <v>201106.4</v>
          </cell>
        </row>
        <row r="136">
          <cell r="E136" t="str">
            <v>MUM/C/23-24/38</v>
          </cell>
          <cell r="F136" t="str">
            <v>negative brokerage booked on insurance policies placed in Jun-23.</v>
          </cell>
          <cell r="G136">
            <v>1090.2</v>
          </cell>
          <cell r="H136">
            <v>166.3</v>
          </cell>
          <cell r="I136">
            <v>923.9</v>
          </cell>
        </row>
        <row r="137">
          <cell r="E137" t="str">
            <v>CHN/C/23-24/23</v>
          </cell>
          <cell r="F137" t="str">
            <v>being negative brokerage booked on insurance policies placed in Jun-23. As amount revised.</v>
          </cell>
          <cell r="G137">
            <v>919.31</v>
          </cell>
          <cell r="H137">
            <v>140.24</v>
          </cell>
          <cell r="I137">
            <v>779.07</v>
          </cell>
        </row>
        <row r="138">
          <cell r="E138" t="str">
            <v>GGN/C/23-24/45</v>
          </cell>
          <cell r="F138" t="str">
            <v>being negative brokerage booked on insurance policies placed in Jun-23 against 10-May-23	GGN/23-24/148.</v>
          </cell>
          <cell r="G138">
            <v>27684.560000000001</v>
          </cell>
          <cell r="H138">
            <v>4223.07</v>
          </cell>
          <cell r="I138">
            <v>23461.49</v>
          </cell>
        </row>
        <row r="139">
          <cell r="E139" t="str">
            <v>GGN/C/23-24/46</v>
          </cell>
          <cell r="F139" t="str">
            <v>being negative brokerage booked on insurance policies placed in Jun-23.</v>
          </cell>
          <cell r="G139">
            <v>47267.85</v>
          </cell>
          <cell r="H139">
            <v>7210.35</v>
          </cell>
          <cell r="I139">
            <v>40057.5</v>
          </cell>
        </row>
        <row r="140">
          <cell r="E140" t="str">
            <v>MUM/C/23-24/39</v>
          </cell>
          <cell r="F140" t="str">
            <v>being negative brokerage booked on insurance policies placed in May-23.</v>
          </cell>
          <cell r="G140">
            <v>123174.6</v>
          </cell>
          <cell r="H140">
            <v>18789.34</v>
          </cell>
          <cell r="I140">
            <v>104385.26</v>
          </cell>
        </row>
        <row r="141">
          <cell r="E141" t="str">
            <v>MUM/C/23-24/40</v>
          </cell>
          <cell r="F141" t="str">
            <v>being negative brokerage booked on insurance policies placed in Jun-23.</v>
          </cell>
          <cell r="G141">
            <v>555115.36</v>
          </cell>
          <cell r="H141">
            <v>84678.62</v>
          </cell>
          <cell r="I141">
            <v>470436.74</v>
          </cell>
        </row>
        <row r="142">
          <cell r="E142" t="str">
            <v>BLR/C/23-24/07</v>
          </cell>
          <cell r="F142" t="str">
            <v>being Negative brokerage booked on insurance policies placed in Jun-23.</v>
          </cell>
          <cell r="G142">
            <v>41167.839999999997</v>
          </cell>
          <cell r="H142">
            <v>6279.84</v>
          </cell>
          <cell r="I142">
            <v>34888</v>
          </cell>
        </row>
        <row r="143">
          <cell r="E143" t="str">
            <v>CHN/C/23-24/24</v>
          </cell>
          <cell r="F143" t="str">
            <v>being brokerage booked on insurance policies placed in Jun-23.</v>
          </cell>
          <cell r="G143">
            <v>9.0299999999999994</v>
          </cell>
          <cell r="H143">
            <v>1.38</v>
          </cell>
          <cell r="I143">
            <v>7.65</v>
          </cell>
        </row>
        <row r="144">
          <cell r="E144" t="str">
            <v>MUM/C/23-24/41</v>
          </cell>
          <cell r="F144" t="str">
            <v>being negative brokerage booked on insurance policies placed in Jun-23,</v>
          </cell>
          <cell r="G144">
            <v>104898.46</v>
          </cell>
          <cell r="H144">
            <v>16001.46</v>
          </cell>
          <cell r="I144">
            <v>88897</v>
          </cell>
        </row>
        <row r="145">
          <cell r="E145" t="str">
            <v>PUN/C/23-24/03</v>
          </cell>
          <cell r="F145" t="str">
            <v>being negative brokerage booked on insurance policies placed in Jun-23.</v>
          </cell>
          <cell r="G145">
            <v>2953.16</v>
          </cell>
          <cell r="H145">
            <v>450.48</v>
          </cell>
          <cell r="I145">
            <v>2502.6799999999998</v>
          </cell>
        </row>
        <row r="146">
          <cell r="E146" t="str">
            <v>BLR/C/23-24/08</v>
          </cell>
          <cell r="F146" t="str">
            <v>being negative reward booked on insurance policies placed in Jun-23. We also declare that our revenue from other than insurance intermidition activities less than fifty percent of our total revenue from all the activities.</v>
          </cell>
          <cell r="G146">
            <v>18.37</v>
          </cell>
          <cell r="H146">
            <v>2.8</v>
          </cell>
          <cell r="I146">
            <v>15.57</v>
          </cell>
        </row>
        <row r="147">
          <cell r="E147" t="str">
            <v>MUM/C/23-24/42</v>
          </cell>
          <cell r="F147" t="str">
            <v>being negative brokerage booked as on insurance policies placed In Jun-23. As amount was revised.</v>
          </cell>
          <cell r="G147">
            <v>464.68</v>
          </cell>
          <cell r="H147">
            <v>70.88</v>
          </cell>
          <cell r="I147">
            <v>393.8</v>
          </cell>
        </row>
        <row r="148">
          <cell r="E148" t="str">
            <v>GGN/C/23-24/47</v>
          </cell>
          <cell r="F148" t="str">
            <v>being negative brokerage booked on insurance policies placed in Jul-23.</v>
          </cell>
          <cell r="G148">
            <v>262.14</v>
          </cell>
          <cell r="H148">
            <v>39.99</v>
          </cell>
          <cell r="I148">
            <v>222.15</v>
          </cell>
        </row>
        <row r="149">
          <cell r="E149" t="str">
            <v>GGN/C/23-24/48</v>
          </cell>
          <cell r="F149" t="str">
            <v>being brokerage booked on insurance policies placed in May-23.</v>
          </cell>
          <cell r="G149">
            <v>5373232.1799999997</v>
          </cell>
          <cell r="H149">
            <v>819645.58</v>
          </cell>
          <cell r="I149">
            <v>4553586.5999999996</v>
          </cell>
        </row>
        <row r="150">
          <cell r="E150" t="str">
            <v>PUN/C/23-24/04</v>
          </cell>
          <cell r="F150" t="str">
            <v>being negative reward booked on insurance policies placed in Apr-23. as wrongly selected the party name. invoice actually pertaining to Bajaj Life.</v>
          </cell>
          <cell r="G150">
            <v>31772.25</v>
          </cell>
          <cell r="H150">
            <v>4846.62</v>
          </cell>
          <cell r="I150">
            <v>26925.63</v>
          </cell>
        </row>
        <row r="151">
          <cell r="E151" t="str">
            <v>BLR/C/23-24/09</v>
          </cell>
          <cell r="F151" t="str">
            <v>being negative brokerage booked on insurance policies placed in Jun-23.As insurer have shared incorrect statement.</v>
          </cell>
          <cell r="G151">
            <v>1268230.54</v>
          </cell>
          <cell r="H151">
            <v>193458.9</v>
          </cell>
          <cell r="I151">
            <v>1074771.6399999999</v>
          </cell>
        </row>
        <row r="152">
          <cell r="E152" t="str">
            <v>CHN/C/23-24/25</v>
          </cell>
          <cell r="F152" t="str">
            <v>being negative brokerage booked on insurance policies placed in Jun-23.As insurer have shared incorrect statement.</v>
          </cell>
          <cell r="G152">
            <v>767.84</v>
          </cell>
          <cell r="H152">
            <v>117.12</v>
          </cell>
          <cell r="I152">
            <v>650.72</v>
          </cell>
        </row>
        <row r="153">
          <cell r="E153" t="str">
            <v>GGN/C/23-24/49</v>
          </cell>
          <cell r="F153" t="str">
            <v>being negative brokerage booked on insurance policies placed in Jun-23.As insurer have shared incorrect statement.</v>
          </cell>
          <cell r="G153">
            <v>12582.81</v>
          </cell>
          <cell r="H153">
            <v>1919.42</v>
          </cell>
          <cell r="I153">
            <v>10663.39</v>
          </cell>
        </row>
        <row r="154">
          <cell r="E154" t="str">
            <v>GGN/C/23-24/50</v>
          </cell>
          <cell r="F154" t="str">
            <v>being negative brokerage booked on insurance policies placed in Jun-23.As insurer have shared incorrect statement.</v>
          </cell>
          <cell r="G154">
            <v>2210255.0099999998</v>
          </cell>
          <cell r="H154">
            <v>337157.54</v>
          </cell>
          <cell r="I154">
            <v>1873097.47</v>
          </cell>
        </row>
        <row r="155">
          <cell r="E155" t="str">
            <v>GGN/C/23-24/51</v>
          </cell>
          <cell r="F155" t="str">
            <v>being negative brokerage booked on insurance policies placed in Jun-23.As insurer have shared incorrect statement.</v>
          </cell>
          <cell r="G155">
            <v>5.4</v>
          </cell>
          <cell r="H155">
            <v>0.82</v>
          </cell>
          <cell r="I155">
            <v>4.58</v>
          </cell>
        </row>
        <row r="156">
          <cell r="E156" t="str">
            <v>GGN/C/23-24/52</v>
          </cell>
          <cell r="F156" t="str">
            <v>being negative brokerage booked on insurance policies placed in Mar-23.as insurer wrongly generated statement.</v>
          </cell>
          <cell r="G156">
            <v>27631.21</v>
          </cell>
          <cell r="H156">
            <v>4214.93</v>
          </cell>
          <cell r="I156">
            <v>23416.28</v>
          </cell>
        </row>
        <row r="157">
          <cell r="E157" t="str">
            <v>MUM/C/23-24/43</v>
          </cell>
          <cell r="F157" t="str">
            <v>being negative brokerage booked on insurance policies placed in Jun-23.As insurer have shared incorrect statement.</v>
          </cell>
          <cell r="G157">
            <v>232468.1</v>
          </cell>
          <cell r="H157">
            <v>35461.24</v>
          </cell>
          <cell r="I157">
            <v>197006.86</v>
          </cell>
        </row>
        <row r="158">
          <cell r="E158" t="str">
            <v>GGN/C/23-24/53</v>
          </cell>
          <cell r="F158" t="str">
            <v>being negative brokerage booked on insurance policies placed in Jul-23.</v>
          </cell>
          <cell r="G158">
            <v>29885.09</v>
          </cell>
          <cell r="H158">
            <v>4558.74</v>
          </cell>
          <cell r="I158">
            <v>25326.35</v>
          </cell>
        </row>
        <row r="159">
          <cell r="E159" t="str">
            <v>MUM/C/23-24/44</v>
          </cell>
          <cell r="F159" t="str">
            <v>being negative brokerage booked on insurance policies placed in Jun-23.</v>
          </cell>
          <cell r="G159">
            <v>690861.34</v>
          </cell>
          <cell r="H159">
            <v>105385.62</v>
          </cell>
          <cell r="I159">
            <v>585475.72</v>
          </cell>
        </row>
        <row r="160">
          <cell r="E160" t="str">
            <v>PUN/C/23-24/05</v>
          </cell>
          <cell r="F160" t="str">
            <v>being negative brokerage booked on insurance policies placed in Aug-22.</v>
          </cell>
          <cell r="G160">
            <v>14602.5</v>
          </cell>
          <cell r="H160">
            <v>2227.5</v>
          </cell>
          <cell r="I160">
            <v>12375</v>
          </cell>
        </row>
        <row r="161">
          <cell r="E161" t="str">
            <v>CHN/C/23-24/26</v>
          </cell>
          <cell r="F161" t="str">
            <v>being negative brokerage booked on insurance policies placed in Jun-23.</v>
          </cell>
          <cell r="G161">
            <v>164713.07</v>
          </cell>
          <cell r="H161">
            <v>25125.72</v>
          </cell>
          <cell r="I161">
            <v>139587.35</v>
          </cell>
        </row>
        <row r="162">
          <cell r="E162" t="str">
            <v>BLR/C/23-24/10</v>
          </cell>
          <cell r="F162" t="str">
            <v>being negative professional fees charged for broking service for period 1st Jan to 31 Dec 2023 Category - B policy Type GMC, GPA, GTL &amp; Top-up (RM Hasan Raza). LUT No:AD2904230236924</v>
          </cell>
          <cell r="G162">
            <v>1100000</v>
          </cell>
          <cell r="I162">
            <v>1100000</v>
          </cell>
        </row>
        <row r="163">
          <cell r="E163" t="str">
            <v>MUM/C/23-24/45</v>
          </cell>
          <cell r="F163" t="str">
            <v>being negative brokerage booked on insurance policies placed in Jun-23 as amount was revised.</v>
          </cell>
          <cell r="G163">
            <v>2708.09</v>
          </cell>
          <cell r="H163">
            <v>413.1</v>
          </cell>
          <cell r="I163">
            <v>2294.9899999999998</v>
          </cell>
        </row>
        <row r="164">
          <cell r="E164" t="str">
            <v>LUD/C/23-24/03</v>
          </cell>
          <cell r="F164" t="str">
            <v>being negative reward booked on insurance policies placed in Jun-23.</v>
          </cell>
          <cell r="G164">
            <v>362.37</v>
          </cell>
          <cell r="H164">
            <v>55.28</v>
          </cell>
          <cell r="I164">
            <v>307.08999999999997</v>
          </cell>
        </row>
        <row r="165">
          <cell r="E165" t="str">
            <v>BLR/C/23-24/11</v>
          </cell>
          <cell r="F165" t="str">
            <v>being negative brokerage booked on insurance policies placed in Jul-23.</v>
          </cell>
          <cell r="G165">
            <v>3374.94</v>
          </cell>
          <cell r="H165">
            <v>514.82000000000005</v>
          </cell>
          <cell r="I165">
            <v>2860.12</v>
          </cell>
        </row>
        <row r="166">
          <cell r="E166" t="str">
            <v>GGN/C/23-24/54</v>
          </cell>
          <cell r="F166" t="str">
            <v>being negative brokerage booked on insurance policies placed in Jul-23.</v>
          </cell>
          <cell r="G166">
            <v>3185.29</v>
          </cell>
          <cell r="H166">
            <v>485.89</v>
          </cell>
          <cell r="I166">
            <v>2699.4</v>
          </cell>
        </row>
        <row r="167">
          <cell r="E167" t="str">
            <v>GGN/C/23-24/55</v>
          </cell>
          <cell r="F167" t="str">
            <v>being negative brokerage booked on insurance policies placed in Jul-23.</v>
          </cell>
          <cell r="G167">
            <v>1882.05</v>
          </cell>
          <cell r="H167">
            <v>287.08999999999997</v>
          </cell>
          <cell r="I167">
            <v>1594.96</v>
          </cell>
        </row>
        <row r="168">
          <cell r="E168" t="str">
            <v>MUM/C/23-24/46</v>
          </cell>
          <cell r="F168" t="str">
            <v>being negative brokerage booked on insurance policies placed in Jul-23.</v>
          </cell>
          <cell r="G168">
            <v>7591.33</v>
          </cell>
          <cell r="H168">
            <v>1158</v>
          </cell>
          <cell r="I168">
            <v>6433.33</v>
          </cell>
        </row>
        <row r="169">
          <cell r="E169" t="str">
            <v>CHN/C/23-24/27</v>
          </cell>
          <cell r="F169" t="str">
            <v>being negative brokerage booked on insurance policies placed in Jul-23 as amount was revised.</v>
          </cell>
          <cell r="G169">
            <v>10769.61</v>
          </cell>
          <cell r="H169">
            <v>1642.82</v>
          </cell>
          <cell r="I169">
            <v>9126.7900000000009</v>
          </cell>
        </row>
        <row r="170">
          <cell r="E170" t="str">
            <v>BLR/C/23-24/12</v>
          </cell>
          <cell r="F170" t="str">
            <v>being negative brokerage booked on inusrance policies placed in Jul-23.</v>
          </cell>
          <cell r="G170">
            <v>87.71</v>
          </cell>
          <cell r="H170">
            <v>13.38</v>
          </cell>
          <cell r="I170">
            <v>74.33</v>
          </cell>
        </row>
        <row r="171">
          <cell r="E171" t="str">
            <v>CHN/C/23-24/28</v>
          </cell>
          <cell r="F171" t="str">
            <v>being negative brokerage booked on insurance policies placed in Jul-23.</v>
          </cell>
          <cell r="G171">
            <v>915.92</v>
          </cell>
          <cell r="H171">
            <v>139.72</v>
          </cell>
          <cell r="I171">
            <v>776.2</v>
          </cell>
        </row>
        <row r="172">
          <cell r="E172" t="str">
            <v>GGN/C/23-24/56</v>
          </cell>
          <cell r="F172" t="str">
            <v>being negative brokerage booked on insurance policies placed in Jul-23.</v>
          </cell>
          <cell r="G172">
            <v>46548.160000000003</v>
          </cell>
          <cell r="H172">
            <v>7100.57</v>
          </cell>
          <cell r="I172">
            <v>39447.589999999997</v>
          </cell>
        </row>
        <row r="173">
          <cell r="E173" t="str">
            <v>MUM/C/23-24/47</v>
          </cell>
          <cell r="F173" t="str">
            <v>being negative brokerage booked on insurance policies placed in Jul-23.</v>
          </cell>
          <cell r="G173">
            <v>24.11</v>
          </cell>
          <cell r="H173">
            <v>3.68</v>
          </cell>
          <cell r="I173">
            <v>20.43</v>
          </cell>
        </row>
        <row r="174">
          <cell r="E174" t="str">
            <v>BLR/C/23-24/13</v>
          </cell>
          <cell r="F174" t="str">
            <v>being negative brokerage booked on insurance policies placed in Jul-23.</v>
          </cell>
          <cell r="G174">
            <v>434.99</v>
          </cell>
          <cell r="H174">
            <v>66.36</v>
          </cell>
          <cell r="I174">
            <v>368.63</v>
          </cell>
        </row>
        <row r="175">
          <cell r="E175" t="str">
            <v>CHN/C/23-24/29</v>
          </cell>
          <cell r="F175" t="str">
            <v>being negative brokerage booked on insurance policies placed in Jul-23.</v>
          </cell>
          <cell r="G175">
            <v>1116.33</v>
          </cell>
          <cell r="H175">
            <v>170.28</v>
          </cell>
          <cell r="I175">
            <v>946.05</v>
          </cell>
        </row>
        <row r="176">
          <cell r="E176" t="str">
            <v>CHN/C/23-24/30</v>
          </cell>
          <cell r="F176" t="str">
            <v>being negative brokerage booked on insurance policies placed in Jul-23.</v>
          </cell>
          <cell r="G176">
            <v>1062.08</v>
          </cell>
          <cell r="H176">
            <v>162.02000000000001</v>
          </cell>
          <cell r="I176">
            <v>900.06</v>
          </cell>
        </row>
        <row r="177">
          <cell r="E177" t="str">
            <v>CHN/C/23-24/31</v>
          </cell>
          <cell r="F177" t="str">
            <v>being negative brokerage booked on insurance policies placed in Jul-23.</v>
          </cell>
          <cell r="G177">
            <v>18.88</v>
          </cell>
          <cell r="H177">
            <v>2.88</v>
          </cell>
          <cell r="I177">
            <v>16</v>
          </cell>
        </row>
        <row r="178">
          <cell r="E178" t="str">
            <v>GGN/C/23-24/57</v>
          </cell>
          <cell r="F178" t="str">
            <v>being negative brokerage booked on insurance policies placed in Jul-23.</v>
          </cell>
          <cell r="G178">
            <v>74784.06</v>
          </cell>
          <cell r="H178">
            <v>11407.74</v>
          </cell>
          <cell r="I178">
            <v>63376.32</v>
          </cell>
        </row>
        <row r="179">
          <cell r="E179" t="str">
            <v>LUD/C/23-24/04</v>
          </cell>
          <cell r="F179" t="str">
            <v>being negative brokerage booked on insurance policies placed in Jul-23.</v>
          </cell>
          <cell r="G179">
            <v>493.84</v>
          </cell>
          <cell r="H179">
            <v>75.34</v>
          </cell>
          <cell r="I179">
            <v>418.5</v>
          </cell>
        </row>
        <row r="180">
          <cell r="E180" t="str">
            <v>MUM/C/23-24/48</v>
          </cell>
          <cell r="F180" t="str">
            <v>being negative brokerage booked on insurance policies placed in Jul-23.</v>
          </cell>
          <cell r="G180">
            <v>6049.21</v>
          </cell>
          <cell r="H180">
            <v>922.76</v>
          </cell>
          <cell r="I180">
            <v>5126.45</v>
          </cell>
        </row>
        <row r="181">
          <cell r="E181" t="str">
            <v>GGN/C/23-24/58</v>
          </cell>
          <cell r="F181" t="str">
            <v>being negative brokerage booked on insurance policies placed in Jul-23.</v>
          </cell>
          <cell r="G181">
            <v>1338.7</v>
          </cell>
          <cell r="H181">
            <v>204.21</v>
          </cell>
          <cell r="I181">
            <v>1134.49</v>
          </cell>
        </row>
        <row r="182">
          <cell r="E182" t="str">
            <v>GGN/C/23-24/59</v>
          </cell>
          <cell r="F182" t="str">
            <v>being negative brokerage booked on insurance policies placed in Jul-23.</v>
          </cell>
          <cell r="G182">
            <v>282.79000000000002</v>
          </cell>
          <cell r="H182">
            <v>43.14</v>
          </cell>
          <cell r="I182">
            <v>239.65</v>
          </cell>
        </row>
        <row r="183">
          <cell r="E183" t="str">
            <v>MUM/C/23-24/49</v>
          </cell>
          <cell r="F183" t="str">
            <v>being negative brokerage booked on insurance policies placed in Jul-23.</v>
          </cell>
          <cell r="G183">
            <v>404.69</v>
          </cell>
          <cell r="H183">
            <v>61.73</v>
          </cell>
          <cell r="I183">
            <v>342.96</v>
          </cell>
        </row>
        <row r="184">
          <cell r="E184" t="str">
            <v>MUM/C/23-24/50</v>
          </cell>
          <cell r="F184" t="str">
            <v>being negative brokerage booked on insurance policies placed in Jul-23 as amount was revised.</v>
          </cell>
          <cell r="G184">
            <v>97698.4</v>
          </cell>
          <cell r="H184">
            <v>14903.14</v>
          </cell>
          <cell r="I184">
            <v>82795.259999999995</v>
          </cell>
        </row>
        <row r="185">
          <cell r="E185" t="str">
            <v>CHN/C/23-24/32</v>
          </cell>
          <cell r="F185" t="str">
            <v>being negative brokerage booked on insurance poliices placed in Jul-23 against CHN/22-23/520	27-Mar-23.</v>
          </cell>
          <cell r="G185">
            <v>742.87</v>
          </cell>
          <cell r="H185">
            <v>113.32</v>
          </cell>
          <cell r="I185">
            <v>629.54999999999995</v>
          </cell>
        </row>
        <row r="186">
          <cell r="E186" t="str">
            <v>GGN/C/23-24/60</v>
          </cell>
          <cell r="F186" t="str">
            <v>being negative brokerage booked on insurance policies placed in Jul-23. Against GGN/23-24/70  21-Apr-23.</v>
          </cell>
          <cell r="G186">
            <v>57.45</v>
          </cell>
          <cell r="H186">
            <v>8.76</v>
          </cell>
          <cell r="I186">
            <v>48.69</v>
          </cell>
        </row>
        <row r="187">
          <cell r="E187" t="str">
            <v>HYD/C/23-24/10</v>
          </cell>
          <cell r="F187" t="str">
            <v>being negative brokerage booked on insurance policies placed in Jul-23 against HYD/22-23/247	27-Mar-23.</v>
          </cell>
          <cell r="G187">
            <v>65218.6</v>
          </cell>
          <cell r="H187">
            <v>9948.6</v>
          </cell>
          <cell r="I187">
            <v>55270</v>
          </cell>
        </row>
        <row r="188">
          <cell r="E188" t="str">
            <v>MUM/C/23-24/51</v>
          </cell>
          <cell r="F188" t="str">
            <v>being negative reward booked on insurance policies placed in Jul-23 against MUM/23-24/577	16-Jul-23.</v>
          </cell>
          <cell r="G188">
            <v>19307.77</v>
          </cell>
          <cell r="H188">
            <v>2945.26</v>
          </cell>
          <cell r="I188">
            <v>16362.51</v>
          </cell>
        </row>
        <row r="189">
          <cell r="E189" t="str">
            <v>MUM/C/23-24/52</v>
          </cell>
          <cell r="F189" t="str">
            <v>being negative brokerage booked on insurance policies placed in Jun-23 as amount was revisied.</v>
          </cell>
          <cell r="G189">
            <v>19917896.18</v>
          </cell>
          <cell r="H189">
            <v>3038323.14</v>
          </cell>
          <cell r="I189">
            <v>16879573.039999999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udent-Rushiraj Rohidas Sawant" refreshedDate="45162.517745949073" createdVersion="8" refreshedVersion="8" minRefreshableVersion="3" recordCount="1677" xr:uid="{BAB8601E-FC25-4082-A414-F690BFD6852B}">
  <cacheSource type="worksheet">
    <worksheetSource ref="A1:AC436" sheet="Data"/>
  </cacheSource>
  <cacheFields count="29">
    <cacheField name="Month" numFmtId="0">
      <sharedItems count="4">
        <s v="Apr'23"/>
        <s v="May'23"/>
        <s v="Jun'23"/>
        <s v="Jul'23"/>
      </sharedItems>
    </cacheField>
    <cacheField name="Statement Tupe" numFmtId="0">
      <sharedItems containsBlank="1"/>
    </cacheField>
    <cacheField name="Office Code" numFmtId="0">
      <sharedItems containsString="0" containsBlank="1" containsNumber="1" containsInteger="1" minValue="111200" maxValue="540000"/>
    </cacheField>
    <cacheField name="Operating Office" numFmtId="0">
      <sharedItems containsBlank="1"/>
    </cacheField>
    <cacheField name="Unique Ref No" numFmtId="0">
      <sharedItems/>
    </cacheField>
    <cacheField name="Policy Number" numFmtId="0">
      <sharedItems/>
    </cacheField>
    <cacheField name="Endorsement Number" numFmtId="0">
      <sharedItems containsString="0" containsBlank="1" containsNumber="1" containsInteger="1" minValue="0" maxValue="25"/>
    </cacheField>
    <cacheField name="Policy Holder Name" numFmtId="0">
      <sharedItems containsBlank="1"/>
    </cacheField>
    <cacheField name="Effective Start Date" numFmtId="0">
      <sharedItems containsNonDate="0" containsDate="1" containsString="0" containsBlank="1" minDate="2018-01-06T00:00:00" maxDate="2023-08-15T00:00:00"/>
    </cacheField>
    <cacheField name="Policy Expiry Date" numFmtId="0">
      <sharedItems containsNonDate="0" containsDate="1" containsString="0" containsBlank="1" minDate="2022-09-01T00:00:00" maxDate="2026-01-07T00:00:00"/>
    </cacheField>
    <cacheField name="Product Code" numFmtId="0">
      <sharedItems containsBlank="1"/>
    </cacheField>
    <cacheField name="Lob Description" numFmtId="0">
      <sharedItems containsBlank="1"/>
    </cacheField>
    <cacheField name="Premium" numFmtId="0">
      <sharedItems containsSemiMixedTypes="0" containsString="0" containsNumber="1" minValue="-4650000" maxValue="85205702"/>
    </cacheField>
    <cacheField name="Brock %" numFmtId="0">
      <sharedItems containsMixedTypes="1" containsNumber="1" minValue="-5.5" maxValue="30.004277159965785"/>
    </cacheField>
    <cacheField name="Commission" numFmtId="0">
      <sharedItems containsSemiMixedTypes="0" containsString="0" containsNumber="1" minValue="-846626.36" maxValue="9798653"/>
    </cacheField>
    <cacheField name="PIBL" numFmtId="0">
      <sharedItems/>
    </cacheField>
    <cacheField name="CN" numFmtId="0">
      <sharedItems containsMixedTypes="1" containsNumber="1" containsInteger="1" minValue="0" maxValue="445823"/>
    </cacheField>
    <cacheField name="Inst" numFmtId="0">
      <sharedItems containsMixedTypes="1" containsNumber="1" containsInteger="1" minValue="0" maxValue="0"/>
    </cacheField>
    <cacheField name="Name for Updation" numFmtId="0">
      <sharedItems containsBlank="1"/>
    </cacheField>
    <cacheField name="HOD" numFmtId="0">
      <sharedItems/>
    </cacheField>
    <cacheField name="CSC" numFmtId="0">
      <sharedItems/>
    </cacheField>
    <cacheField name="Invoice No" numFmtId="0">
      <sharedItems count="130">
        <s v="BLR/23-24/64"/>
        <s v="BLR/23-24/62"/>
        <s v="BLR/23-24/63"/>
        <s v="BLR/23-24/65"/>
        <s v="GGN/23-24/137"/>
        <s v="GGN/23-24/129"/>
        <s v="GGN/23-24/132"/>
        <s v="GGN/23-24/136"/>
        <s v="GGN/23-24/135"/>
        <s v="PUN/23-24/20"/>
        <s v="GGN/23-24/133"/>
        <s v="MUM/23-24/181"/>
        <s v="GGN/23-24/134"/>
        <s v="GGN/23-24/130"/>
        <s v="GGN/23-24/128"/>
        <s v="LUD/23-24/17"/>
        <s v="HYD/C/23-24/06"/>
        <s v="GGN/23-24/131"/>
        <s v="LUD/23-24/16"/>
        <s v="MUM/23-24/187"/>
        <s v="LUD/23-24/18"/>
        <s v="MUM/23-24/185"/>
        <s v="PUN/23-24/18"/>
        <s v="LUD/C/23-24/01"/>
        <s v="CHN/23-24/49"/>
        <s v="MUM/23-24/180"/>
        <s v="MUM/23-24/182"/>
        <s v="MUM/23-24/186"/>
        <s v="MUM/23-24/179"/>
        <s v="PUN/23-24/19"/>
        <s v="MUM/23-24/183"/>
        <s v="CHN/23-24/44"/>
        <s v="CHN/23-24/46"/>
        <s v="CHN/23-24/47"/>
        <s v="CHN/23-24/45"/>
        <s v="CHN/23-24/48"/>
        <s v="CHN/C/23-24/11"/>
        <s v="MUM/23-24/184"/>
        <s v="PUN/23-24/17"/>
        <s v="GGN/23-24/172"/>
        <s v="GGN/23-24/217"/>
        <s v="GGN/23-24/223"/>
        <s v="BLR/23-24/101"/>
        <s v="PUN/23-24/27"/>
        <s v="GGN/23-24/218"/>
        <s v="GGN/23-24/221"/>
        <s v="GGN/23-24/224"/>
        <s v="BLR/23-24/102"/>
        <s v="CHN/23-24/67"/>
        <s v="GGN/23-24/219"/>
        <s v="BLR/23-24/100"/>
        <s v="GGN/23-24/216"/>
        <s v="BLR/23-24/103"/>
        <s v="GGN/23-24/225"/>
        <s v="HYD/23-24/39"/>
        <s v="Invoice not raise, 0 commission"/>
        <s v="CHN/23-24/66"/>
        <s v="MUM/23-24/318"/>
        <s v="GGN/23-24/222"/>
        <s v="LUD/23-24/29"/>
        <s v="LUD/23-24/30"/>
        <s v="CHN/23-24/64"/>
        <s v="BLR/23-24/104"/>
        <s v="CHN/C/23-24/14"/>
        <s v="MUM/23-24/320"/>
        <s v="GGN/23-24/227"/>
        <s v="MUM/23-24/321"/>
        <s v="MUM/23-24/317"/>
        <s v="HYD/23-24/40"/>
        <s v="CHN/23-24/65"/>
        <s v="GGN/23-24/226"/>
        <s v="CHN/23-24/63"/>
        <s v="MUM/23-24/319"/>
        <s v="LUD/23-24/28"/>
        <s v="BLR/C/23-24/04"/>
        <s v="GGN/23-24/220"/>
        <s v="GGN/23-24/383"/>
        <s v="GGN/23-24/384"/>
        <s v="BLR/23-24/183"/>
        <s v="GGN/23-24/381"/>
        <s v="MUM/C/23-24/41"/>
        <s v="GGN/23-24/378"/>
        <s v="GGN/23-24/377"/>
        <s v="PUN/23-24/49"/>
        <s v="GGN/23-24/379"/>
        <s v="BLR/23-24/173"/>
        <s v="MUM/23-24/568"/>
        <s v="GGN/23-24/382"/>
        <s v="CHN/23-24/123"/>
        <s v="Invoice in process"/>
        <s v="PUN/C/23-24/03"/>
        <s v="CHN/23-24/125"/>
        <s v="CHN/23-24/126"/>
        <s v="HYD/23-24/73"/>
        <s v="CHN/23-24/127"/>
        <s v="BLR/23-24/172"/>
        <s v="MUM/23-24/569"/>
        <s v="CHN/23-24/124"/>
        <s v="CHN/C/23-24/24"/>
        <s v="MUM/23-24/570"/>
        <s v="MUM/23-24/571"/>
        <s v="PUN/23-24/50"/>
        <s v="LUD/23-24/47"/>
        <s v="BLR/C/23-24/07"/>
        <s v="MUM/23-24/567"/>
        <s v="LUD/23-24/46"/>
        <s v="BLR/23-24/174"/>
        <s v="CHN/23-24/122"/>
        <s v="PUN/23-24/34"/>
        <s v="MUM/23-24/632"/>
        <s v="GGN/C/23-24/57"/>
        <s v="GGN/23-24/431"/>
        <s v="CHN/C/23-24/30"/>
        <s v="MUM/23-24/713"/>
        <s v="BLR/C/23-24/13"/>
        <s v="PUN/23-24/58"/>
        <s v="GGN/23-24/434"/>
        <s v="BLR/23-24/204"/>
        <s v="GGN/23-24/436"/>
        <s v="GGN/23-24/433"/>
        <s v="HYD/23-24/84"/>
        <s v="MUM/23-24/709"/>
        <s v="GGN/23-24/432"/>
        <s v="BLR/23-24/205"/>
        <s v="CHN/C/23-24/31"/>
        <s v="CHN/23-24/148"/>
        <s v="BLR/23-24/206"/>
        <s v="MUM/23-24/708"/>
        <s v="PUN/23-24/59"/>
        <s v="PUN/23-24/57"/>
      </sharedItems>
    </cacheField>
    <cacheField name="Bill ID" numFmtId="0">
      <sharedItems containsMixedTypes="1" containsNumber="1" containsInteger="1" minValue="665" maxValue="3398"/>
    </cacheField>
    <cacheField name="Allocated Person" numFmtId="0">
      <sharedItems/>
    </cacheField>
    <cacheField name="RFQ status(Yes/No)" numFmtId="0">
      <sharedItems containsBlank="1" containsMixedTypes="1" containsNumber="1" containsInteger="1" minValue="213155" maxValue="221702"/>
    </cacheField>
    <cacheField name="RFQ No" numFmtId="0">
      <sharedItems containsBlank="1" containsMixedTypes="1" containsNumber="1" containsInteger="1" minValue="169909" maxValue="215084"/>
    </cacheField>
    <cacheField name="Modification remarks" numFmtId="0">
      <sharedItems containsBlank="1"/>
    </cacheField>
    <cacheField name=" Remarks" numFmtId="0">
      <sharedItems containsBlank="1"/>
    </cacheField>
    <cacheField name="Sach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7">
  <r>
    <x v="0"/>
    <m/>
    <n v="421300"/>
    <s v="DO 3 BANGALORE"/>
    <s v="OIC/23-24/001"/>
    <s v="421300/48/2023/522"/>
    <n v="15"/>
    <s v="ADOR FONTECH LIMITED"/>
    <d v="2022-04-24T00:00:00"/>
    <d v="2023-04-23T00:00:00"/>
    <s v="MIST-PRD-890"/>
    <s v="GROUP MEDICLAIM -TAILORMADE-RISK FLOATER"/>
    <n v="-10230"/>
    <n v="7.5"/>
    <n v="-767.25"/>
    <s v="Bangalore"/>
    <n v="386354"/>
    <s v="E13"/>
    <s v="Dilish"/>
    <s v="Suspense"/>
    <s v="Sagar Khartmal"/>
    <x v="0"/>
    <n v="852"/>
    <s v="Dilish"/>
    <m/>
    <m/>
    <m/>
    <s v="Done"/>
    <s v="Updation done"/>
  </r>
  <r>
    <x v="0"/>
    <m/>
    <n v="421300"/>
    <s v="DO 3 BANGALORE"/>
    <s v="OIC/23-24/002"/>
    <s v="421300/48/2023/680"/>
    <n v="3"/>
    <s v="AITECH INNOVATIONS INDIA PRIVATE LIMITED"/>
    <d v="2022-06-13T00:00:00"/>
    <d v="2023-06-12T00:00:00"/>
    <s v="MIST-PRD-001"/>
    <s v="GPA - NAMED"/>
    <n v="-324"/>
    <n v="7.5"/>
    <n v="-24.3"/>
    <s v="Bangalore"/>
    <n v="427091"/>
    <s v="E1"/>
    <s v="Dilish"/>
    <s v="Suspense"/>
    <s v="Aravind Kumar K"/>
    <x v="0"/>
    <n v="852"/>
    <s v="Dilish"/>
    <m/>
    <m/>
    <m/>
    <s v="Done"/>
    <s v="Updation done"/>
  </r>
  <r>
    <x v="0"/>
    <m/>
    <n v="421300"/>
    <s v="DO 3 BANGALORE"/>
    <s v="OIC/23-24/003"/>
    <s v="421300/48/2023/1150"/>
    <n v="2"/>
    <s v="ATRIA CONVERGENCE TECHNOLOGIES LIMITED"/>
    <d v="2022-12-01T00:00:00"/>
    <d v="2023-11-30T00:00:00"/>
    <s v="MIST-PRD-001"/>
    <s v="GPA - NAMED"/>
    <n v="22"/>
    <n v="4.5454545454545459"/>
    <n v="1"/>
    <s v="Bangalore"/>
    <n v="414345"/>
    <s v="E2"/>
    <s v="Dilish"/>
    <s v="Suspense"/>
    <s v="Vinod Kumar Heggadadevanapura Thammaiah"/>
    <x v="0"/>
    <n v="852"/>
    <s v="Dilish"/>
    <m/>
    <m/>
    <m/>
    <s v="Done"/>
    <s v="Updation done"/>
  </r>
  <r>
    <x v="0"/>
    <m/>
    <n v="421300"/>
    <s v="DO 3 BANGALORE"/>
    <s v="OIC/23-24/004"/>
    <s v="421300/48/2023/1150"/>
    <n v="3"/>
    <s v="ATRIA CONVERGENCE TECHNOLOGIES LIMITED"/>
    <d v="2022-12-01T00:00:00"/>
    <d v="2023-11-30T00:00:00"/>
    <s v="MIST-PRD-001"/>
    <s v="GPA - NAMED"/>
    <n v="21"/>
    <n v="9.5238095238095237"/>
    <n v="2"/>
    <s v="Bangalore"/>
    <n v="414345"/>
    <s v="E3"/>
    <s v="Dilish"/>
    <s v="Suspense"/>
    <s v="Vinod Kumar Heggadadevanapura Thammaiah"/>
    <x v="0"/>
    <n v="852"/>
    <s v="Dilish"/>
    <m/>
    <m/>
    <m/>
    <s v="Done"/>
    <s v="Updation done"/>
  </r>
  <r>
    <x v="0"/>
    <m/>
    <n v="421300"/>
    <s v="DO 3 BANGALORE"/>
    <s v="OIC/23-24/005"/>
    <s v="421300/48/2023/1166"/>
    <n v="3"/>
    <s v="ATRIA CONVERGENCE TECHNOLOGIES LIMITED"/>
    <d v="2022-12-01T00:00:00"/>
    <d v="2023-11-30T00:00:00"/>
    <s v="MIST-PRD-890"/>
    <s v="GROUP MEDICLAIM -TAILORMADE-RISK FLOATER"/>
    <n v="918"/>
    <n v="7.4999999999999991"/>
    <n v="68.849999999999994"/>
    <s v="Bangalore"/>
    <n v="414344"/>
    <s v="E4"/>
    <s v="Dilish"/>
    <s v="Suspense"/>
    <s v="Vinod Kumar Heggadadevanapura Thammaiah"/>
    <x v="0"/>
    <n v="852"/>
    <s v="Dilish"/>
    <m/>
    <m/>
    <m/>
    <m/>
    <s v="Updation done"/>
  </r>
  <r>
    <x v="0"/>
    <m/>
    <n v="421300"/>
    <s v="DO 3 BANGALORE"/>
    <s v="OIC/23-24/006"/>
    <s v="421300/48/2023/1166"/>
    <n v="4"/>
    <s v="ATRIA CONVERGENCE TECHNOLOGIES LIMITED"/>
    <d v="2022-12-01T00:00:00"/>
    <d v="2023-11-30T00:00:00"/>
    <s v="MIST-PRD-890"/>
    <s v="GROUP MEDICLAIM -TAILORMADE-RISK FLOATER"/>
    <n v="845"/>
    <n v="7.5005917159763316"/>
    <n v="63.38"/>
    <s v="Bangalore"/>
    <n v="414344"/>
    <s v="E3"/>
    <s v="Dilish"/>
    <s v="Suspense"/>
    <s v="Vinod Kumar Heggadadevanapura Thammaiah"/>
    <x v="0"/>
    <n v="852"/>
    <s v="Dilish"/>
    <m/>
    <m/>
    <m/>
    <s v="Done"/>
    <s v="Updation done"/>
  </r>
  <r>
    <x v="0"/>
    <m/>
    <n v="421300"/>
    <s v="DO 3 BANGALORE"/>
    <s v="OIC/23-24/007"/>
    <s v="421300/48/2023/460"/>
    <n v="7"/>
    <s v="ATRIA CONVERGENCE TECHNOLOGIES LIMITED"/>
    <d v="2022-05-04T00:00:00"/>
    <d v="2023-05-03T00:00:00"/>
    <s v="MIST-PRD-001"/>
    <s v="GPA - NAMED"/>
    <n v="234"/>
    <n v="7.2649572649572649"/>
    <n v="17"/>
    <s v="Bangalore"/>
    <n v="389831"/>
    <s v="E3"/>
    <s v="Dilish"/>
    <s v="Suspense"/>
    <s v="Vinod Kumar Heggadadevanapura Thammaiah"/>
    <x v="0"/>
    <n v="852"/>
    <s v="Dilish"/>
    <m/>
    <m/>
    <m/>
    <s v="Done"/>
    <s v="Updation done"/>
  </r>
  <r>
    <x v="0"/>
    <m/>
    <n v="421300"/>
    <s v="DO 3 BANGALORE"/>
    <s v="OIC/23-24/008"/>
    <s v="421300/48/2023/539"/>
    <n v="16"/>
    <s v="ATRIA CONVERGENCE TECHNOLOGIES LIMITED"/>
    <d v="2022-05-04T00:00:00"/>
    <d v="2023-05-03T00:00:00"/>
    <s v="MIST-PRD-890"/>
    <s v="GROUP MEDICLAIM -TAILORMADE-RISK FLOATER"/>
    <n v="85122"/>
    <n v="7"/>
    <n v="5958.54"/>
    <s v="Bangalore"/>
    <n v="389830"/>
    <s v="E4"/>
    <s v="Dilish"/>
    <s v="Suspense"/>
    <s v="Vinod Kumar Heggadadevanapura Thammaiah"/>
    <x v="0"/>
    <n v="852"/>
    <s v="Dilish"/>
    <m/>
    <m/>
    <m/>
    <m/>
    <s v="Updation done"/>
  </r>
  <r>
    <x v="0"/>
    <m/>
    <n v="421300"/>
    <s v="DO 3 BANGALORE"/>
    <s v="OIC/23-24/009"/>
    <s v="421300/48/2023/928"/>
    <n v="4"/>
    <s v="ATRIA CONVERGENCE TECHNOLOGIES LIMITED"/>
    <d v="2022-09-03T00:00:00"/>
    <d v="2023-09-02T00:00:00"/>
    <s v="MIST-PRD-890"/>
    <s v="GROUP MEDICLAIM -TAILORMADE-RISK FLOATER"/>
    <n v="7915"/>
    <n v="5"/>
    <n v="395.75"/>
    <s v="Bangalore"/>
    <n v="401739"/>
    <s v="E3"/>
    <s v="Dilish"/>
    <s v="Suspense"/>
    <s v="Vinod Kumar Heggadadevanapura Thammaiah"/>
    <x v="0"/>
    <n v="852"/>
    <s v="Dilish"/>
    <m/>
    <m/>
    <m/>
    <s v="Done"/>
    <s v="Updation done"/>
  </r>
  <r>
    <x v="0"/>
    <m/>
    <n v="421300"/>
    <s v="DO 3 BANGALORE"/>
    <s v="OIC/23-24/010"/>
    <s v="421300/48/2023/928"/>
    <n v="5"/>
    <s v="ATRIA CONVERGENCE TECHNOLOGIES LIMITED"/>
    <d v="2022-09-03T00:00:00"/>
    <d v="2023-09-02T00:00:00"/>
    <s v="MIST-PRD-890"/>
    <s v="GROUP MEDICLAIM -TAILORMADE-RISK FLOATER"/>
    <n v="-4938"/>
    <n v="5"/>
    <n v="-246.9"/>
    <s v="Bangalore"/>
    <n v="401739"/>
    <s v="E4"/>
    <s v="Dilish"/>
    <s v="Suspense"/>
    <s v="Vinod Kumar Heggadadevanapura Thammaiah"/>
    <x v="0"/>
    <n v="852"/>
    <s v="Dilish"/>
    <m/>
    <m/>
    <m/>
    <s v="Done"/>
    <s v="Updation done"/>
  </r>
  <r>
    <x v="0"/>
    <m/>
    <n v="421300"/>
    <s v="DO 3 BANGALORE"/>
    <s v="OIC/23-24/011"/>
    <s v="421300/48/2023/753"/>
    <n v="7"/>
    <s v="AUMA INDIA PRIVATE LIMITED"/>
    <d v="2022-08-10T00:00:00"/>
    <d v="2023-08-09T00:00:00"/>
    <s v="MIST-PRD-890"/>
    <s v="GROUP MEDICLAIM -TAILORMADE-RISK FLOATER"/>
    <n v="45826"/>
    <n v="7"/>
    <n v="3207.82"/>
    <s v="Bangalore"/>
    <n v="423936"/>
    <s v="E1"/>
    <s v="Dilish"/>
    <s v="Suspense"/>
    <s v="Karthik Rajappa"/>
    <x v="0"/>
    <n v="852"/>
    <s v="Dilish"/>
    <m/>
    <m/>
    <m/>
    <m/>
    <s v="Updation done"/>
  </r>
  <r>
    <x v="0"/>
    <m/>
    <n v="421300"/>
    <s v="DO 3 BANGALORE"/>
    <s v="OIC/23-24/012"/>
    <s v="421300/48/2023/967"/>
    <n v="8"/>
    <s v="CIMS HOSPITAL PRIVATE LIMITED"/>
    <d v="2022-06-04T00:00:00"/>
    <d v="2023-06-03T00:00:00"/>
    <s v="MIST-PRD-890"/>
    <s v="GROUP MEDICLAIM -TAILORMADE-RISK FLOATER"/>
    <n v="131711"/>
    <n v="7"/>
    <n v="9219.77"/>
    <s v="Bangalore"/>
    <n v="406954"/>
    <s v="NE"/>
    <s v="Dilish"/>
    <s v="Suspense"/>
    <s v="Sarfuddin Ansari"/>
    <x v="0"/>
    <n v="852"/>
    <s v="Dilish"/>
    <m/>
    <m/>
    <m/>
    <m/>
    <s v="NE"/>
  </r>
  <r>
    <x v="0"/>
    <m/>
    <n v="421300"/>
    <s v="DO 3 BANGALORE"/>
    <s v="OIC/23-24/013"/>
    <s v="421300/48/2023/967"/>
    <n v="9"/>
    <s v="CIMS HOSPITAL PRIVATE LIMITED"/>
    <d v="2022-06-04T00:00:00"/>
    <d v="2023-06-03T00:00:00"/>
    <s v="MIST-PRD-890"/>
    <s v="GROUP MEDICLAIM -TAILORMADE-RISK FLOATER"/>
    <n v="147"/>
    <n v="7"/>
    <n v="10.29"/>
    <s v="Bangalore"/>
    <n v="406954"/>
    <s v="NE"/>
    <s v="Dilish"/>
    <s v="Suspense"/>
    <s v="Sarfuddin Ansari"/>
    <x v="0"/>
    <n v="852"/>
    <s v="Dilish"/>
    <m/>
    <m/>
    <m/>
    <m/>
    <s v="NE"/>
  </r>
  <r>
    <x v="0"/>
    <m/>
    <n v="421300"/>
    <s v="DO 3 BANGALORE"/>
    <s v="OIC/23-24/014"/>
    <s v="421300/48/2023/1317"/>
    <n v="2"/>
    <s v="CREATIVE SYNERGIES CONSULTING INDIA PVT LTD"/>
    <d v="2023-02-07T00:00:00"/>
    <d v="2024-02-06T00:00:00"/>
    <s v="MIST-PRD-001"/>
    <s v="GPA - NAMED"/>
    <n v="90"/>
    <n v="7.7777777777777777"/>
    <n v="7"/>
    <s v="Bangalore"/>
    <n v="418819"/>
    <s v="E3"/>
    <s v="Dilish"/>
    <s v="Suspense"/>
    <s v="Aiyappa Parivaranayaka Mahadeva"/>
    <x v="0"/>
    <n v="852"/>
    <s v="Dilish"/>
    <m/>
    <m/>
    <m/>
    <m/>
    <s v="Updation done in saiba"/>
  </r>
  <r>
    <x v="0"/>
    <m/>
    <n v="421300"/>
    <s v="DO 3 BANGALORE"/>
    <s v="OIC/23-24/015"/>
    <s v="421300/48/2023/1317"/>
    <n v="3"/>
    <s v="CREATIVE SYNERGIES CONSULTING INDIA PVT LTD"/>
    <d v="2023-02-07T00:00:00"/>
    <d v="2024-02-06T00:00:00"/>
    <s v="MIST-PRD-001"/>
    <s v="GPA - NAMED"/>
    <n v="4715"/>
    <n v="7.4867444326617179"/>
    <n v="353"/>
    <s v="Bangalore"/>
    <n v="418819"/>
    <s v="E2"/>
    <s v="Dilish"/>
    <s v="Suspense"/>
    <s v="Aiyappa Parivaranayaka Mahadeva"/>
    <x v="0"/>
    <n v="852"/>
    <s v="Dilish"/>
    <m/>
    <m/>
    <m/>
    <m/>
    <s v="Updation done in saiba"/>
  </r>
  <r>
    <x v="0"/>
    <m/>
    <n v="421300"/>
    <s v="DO 3 BANGALORE"/>
    <s v="OIC/23-24/016"/>
    <s v="421300/48/2023/1352"/>
    <n v="1"/>
    <s v="CREATIVE SYNERGIES CONSULTING INDIA PVT LTD"/>
    <d v="2022-11-25T00:00:00"/>
    <d v="2023-11-24T00:00:00"/>
    <s v="MIST-PRD-890"/>
    <s v="GROUP MEDICLAIM -TAILORMADE-RISK FLOATER"/>
    <n v="444385"/>
    <n v="4.0000000000000009"/>
    <n v="17775.400000000001"/>
    <s v="Bangalore"/>
    <n v="430789"/>
    <s v="E3"/>
    <s v="Dilish"/>
    <s v="Suspense"/>
    <s v="Aiyappa Parivaranayaka Mahadeva"/>
    <x v="0"/>
    <n v="852"/>
    <s v="Dilish"/>
    <m/>
    <m/>
    <m/>
    <m/>
    <s v="Updation done"/>
  </r>
  <r>
    <x v="0"/>
    <m/>
    <n v="421300"/>
    <s v="DO 3 BANGALORE"/>
    <s v="OIC/23-24/017"/>
    <s v="421300/48/2023/1352"/>
    <n v="2"/>
    <s v="CREATIVE SYNERGIES CONSULTING INDIA PVT LTD"/>
    <d v="2022-11-25T00:00:00"/>
    <d v="2023-11-24T00:00:00"/>
    <s v="MIST-PRD-890"/>
    <s v="GROUP MEDICLAIM -TAILORMADE-RISK FLOATER"/>
    <n v="50000"/>
    <n v="4"/>
    <n v="2000"/>
    <s v="Bangalore"/>
    <n v="430789"/>
    <s v="E4"/>
    <s v="Dilish"/>
    <s v="Suspense"/>
    <s v="Aiyappa Parivaranayaka Mahadeva"/>
    <x v="0"/>
    <n v="852"/>
    <s v="Dilish"/>
    <m/>
    <m/>
    <m/>
    <m/>
    <s v="Updation done"/>
  </r>
  <r>
    <x v="0"/>
    <m/>
    <n v="421300"/>
    <s v="DO 3 BANGALORE"/>
    <s v="OIC/23-24/018"/>
    <s v="421300/48/2023/1353"/>
    <n v="1"/>
    <s v="CREATIVE SYNERGIES CONSULTING INDIA PVT LTD"/>
    <d v="2022-11-25T00:00:00"/>
    <d v="2023-11-24T00:00:00"/>
    <s v="MIST-PRD-890"/>
    <s v="GROUP MEDICLAIM -TAILORMADE-RISK FLOATER"/>
    <n v="72960"/>
    <n v="4"/>
    <n v="2918.4"/>
    <s v="Bangalore"/>
    <n v="430778"/>
    <s v="E1"/>
    <s v="Dilish"/>
    <s v="Suspense"/>
    <s v="Aiyappa Parivaranayaka Mahadeva"/>
    <x v="0"/>
    <n v="852"/>
    <s v="Dilish"/>
    <m/>
    <m/>
    <m/>
    <m/>
    <s v="Updation done"/>
  </r>
  <r>
    <x v="0"/>
    <m/>
    <n v="421300"/>
    <s v="DO 3 BANGALORE"/>
    <s v="OIC/23-24/019"/>
    <s v="421300/48/2023/1353"/>
    <n v="2"/>
    <s v="CREATIVE SYNERGIES CONSULTING INDIA PVT LTD"/>
    <d v="2022-11-25T00:00:00"/>
    <d v="2023-11-24T00:00:00"/>
    <s v="MIST-PRD-890"/>
    <s v="GROUP MEDICLAIM -TAILORMADE-RISK FLOATER"/>
    <n v="50000"/>
    <n v="4"/>
    <n v="2000"/>
    <s v="Bangalore"/>
    <n v="430778"/>
    <s v="E1"/>
    <s v="Dilish"/>
    <s v="Suspense"/>
    <s v="Aiyappa Parivaranayaka Mahadeva"/>
    <x v="0"/>
    <n v="852"/>
    <s v="Dilish"/>
    <m/>
    <m/>
    <m/>
    <m/>
    <s v="Updation done"/>
  </r>
  <r>
    <x v="0"/>
    <m/>
    <n v="421300"/>
    <s v="DO 3 BANGALORE"/>
    <s v="OIC/23-24/020"/>
    <s v="421300/48/2023/620"/>
    <n v="12"/>
    <s v="ECOM EXPRESS PRIVATE LIMITED"/>
    <d v="2022-05-04T00:00:00"/>
    <d v="2023-05-03T00:00:00"/>
    <s v="MIST-PRD-890"/>
    <s v="GROUP MEDICLAIM -TAILORMADE-RISK FLOATER"/>
    <n v="164020"/>
    <n v="0"/>
    <n v="0"/>
    <s v="Bangalore"/>
    <n v="396387"/>
    <s v="NE"/>
    <s v="Dilish"/>
    <s v="Suspense"/>
    <s v="Ashish Saxena"/>
    <x v="0"/>
    <n v="852"/>
    <s v="Dilish"/>
    <m/>
    <m/>
    <m/>
    <m/>
    <s v="NE"/>
  </r>
  <r>
    <x v="0"/>
    <m/>
    <n v="421300"/>
    <s v="DO 3 BANGALORE"/>
    <s v="OIC/23-24/021"/>
    <s v="421300/48/2023/789"/>
    <n v="9"/>
    <s v="ETC MANAGEMENT SERVICES INDIA PRIVATE LIMITED"/>
    <d v="2022-08-06T00:00:00"/>
    <d v="2023-08-05T00:00:00"/>
    <s v="MIST-PRD-890"/>
    <s v="GROUP MEDICLAIM -TAILORMADE-RISK FLOATER"/>
    <n v="-11730"/>
    <n v="5"/>
    <n v="-586.5"/>
    <s v="Bangalore"/>
    <n v="400929"/>
    <s v="E3"/>
    <s v="Dilish"/>
    <s v="Suspense"/>
    <s v="Poorvi Kullegowda"/>
    <x v="0"/>
    <n v="852"/>
    <s v="Dilish"/>
    <m/>
    <m/>
    <m/>
    <s v="Done"/>
    <s v="Updation done"/>
  </r>
  <r>
    <x v="0"/>
    <m/>
    <n v="421300"/>
    <s v="DO 3 BANGALORE"/>
    <s v="OIC/23-24/022"/>
    <s v="421300/48/2023/1267"/>
    <n v="1"/>
    <s v="FRESHALICIOUS SUPER BAZAAR PRIVATE LIMITED"/>
    <d v="2022-12-24T00:00:00"/>
    <d v="2023-12-23T00:00:00"/>
    <s v="MIST-PRD-001"/>
    <s v="GPA - NAMED"/>
    <n v="6190"/>
    <n v="7.4959612277867524"/>
    <n v="464"/>
    <s v="Bangalore"/>
    <s v="NE"/>
    <s v=" "/>
    <s v="Dilish"/>
    <s v="Suspense"/>
    <s v="Suspense"/>
    <x v="0"/>
    <n v="852"/>
    <s v="Dilish"/>
    <s v="No"/>
    <m/>
    <m/>
    <m/>
    <s v="NE"/>
  </r>
  <r>
    <x v="0"/>
    <m/>
    <n v="421300"/>
    <s v="DO 3 BANGALORE"/>
    <s v="OIC/23-24/023"/>
    <s v="421300/48/2023/1354"/>
    <n v="2"/>
    <s v="FRESHALICIOUS SUPER BAZAAR PRIVATE LIMITED"/>
    <d v="2022-12-15T00:00:00"/>
    <d v="2023-12-14T00:00:00"/>
    <s v="MIST-PRD-890"/>
    <s v="GROUP MEDICLAIM -TAILORMADE-RISK FLOATER"/>
    <n v="-13025"/>
    <n v="7.5009596928982729"/>
    <n v="-977"/>
    <s v="Bangalore"/>
    <n v="413729"/>
    <s v="NE"/>
    <s v="Dilish"/>
    <s v="Suspense"/>
    <s v="Raghuram P S"/>
    <x v="0"/>
    <n v="852"/>
    <s v="Dilish"/>
    <m/>
    <m/>
    <m/>
    <m/>
    <s v="NE"/>
  </r>
  <r>
    <x v="0"/>
    <m/>
    <n v="421300"/>
    <s v="DO 3 BANGALORE"/>
    <s v="OIC/23-24/024"/>
    <s v="421300/48/2023/1354"/>
    <n v="3"/>
    <s v="FRESHALICIOUS SUPER BAZAAR PRIVATE LIMITED"/>
    <d v="2022-12-15T00:00:00"/>
    <d v="2023-12-14T00:00:00"/>
    <s v="MIST-PRD-890"/>
    <s v="GROUP MEDICLAIM -TAILORMADE-RISK FLOATER"/>
    <n v="1625658"/>
    <n v="7.5200318886260211"/>
    <n v="122250"/>
    <s v="Bangalore"/>
    <n v="413729"/>
    <s v="NE"/>
    <s v="Dilish"/>
    <s v="Suspense"/>
    <s v="Raghuram P S"/>
    <x v="0"/>
    <n v="852"/>
    <s v="Dilish"/>
    <m/>
    <m/>
    <m/>
    <m/>
    <s v="NE"/>
  </r>
  <r>
    <x v="0"/>
    <m/>
    <n v="421300"/>
    <s v="DO 3 BANGALORE"/>
    <s v="OIC/23-24/025"/>
    <s v="421300/48/2023/1355"/>
    <n v="1"/>
    <s v="FRESHALICIOUS SUPER BAZAAR PRIVATE LIMITED"/>
    <d v="2022-12-19T00:00:00"/>
    <d v="2023-12-18T00:00:00"/>
    <s v="MIST-PRD-010"/>
    <s v="GROUP MEDICLAIM -TAILORMADE"/>
    <n v="-25273"/>
    <n v="7.4981205238792388"/>
    <n v="-1895"/>
    <s v="Bangalore"/>
    <n v="414980"/>
    <s v="E1"/>
    <s v="Dilish"/>
    <s v="Suspense"/>
    <s v="Raghuram P S"/>
    <x v="0"/>
    <n v="852"/>
    <s v="Dilish"/>
    <m/>
    <m/>
    <m/>
    <m/>
    <s v="Updation done in saiba"/>
  </r>
  <r>
    <x v="0"/>
    <m/>
    <n v="421300"/>
    <s v="DO 3 BANGALORE"/>
    <s v="OIC/23-24/026"/>
    <s v="421300/48/2023/1355"/>
    <n v="2"/>
    <s v="FRESHALICIOUS SUPER BAZAAR PRIVATE LIMITED"/>
    <d v="2022-12-19T00:00:00"/>
    <d v="2023-12-18T00:00:00"/>
    <s v="MIST-PRD-010"/>
    <s v="GROUP MEDICLAIM -TAILORMADE"/>
    <n v="-37143"/>
    <n v="7.5007403817677627"/>
    <n v="-2786"/>
    <s v="Bangalore"/>
    <n v="414980"/>
    <s v="E2"/>
    <s v="Dilish"/>
    <s v="Suspense"/>
    <s v="Raghuram P S"/>
    <x v="0"/>
    <n v="852"/>
    <s v="Dilish"/>
    <m/>
    <m/>
    <m/>
    <m/>
    <s v="Updation done in saiba"/>
  </r>
  <r>
    <x v="0"/>
    <m/>
    <n v="421300"/>
    <s v="DO 3 BANGALORE"/>
    <s v="OIC/23-24/027"/>
    <s v="421300/48/2023/284"/>
    <n v="10"/>
    <s v="FRESHALICIOUS SUPER BAZAAR PRIVATE LIMITED"/>
    <d v="2022-04-04T00:00:00"/>
    <d v="2023-04-03T00:00:00"/>
    <s v="MIST-PRD-001"/>
    <s v="GPA - NAMED"/>
    <n v="-1360"/>
    <n v="7.5"/>
    <n v="-102"/>
    <s v="Bangalore"/>
    <n v="386195"/>
    <s v="E4"/>
    <s v="Dilish"/>
    <s v="Suspense"/>
    <s v="Raghuram P S"/>
    <x v="0"/>
    <n v="852"/>
    <s v="Dilish"/>
    <m/>
    <m/>
    <m/>
    <m/>
    <s v="Updation done in saiba"/>
  </r>
  <r>
    <x v="0"/>
    <m/>
    <n v="421300"/>
    <s v="DO 3 BANGALORE"/>
    <s v="OIC/23-24/028"/>
    <s v="421300/48/2023/284"/>
    <n v="11"/>
    <s v="FRESHALICIOUS SUPER BAZAAR PRIVATE LIMITED"/>
    <d v="2022-04-04T00:00:00"/>
    <d v="2023-04-03T00:00:00"/>
    <s v="MIST-PRD-001"/>
    <s v="GPA - NAMED"/>
    <n v="-463"/>
    <n v="7.3434125269978399"/>
    <n v="-34"/>
    <s v="Bangalore"/>
    <n v="386195"/>
    <s v="E5"/>
    <s v="Dilish"/>
    <s v="Suspense"/>
    <s v="Raghuram P S"/>
    <x v="0"/>
    <n v="852"/>
    <s v="Dilish"/>
    <m/>
    <m/>
    <m/>
    <m/>
    <s v="Updation done"/>
  </r>
  <r>
    <x v="0"/>
    <m/>
    <n v="421300"/>
    <s v="DO 3 BANGALORE"/>
    <s v="OIC/23-24/029"/>
    <s v="421300/48/2023/1243"/>
    <n v="3"/>
    <s v="FRESHTOHOME FOODS PRIVATE LIMITED"/>
    <d v="2022-10-16T00:00:00"/>
    <d v="2023-10-15T00:00:00"/>
    <s v="MIST-PRD-890"/>
    <s v="GROUP MEDICLAIM -TAILORMADE-RISK FLOATER"/>
    <n v="-92946"/>
    <n v="7.5000537946764787"/>
    <n v="-6971"/>
    <s v="Bangalore"/>
    <s v="NE"/>
    <s v="NE"/>
    <s v="Dilish"/>
    <s v="Suspense"/>
    <s v="Suspense"/>
    <x v="0"/>
    <n v="852"/>
    <s v="Dilish"/>
    <m/>
    <m/>
    <m/>
    <m/>
    <s v="NE"/>
  </r>
  <r>
    <x v="0"/>
    <m/>
    <n v="421300"/>
    <s v="DO 3 BANGALORE"/>
    <s v="OIC/23-24/030"/>
    <s v="421300/48/2023/1243"/>
    <n v="4"/>
    <s v="FRESHTOHOME FOODS PRIVATE LIMITED"/>
    <d v="2022-10-16T00:00:00"/>
    <d v="2023-10-15T00:00:00"/>
    <s v="MIST-PRD-890"/>
    <s v="GROUP MEDICLAIM -TAILORMADE-RISK FLOATER"/>
    <n v="-3264"/>
    <n v="7.5061274509803919"/>
    <n v="-245"/>
    <s v="Bangalore"/>
    <s v="NE"/>
    <s v="NE"/>
    <s v="Dilish"/>
    <s v="Suspense"/>
    <s v="Suspense"/>
    <x v="0"/>
    <n v="852"/>
    <s v="Dilish"/>
    <m/>
    <m/>
    <m/>
    <m/>
    <s v="NE"/>
  </r>
  <r>
    <x v="0"/>
    <m/>
    <n v="421300"/>
    <s v="DO 3 BANGALORE"/>
    <s v="OIC/23-24/031"/>
    <s v="421300/48/2023/1243"/>
    <n v="5"/>
    <s v="FRESHTOHOME FOODS PRIVATE LIMITED"/>
    <d v="2022-10-16T00:00:00"/>
    <d v="2023-10-15T00:00:00"/>
    <s v="MIST-PRD-890"/>
    <s v="GROUP MEDICLAIM -TAILORMADE-RISK FLOATER"/>
    <n v="2834947"/>
    <n v="7.627232537327858"/>
    <n v="216228"/>
    <s v="Bangalore"/>
    <s v="NE"/>
    <s v="NE"/>
    <s v="Dilish"/>
    <s v="Suspense"/>
    <s v="Suspense"/>
    <x v="0"/>
    <n v="852"/>
    <s v="Dilish"/>
    <m/>
    <m/>
    <m/>
    <m/>
    <s v="NE"/>
  </r>
  <r>
    <x v="0"/>
    <m/>
    <n v="421100"/>
    <s v="CBU Bangalore"/>
    <s v="OIC/23-24/032"/>
    <s v="421100/48/2023/115"/>
    <n v="10"/>
    <s v="INFOBIP INDIA PRIVATE LIMITED"/>
    <d v="2022-05-16T00:00:00"/>
    <d v="2023-05-15T00:00:00"/>
    <s v="MIST-PRD-890"/>
    <s v="GROUP MEDICLAIM -TAILORMADE-RISK FLOATER"/>
    <n v="-5588"/>
    <n v="5.6000357909806731"/>
    <n v="-312.93"/>
    <s v="Bangalore"/>
    <n v="388129"/>
    <s v="NE"/>
    <s v="Dilish"/>
    <s v="Suspense"/>
    <s v="Ashish Sanjay Gaikwad"/>
    <x v="1"/>
    <n v="839"/>
    <s v="Dilish"/>
    <m/>
    <m/>
    <m/>
    <m/>
    <s v="NE"/>
  </r>
  <r>
    <x v="0"/>
    <m/>
    <n v="421100"/>
    <s v="CBU Bangalore"/>
    <s v="OIC/23-24/033"/>
    <s v="421100/48/2023/129"/>
    <n v="16"/>
    <s v="INFOSTRETCH CORPORATION INDIA PRIVATE LIMITED"/>
    <d v="2022-05-01T00:00:00"/>
    <d v="2023-04-30T00:00:00"/>
    <s v="MIST-PRD-890"/>
    <s v="GROUP MEDICLAIM -TAILORMADE-RISK FLOATER"/>
    <n v="8394"/>
    <n v="5.5"/>
    <n v="461.67"/>
    <s v="Bangalore"/>
    <n v="399583"/>
    <s v="E14"/>
    <s v="Dilish"/>
    <s v="Suspense"/>
    <s v="Aatish Gaurav"/>
    <x v="1"/>
    <n v="839"/>
    <s v="Dilish"/>
    <m/>
    <m/>
    <m/>
    <m/>
    <s v="Updation done"/>
  </r>
  <r>
    <x v="0"/>
    <m/>
    <n v="421100"/>
    <s v="CBU Bangalore"/>
    <s v="OIC/23-24/034"/>
    <s v="421100/48/2023/132"/>
    <n v="18"/>
    <s v="INFOSTRETCH CORPORATION INDIA PRIVATE LIMITED"/>
    <d v="2022-05-01T00:00:00"/>
    <d v="2023-04-30T00:00:00"/>
    <s v="MIST-PRD-890"/>
    <s v="GROUP MEDICLAIM -TAILORMADE-RISK FLOATER"/>
    <n v="55233"/>
    <n v="5.5000090525591583"/>
    <n v="3037.82"/>
    <s v="Bangalore"/>
    <n v="399427"/>
    <s v="E13"/>
    <s v="Dilish"/>
    <s v="Suspense"/>
    <s v="Aatish Gaurav"/>
    <x v="1"/>
    <n v="839"/>
    <s v="Dilish"/>
    <m/>
    <m/>
    <m/>
    <m/>
    <s v="Updation done"/>
  </r>
  <r>
    <x v="0"/>
    <m/>
    <n v="421300"/>
    <s v="DO 3 BANGALORE"/>
    <s v="OIC/23-24/035"/>
    <s v="421300/48/2023/649"/>
    <n v="15"/>
    <s v="MATRIMONY.COM LIMITED"/>
    <d v="2022-06-01T00:00:00"/>
    <d v="2023-05-31T00:00:00"/>
    <s v="MIST-PRD-890"/>
    <s v="GROUP MEDICLAIM -TAILORMADE-RISK FLOATER"/>
    <n v="18683"/>
    <n v="6"/>
    <n v="1120.98"/>
    <s v="Bangalore"/>
    <n v="397318"/>
    <s v="E12"/>
    <s v="Dilish"/>
    <s v="Suspense"/>
    <s v="Ramesh M"/>
    <x v="0"/>
    <n v="852"/>
    <s v="Dilish"/>
    <m/>
    <m/>
    <s v="Modify Brokerage % from 7.5 to 6"/>
    <s v="Done"/>
    <s v="Updation done"/>
  </r>
  <r>
    <x v="0"/>
    <m/>
    <n v="421200"/>
    <s v="DO2 BANGALORE"/>
    <s v="OIC/23-24/036"/>
    <s v="421200/48/2023/4442"/>
    <n v="1"/>
    <s v="Mobileum (India) Private Limited"/>
    <d v="2023-01-10T00:00:00"/>
    <d v="2024-01-09T00:00:00"/>
    <s v="MIST-PRD-890"/>
    <s v="GROUP MEDICLAIM -TAILORMADE-RISK FLOATER"/>
    <n v="20760"/>
    <n v="7.5"/>
    <n v="1557"/>
    <s v="Bangalore"/>
    <s v="NE"/>
    <s v=" "/>
    <s v="Dilish"/>
    <s v="Suspense"/>
    <s v="Suspense"/>
    <x v="2"/>
    <n v="845"/>
    <s v="Dilish"/>
    <s v="No"/>
    <m/>
    <m/>
    <m/>
    <s v="NE"/>
  </r>
  <r>
    <x v="0"/>
    <m/>
    <n v="421200"/>
    <s v="DO2 BANGALORE"/>
    <s v="OIC/23-24/037"/>
    <s v="421200/48/2023/4442"/>
    <n v="2"/>
    <s v="Mobileum (India) Private Limited"/>
    <d v="2023-01-10T00:00:00"/>
    <d v="2024-01-09T00:00:00"/>
    <s v="MIST-PRD-890"/>
    <s v="GROUP MEDICLAIM -TAILORMADE-RISK FLOATER"/>
    <n v="-183814"/>
    <n v="7.4999727985898792"/>
    <n v="-13786"/>
    <s v="Bangalore"/>
    <s v="NE"/>
    <s v="NE"/>
    <s v="Dilish"/>
    <s v="Suspense"/>
    <s v="Suspense"/>
    <x v="2"/>
    <n v="845"/>
    <s v="Dilish"/>
    <m/>
    <m/>
    <m/>
    <m/>
    <s v="NE"/>
  </r>
  <r>
    <x v="0"/>
    <m/>
    <n v="421200"/>
    <s v="DO2 BANGALORE"/>
    <s v="OIC/23-24/038"/>
    <s v="421200/48/2023/4442"/>
    <n v="3"/>
    <s v="Mobileum (India) Private Limited"/>
    <d v="2023-01-10T00:00:00"/>
    <d v="2024-01-09T00:00:00"/>
    <s v="MIST-PRD-890"/>
    <s v="GROUP MEDICLAIM -TAILORMADE-RISK FLOATER"/>
    <n v="4478752"/>
    <n v="7.6365246390065806"/>
    <n v="342021"/>
    <s v="Bangalore"/>
    <s v="NE"/>
    <s v="NE"/>
    <s v="Dilish"/>
    <s v="Suspense"/>
    <s v="Suspense"/>
    <x v="2"/>
    <n v="845"/>
    <s v="Dilish"/>
    <m/>
    <m/>
    <m/>
    <m/>
    <s v="NE"/>
  </r>
  <r>
    <x v="0"/>
    <m/>
    <n v="421200"/>
    <s v="DO2 BANGALORE"/>
    <s v="OIC/23-24/039"/>
    <s v="421200/48/2023/4442"/>
    <n v="4"/>
    <s v="Mobileum (India) Private Limited"/>
    <d v="2023-01-10T00:00:00"/>
    <d v="2024-01-09T00:00:00"/>
    <s v="MIST-PRD-890"/>
    <s v="GROUP MEDICLAIM -TAILORMADE-RISK FLOATER"/>
    <n v="-137311"/>
    <n v="7.4997633110238802"/>
    <n v="-10298"/>
    <s v="Bangalore"/>
    <s v="NE"/>
    <s v="NE"/>
    <s v="Dilish"/>
    <s v="Suspense"/>
    <s v="Suspense"/>
    <x v="2"/>
    <n v="845"/>
    <s v="Dilish"/>
    <m/>
    <m/>
    <m/>
    <m/>
    <s v="NE"/>
  </r>
  <r>
    <x v="0"/>
    <m/>
    <n v="421200"/>
    <s v="DO2 BANGALORE"/>
    <s v="OIC/23-24/040"/>
    <s v="421200/48/2023/4443"/>
    <n v="3"/>
    <s v="Mobileum Technologies Private Limited"/>
    <d v="2023-01-10T00:00:00"/>
    <d v="2024-01-09T00:00:00"/>
    <s v="MIST-PRD-890"/>
    <s v="GROUP MEDICLAIM -TAILORMADE-RISK FLOATER"/>
    <n v="5691248"/>
    <n v="7.4368222927554726"/>
    <n v="423248"/>
    <s v="Bangalore"/>
    <s v="NE"/>
    <s v="NE"/>
    <s v="Dilish"/>
    <s v="Suspense"/>
    <s v="Suspense"/>
    <x v="2"/>
    <n v="845"/>
    <s v="Dilish"/>
    <m/>
    <m/>
    <m/>
    <m/>
    <s v="NE"/>
  </r>
  <r>
    <x v="0"/>
    <m/>
    <n v="421200"/>
    <s v="DO2 BANGALORE"/>
    <s v="OIC/23-24/041"/>
    <s v="421200/48/2023/4443"/>
    <n v="4"/>
    <s v="Mobileum Technologies Private Limited"/>
    <d v="2023-01-10T00:00:00"/>
    <d v="2024-01-09T00:00:00"/>
    <s v="MIST-PRD-890"/>
    <s v="GROUP MEDICLAIM -TAILORMADE-RISK FLOATER"/>
    <n v="-260602"/>
    <n v="7.4999424409636148"/>
    <n v="-19545"/>
    <s v="Bangalore"/>
    <s v="NE"/>
    <s v="NE"/>
    <s v="Dilish"/>
    <s v="Suspense"/>
    <s v="Suspense"/>
    <x v="2"/>
    <n v="845"/>
    <s v="Dilish"/>
    <m/>
    <m/>
    <m/>
    <m/>
    <s v="NE"/>
  </r>
  <r>
    <x v="0"/>
    <m/>
    <n v="421200"/>
    <s v="DO2 BANGALORE"/>
    <s v="OIC/23-24/042"/>
    <s v="421200/48/2024/478"/>
    <n v="0"/>
    <s v="MR. AKSHAY CHIKODI"/>
    <d v="2023-05-25T00:00:00"/>
    <d v="2024-05-24T00:00:00"/>
    <s v="MIST-PRD-943"/>
    <s v="HAPPY FAMILY FLOATER POLICY-2021"/>
    <n v="24849"/>
    <n v="14.998591492615397"/>
    <n v="3727"/>
    <s v="Bangalore"/>
    <s v="NE"/>
    <s v=" "/>
    <s v="Dilish"/>
    <s v="Suspense"/>
    <s v="Suspense"/>
    <x v="2"/>
    <n v="845"/>
    <s v="Dilish"/>
    <s v="No"/>
    <m/>
    <m/>
    <m/>
    <s v="NE"/>
  </r>
  <r>
    <x v="0"/>
    <m/>
    <n v="421200"/>
    <s v="DO2 BANGALORE"/>
    <s v="OIC/23-24/043"/>
    <s v="421200/48/2024/479"/>
    <n v="0"/>
    <s v="OPTIMA  INDIA PACKAGING MACHI"/>
    <d v="2023-04-27T00:00:00"/>
    <d v="2024-04-26T00:00:00"/>
    <s v="MIST-PRD-003"/>
    <s v="PA INDIVIDUAL"/>
    <n v="16650"/>
    <n v="16.498498498498499"/>
    <n v="2747"/>
    <s v="Bangalore"/>
    <e v="#N/A"/>
    <n v="0"/>
    <s v="Dilish"/>
    <s v="Suspense"/>
    <s v="Suspense"/>
    <x v="2"/>
    <n v="845"/>
    <s v="Dilish"/>
    <s v="No"/>
    <m/>
    <m/>
    <s v="Updation done"/>
    <s v="Updation done"/>
  </r>
  <r>
    <x v="0"/>
    <m/>
    <n v="421300"/>
    <s v="DO 3 BANGALORE"/>
    <s v="OIC/23-24/044"/>
    <s v="421300/48/2023/840"/>
    <n v="12"/>
    <s v="QRG MEDICARE LIMITED"/>
    <d v="2022-06-04T00:00:00"/>
    <d v="2023-06-03T00:00:00"/>
    <s v="MIST-PRD-890"/>
    <s v="GROUP MEDICLAIM -TAILORMADE-RISK FLOATER"/>
    <n v="-31351"/>
    <n v="7.0000000000000009"/>
    <n v="-2194.5700000000002"/>
    <s v="Bangalore"/>
    <n v="406813"/>
    <s v="NE"/>
    <s v="Dilish"/>
    <s v="Suspense"/>
    <s v="Sarfuddin Ansari"/>
    <x v="0"/>
    <n v="852"/>
    <s v="Dilish"/>
    <m/>
    <m/>
    <m/>
    <m/>
    <s v="NE"/>
  </r>
  <r>
    <x v="0"/>
    <m/>
    <n v="421300"/>
    <s v="DO 3 BANGALORE"/>
    <s v="OIC/23-24/045"/>
    <s v="421300/48/2023/840"/>
    <n v="13"/>
    <s v="QRG MEDICARE LIMITED"/>
    <d v="2022-06-04T00:00:00"/>
    <d v="2023-06-03T00:00:00"/>
    <s v="MIST-PRD-890"/>
    <s v="GROUP MEDICLAIM -TAILORMADE-RISK FLOATER"/>
    <n v="57812"/>
    <n v="7"/>
    <n v="4046.84"/>
    <s v="Bangalore"/>
    <n v="406813"/>
    <s v="NE"/>
    <s v="Dilish"/>
    <s v="Suspense"/>
    <s v="Sarfuddin Ansari"/>
    <x v="0"/>
    <n v="852"/>
    <s v="Dilish"/>
    <m/>
    <m/>
    <m/>
    <m/>
    <s v="NE"/>
  </r>
  <r>
    <x v="0"/>
    <m/>
    <n v="421300"/>
    <s v="DO 3 BANGALORE"/>
    <s v="OIC/23-24/046"/>
    <s v="421300/48/2022/1804"/>
    <n v="10"/>
    <s v="SPIRENT COMMUNICATIONS INDIA PRIVATE LIMITED"/>
    <d v="2022-02-11T00:00:00"/>
    <d v="2023-02-10T00:00:00"/>
    <s v="MIST-PRD-890"/>
    <s v="GROUP MEDICLAIM -TAILORMADE-RISK FLOATER"/>
    <n v="1067"/>
    <n v="7.5004686035613872"/>
    <n v="80.03"/>
    <s v="Bangalore"/>
    <n v="373166"/>
    <s v="E5"/>
    <s v="Dilish"/>
    <s v="Suspense"/>
    <s v="Raghuram P S"/>
    <x v="0"/>
    <n v="852"/>
    <s v="Dilish"/>
    <m/>
    <m/>
    <m/>
    <m/>
    <s v="Updation done in saiba"/>
  </r>
  <r>
    <x v="0"/>
    <m/>
    <n v="421700"/>
    <s v="DO VII BANGALORE"/>
    <s v="OIC/23-24/047"/>
    <s v="421700/48/2024/266"/>
    <n v="0"/>
    <s v="UD TRUCKS INDIA PRIVATE LIMITED"/>
    <d v="2023-04-01T00:00:00"/>
    <d v="2024-03-31T00:00:00"/>
    <s v="MIST-PRD-890"/>
    <s v="GROUP MEDICLAIM -TAILORMADE-RISK FLOATER"/>
    <n v="5584000"/>
    <n v="7.5"/>
    <n v="418800"/>
    <s v="Bangalore"/>
    <n v="440369"/>
    <n v="0"/>
    <s v="Dilish"/>
    <s v="Suspense"/>
    <s v="Suspense"/>
    <x v="3"/>
    <n v="856"/>
    <s v="Dilish"/>
    <s v="Yes"/>
    <n v="202425"/>
    <s v="Premium &amp; brokerage mismatch"/>
    <s v="Modification required"/>
    <s v="RFQ"/>
  </r>
  <r>
    <x v="0"/>
    <m/>
    <n v="421300"/>
    <s v="DO 3 BANGALORE"/>
    <s v="OIC/23-24/048"/>
    <s v="421300/48/2023/1048"/>
    <n v="4"/>
    <s v="WAFER SPACE SEMICONDUCTOR TECHNOLOGIES PVT. LTD."/>
    <d v="2022-09-08T00:00:00"/>
    <d v="2023-09-07T00:00:00"/>
    <s v="MIST-PRD-890"/>
    <s v="GROUP MEDICLAIM -TAILORMADE-RISK FLOATER"/>
    <n v="39268"/>
    <n v="7.5"/>
    <n v="2945.1"/>
    <s v="Bangalore"/>
    <n v="404320"/>
    <s v="E3"/>
    <s v="Dilish"/>
    <s v="Suspense"/>
    <s v="Deep Shikha"/>
    <x v="0"/>
    <n v="852"/>
    <s v="Dilish"/>
    <m/>
    <m/>
    <m/>
    <s v="Done"/>
    <s v="Updation done"/>
  </r>
  <r>
    <x v="0"/>
    <m/>
    <n v="421300"/>
    <s v="DO 3 BANGALORE"/>
    <s v="OIC/23-24/049"/>
    <s v="421300/48/2023/451"/>
    <n v="12"/>
    <s v="WAFER SPACE SEMICONDUCTOR TECHNOLOGIES PVT. LTD."/>
    <d v="2022-04-17T00:00:00"/>
    <d v="2023-04-16T00:00:00"/>
    <s v="MIST-PRD-001"/>
    <s v="GPA - NAMED"/>
    <n v="24"/>
    <n v="8.3333333333333339"/>
    <n v="2"/>
    <s v="Bangalore"/>
    <n v="386406"/>
    <s v="E9"/>
    <s v="Dilish"/>
    <s v="Suspense"/>
    <s v="Deep Shikha"/>
    <x v="0"/>
    <n v="852"/>
    <s v="Dilish"/>
    <m/>
    <m/>
    <m/>
    <m/>
    <s v="Updation done in saiba"/>
  </r>
  <r>
    <x v="0"/>
    <m/>
    <n v="421300"/>
    <s v="DO 3 BANGALORE"/>
    <s v="OIC/23-24/050"/>
    <s v="421300/48/2023/518"/>
    <n v="14"/>
    <s v="WAFER SPACE SEMICONDUCTOR TECHNOLOGIES PVT. LTD."/>
    <d v="2022-04-17T00:00:00"/>
    <d v="2023-04-16T00:00:00"/>
    <s v="MIST-PRD-890"/>
    <s v="GROUP MEDICLAIM -TAILORMADE-RISK FLOATER"/>
    <n v="2219"/>
    <n v="7.4808472284812977"/>
    <n v="166"/>
    <s v="Bangalore"/>
    <n v="386404"/>
    <s v="E11"/>
    <s v="Dilish"/>
    <s v="Suspense"/>
    <s v="Deep Shikha"/>
    <x v="0"/>
    <n v="852"/>
    <s v="Dilish"/>
    <m/>
    <m/>
    <m/>
    <m/>
    <s v="Updation done in saiba"/>
  </r>
  <r>
    <x v="0"/>
    <m/>
    <n v="421300"/>
    <s v="DO 3 BANGALORE"/>
    <s v="OIC/23-24/051"/>
    <s v="421300/48/2023/731"/>
    <n v="8"/>
    <s v="ZYNGA GAME NETWORK INDIA PVT. LTD."/>
    <d v="2022-07-01T00:00:00"/>
    <d v="2023-06-30T00:00:00"/>
    <s v="MIST-PRD-001"/>
    <s v="GPA - NAMED"/>
    <n v="3747"/>
    <n v="7.4993327995729917"/>
    <n v="281"/>
    <s v="Bangalore"/>
    <n v="400240"/>
    <s v="E7"/>
    <s v="Dilish"/>
    <s v="Suspense"/>
    <s v="Akhilesh Singh"/>
    <x v="0"/>
    <n v="852"/>
    <s v="Dilish"/>
    <m/>
    <m/>
    <m/>
    <s v="Done"/>
    <s v="Updation done"/>
  </r>
  <r>
    <x v="0"/>
    <m/>
    <n v="510000"/>
    <s v="CBRO DELHI"/>
    <s v="OIC/23-24/052"/>
    <s v="510000/48/2023/1407"/>
    <n v="2"/>
    <s v="Bharat Stars Services (Delhi) Private Limited"/>
    <d v="2023-01-30T00:00:00"/>
    <d v="2023-12-20T00:00:00"/>
    <s v="MIST-PRD-890"/>
    <s v="GROUP MEDICLAIM -TAILORMADE-RISK FLOATER"/>
    <n v="464889"/>
    <n v="2.1800903011256452"/>
    <n v="10135"/>
    <s v="Delhi"/>
    <n v="423175"/>
    <n v="0"/>
    <s v="Dilish"/>
    <s v="Suspense"/>
    <s v="Kamal Bora"/>
    <x v="4"/>
    <n v="969"/>
    <s v="Ravi Kant"/>
    <m/>
    <m/>
    <m/>
    <s v="Done"/>
    <s v="Updation done"/>
  </r>
  <r>
    <x v="0"/>
    <m/>
    <n v="510000"/>
    <s v="CBRO DELHI"/>
    <s v="OIC/23-24/053"/>
    <s v="510000/48/2024/114"/>
    <n v="0"/>
    <s v="CARGO PARTNER LOGISTICS INDIA PRIVATE LIMITED"/>
    <d v="2023-04-16T00:00:00"/>
    <d v="2024-04-15T00:00:00"/>
    <s v="MIST-PRD-890"/>
    <s v="GROUP MEDICLAIM -TAILORMADE-RISK FLOATER"/>
    <n v="8490000"/>
    <n v="3"/>
    <n v="254700"/>
    <s v="Delhi"/>
    <n v="434150"/>
    <n v="0"/>
    <s v="Dilish"/>
    <s v="Suspense"/>
    <s v="Suspense"/>
    <x v="4"/>
    <n v="969"/>
    <s v="Ravi Kant"/>
    <s v="Yes"/>
    <n v="207094"/>
    <m/>
    <m/>
    <s v="Updation done in saiba"/>
  </r>
  <r>
    <x v="0"/>
    <m/>
    <n v="212203"/>
    <s v="CBO 13 N-34 C.PLACE"/>
    <s v="OIC/23-24/054"/>
    <s v="212203/31/2024/129"/>
    <n v="0"/>
    <s v="CHIEF EXECUTIVE OFFICER, SOUADTGA"/>
    <d v="2023-04-18T00:00:00"/>
    <d v="2024-04-17T00:00:00"/>
    <s v="MOT-PRD-015"/>
    <s v="STANDALONE OWN DAMAGE(OD)-PRIVATE CAR"/>
    <n v="8033"/>
    <n v="15.000622432466077"/>
    <n v="1205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212203"/>
    <s v="CBO 13 N-34 C.PLACE"/>
    <s v="OIC/23-24/055"/>
    <s v="212203/31/2024/150"/>
    <n v="0"/>
    <s v="CHIEF EXECUTIVE OFFICER, SOUADTGA"/>
    <d v="2023-04-19T00:00:00"/>
    <d v="2024-04-18T00:00:00"/>
    <s v="MOT-PRD-015"/>
    <s v="STANDALONE OWN DAMAGE(OD)-PRIVATE CAR"/>
    <n v="8033"/>
    <n v="15.000622432466077"/>
    <n v="1205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222104"/>
    <s v="CBO 1 KANPUR"/>
    <s v="OIC/23-24/056"/>
    <s v="222104/48/2023/942"/>
    <n v="2"/>
    <s v="CONSCIENT INFRASTRUCTURE PRIVATE LIMITED"/>
    <d v="2022-11-04T00:00:00"/>
    <d v="2023-11-03T00:00:00"/>
    <s v="MIST-PRD-001"/>
    <s v="GPA - NAMED"/>
    <n v="1476"/>
    <n v="7.5"/>
    <n v="110.7"/>
    <s v="Delhi"/>
    <n v="407873"/>
    <s v="NE"/>
    <s v="Dilish"/>
    <s v="Suspense"/>
    <s v="Pranav Das Piyush"/>
    <x v="6"/>
    <n v="916"/>
    <s v="Ravi Kant"/>
    <m/>
    <m/>
    <m/>
    <m/>
    <s v="NE"/>
  </r>
  <r>
    <x v="0"/>
    <m/>
    <n v="222104"/>
    <s v="CBO 1 KANPUR"/>
    <s v="OIC/23-24/057"/>
    <s v="222104/48/2023/902"/>
    <n v="1"/>
    <s v="CONSCIENT SPORTS LLP"/>
    <d v="2022-10-29T00:00:00"/>
    <d v="2023-10-28T00:00:00"/>
    <s v="MIST-PRD-890"/>
    <s v="GROUP MEDICLAIM -TAILORMADE-RISK FLOATER"/>
    <n v="-1131"/>
    <n v="5"/>
    <n v="-56.55"/>
    <s v="Delhi"/>
    <n v="407879"/>
    <s v="NE"/>
    <s v="Dilish"/>
    <s v="Suspense"/>
    <s v="Pranav Das Piyush"/>
    <x v="6"/>
    <n v="916"/>
    <s v="Ravi Kant"/>
    <m/>
    <m/>
    <m/>
    <m/>
    <s v="NE"/>
  </r>
  <r>
    <x v="0"/>
    <m/>
    <n v="272200"/>
    <s v="DO 3 NEW DELHI"/>
    <s v="OIC/23-24/058"/>
    <s v="272200/31/2024/93"/>
    <n v="0"/>
    <s v="EAKTA DYEING AND FINISHING HOUSE"/>
    <d v="2023-04-18T00:00:00"/>
    <d v="2024-04-17T00:00:00"/>
    <s v="MOT-PRD-001"/>
    <s v="PRIVATE CAR"/>
    <n v="4922"/>
    <n v="5.5465258025193007"/>
    <n v="273"/>
    <s v="Delhi"/>
    <n v="427269"/>
    <n v="0"/>
    <s v="Dilish"/>
    <s v="Suspense"/>
    <s v="HImanshu Arora"/>
    <x v="7"/>
    <s v="959_x0009_"/>
    <s v="Ravi Kant"/>
    <m/>
    <m/>
    <m/>
    <s v="Done"/>
    <s v="Updation done"/>
  </r>
  <r>
    <x v="0"/>
    <m/>
    <n v="212203"/>
    <s v="CBO 13 N-34 C.PLACE"/>
    <s v="OIC/23-24/059"/>
    <s v="212203/31/2024/192"/>
    <n v="0"/>
    <s v="ENERGY EFFICIENCY SERVICES LIMITED"/>
    <d v="2023-04-23T00:00:00"/>
    <d v="2024-04-22T00:00:00"/>
    <s v="MOT-PRD-001"/>
    <s v="PRIVATE CAR"/>
    <n v="9216"/>
    <n v="12.250434027777779"/>
    <n v="1129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212203"/>
    <s v="CBO 13 N-34 C.PLACE"/>
    <s v="OIC/23-24/060"/>
    <s v="212203/11/2024/7"/>
    <n v="0"/>
    <s v="HAVELLS INDIA LTD"/>
    <d v="2023-04-01T00:00:00"/>
    <d v="2024-03-31T00:00:00"/>
    <s v="FIR-PRD-009"/>
    <s v="ORIENTAL BHARAT LAGHU UDYAM SURAKSHA POLICY"/>
    <n v="545238"/>
    <n v="10.331084773988607"/>
    <n v="56329"/>
    <s v="Delhi"/>
    <s v="NE"/>
    <s v=" "/>
    <s v="Dilish"/>
    <s v="Suspense"/>
    <s v="Suspense"/>
    <x v="5"/>
    <n v="898"/>
    <s v="Ravi Kant"/>
    <s v="Yes"/>
    <n v="208343"/>
    <m/>
    <m/>
    <s v="RFQ"/>
  </r>
  <r>
    <x v="0"/>
    <m/>
    <n v="510000"/>
    <s v="CBRO DELHI"/>
    <s v="OIC/23-24/061"/>
    <s v="510000/11/2023/183"/>
    <n v="4"/>
    <s v="JCB INDIA LIMITED"/>
    <d v="2022-06-01T00:00:00"/>
    <d v="2023-05-31T00:00:00"/>
    <s v="FIR-PRD-006"/>
    <s v="STANDARD FIRE -- New Tariff"/>
    <n v="109525"/>
    <n v="11.499657612417256"/>
    <n v="12595"/>
    <s v="Delhi"/>
    <n v="396106"/>
    <s v="NE"/>
    <s v="Dilish"/>
    <s v="Suspense"/>
    <s v="Rohit Kumar Mehndiratta"/>
    <x v="4"/>
    <n v="969"/>
    <s v="Ravi Kant"/>
    <m/>
    <m/>
    <m/>
    <m/>
    <s v="NE"/>
  </r>
  <r>
    <x v="0"/>
    <m/>
    <n v="510000"/>
    <s v="CBRO DELHI"/>
    <s v="OIC/23-24/062"/>
    <s v="510000/11/2023/198"/>
    <n v="2"/>
    <s v="JCB POWER PRODUCTS INDIA PVT. LTD."/>
    <d v="2022-06-01T00:00:00"/>
    <d v="2023-05-31T00:00:00"/>
    <s v="FIR-PRD-009"/>
    <s v="ORIENTAL BHARAT LAGHU UDYAM SURAKSHA POLICY"/>
    <n v="37466"/>
    <n v="10.625633908076656"/>
    <n v="3981"/>
    <s v="Delhi"/>
    <n v="396072"/>
    <s v="NE"/>
    <s v="Dilish"/>
    <s v="Suspense"/>
    <s v="Rohit Kumar Mehndiratta"/>
    <x v="4"/>
    <n v="969"/>
    <s v="Ravi Kant"/>
    <m/>
    <m/>
    <m/>
    <m/>
    <s v="NE"/>
  </r>
  <r>
    <x v="0"/>
    <m/>
    <n v="510000"/>
    <s v="CBRO DELHI"/>
    <s v="OIC/23-24/063"/>
    <s v="510000/48/2024/51"/>
    <n v="0"/>
    <s v="LADY BAMFORD CHARITABLE TRUST"/>
    <d v="2023-04-18T00:00:00"/>
    <d v="2024-03-17T00:00:00"/>
    <s v="MIST-PRD-890"/>
    <s v="GROUP MEDICLAIM -TAILORMADE-RISK FLOATER"/>
    <n v="550255"/>
    <n v="7.4999772832595797"/>
    <n v="41269"/>
    <s v="Delhi"/>
    <n v="428430"/>
    <n v="0"/>
    <s v="Dilish"/>
    <s v="Suspense"/>
    <s v="Gagan Sharma"/>
    <x v="4"/>
    <n v="969"/>
    <s v="Ravi Kant"/>
    <m/>
    <m/>
    <m/>
    <s v="Done"/>
    <s v="Updation done"/>
  </r>
  <r>
    <x v="0"/>
    <m/>
    <n v="212203"/>
    <s v="CBO 13 N-34 C.PLACE"/>
    <s v="OIC/23-24/064"/>
    <s v="212203/31/2024/184"/>
    <n v="0"/>
    <s v="LOK SABHA SECRETARIAT"/>
    <d v="2023-04-18T00:00:00"/>
    <d v="2024-04-17T00:00:00"/>
    <s v="MOT-PRD-012"/>
    <s v="PRIVATE CAR-(3 Years)"/>
    <n v="18665"/>
    <n v="7.1309938387356011"/>
    <n v="1331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212203"/>
    <s v="CBO 13 N-34 C.PLACE"/>
    <s v="OIC/23-24/065"/>
    <s v="212203/31/2024/185"/>
    <n v="0"/>
    <s v="LOK SABHA SECRETARIAT"/>
    <d v="2023-04-18T00:00:00"/>
    <d v="2024-04-17T00:00:00"/>
    <s v="MOT-PRD-012"/>
    <s v="PRIVATE CAR-(3 Years)"/>
    <n v="18665"/>
    <n v="7.1309938387356011"/>
    <n v="1331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271700"/>
    <s v="NEW DELHI DO 14"/>
    <s v="OIC/23-24/066"/>
    <s v="271700/11/2024/24"/>
    <n v="0"/>
    <s v="M AND V MARKETING AND SALES PRIVATE LIMITED"/>
    <d v="2023-05-01T00:00:00"/>
    <d v="2024-04-30T00:00:00"/>
    <s v="FIR-PRD-010"/>
    <s v="ORIENTAL BHARAT SOOKSHMA UDYAM SURAKSHA POLICY"/>
    <n v="23334"/>
    <n v="14.228164909574012"/>
    <n v="3320"/>
    <s v="Delhi"/>
    <s v="NE"/>
    <s v=" "/>
    <s v="Dilish"/>
    <s v="Suspense"/>
    <s v="Suspense"/>
    <x v="8"/>
    <n v="957"/>
    <s v="Ravi Kant"/>
    <s v="Yes"/>
    <n v="212525"/>
    <m/>
    <m/>
    <s v="RFQ"/>
  </r>
  <r>
    <x v="0"/>
    <m/>
    <n v="271700"/>
    <s v="NEW DELHI DO 14"/>
    <s v="OIC/23-24/067"/>
    <s v="271700/48/2024/211"/>
    <n v="0"/>
    <s v="M AND V MARKETING AND SALES PRIVATE LIMITED"/>
    <d v="2023-05-01T00:00:00"/>
    <d v="2024-04-30T00:00:00"/>
    <s v="MIST-PRD-753"/>
    <s v="BURGLARY FLOATER"/>
    <n v="344"/>
    <n v="16.569767441860463"/>
    <n v="57"/>
    <s v="Delhi"/>
    <s v="NE"/>
    <s v=" "/>
    <s v="Dilish"/>
    <s v="Suspense"/>
    <s v="Suspense"/>
    <x v="8"/>
    <n v="957"/>
    <s v="Ravi Kant"/>
    <s v="Yes"/>
    <n v="212526"/>
    <m/>
    <m/>
    <s v="RFQ"/>
  </r>
  <r>
    <x v="0"/>
    <m/>
    <n v="212203"/>
    <s v="CBO 13 N-34 C.PLACE"/>
    <s v="OIC/23-24/068"/>
    <s v="212203/31/2024/246"/>
    <n v="0"/>
    <s v="M D N I Y"/>
    <d v="2023-04-26T00:00:00"/>
    <d v="2024-04-25T00:00:00"/>
    <s v="MOT-PRD-015"/>
    <s v="STANDALONE OWN DAMAGE(OD)-PRIVATE CAR"/>
    <n v="16777"/>
    <n v="14.996721702330571"/>
    <n v="2516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163900"/>
    <s v="DO 5 PUNE"/>
    <s v="OIC/23-24/069"/>
    <s v="163900/48/2024/264"/>
    <n v="0"/>
    <s v="MR. SANJEEV GUPTA"/>
    <d v="2023-04-18T00:00:00"/>
    <d v="2024-04-17T00:00:00"/>
    <s v="MIST-PRD-943"/>
    <s v="HAPPY FAMILY FLOATER POLICY-2021"/>
    <n v="34914"/>
    <n v="14.999713581944206"/>
    <n v="5237"/>
    <s v="Delhi"/>
    <e v="#N/A"/>
    <n v="0"/>
    <s v="Dilish"/>
    <s v="Suspense"/>
    <s v="Suspense"/>
    <x v="9"/>
    <n v="758"/>
    <s v="Yash"/>
    <s v="No"/>
    <m/>
    <m/>
    <s v="Updation done"/>
    <s v="Updation done"/>
  </r>
  <r>
    <x v="0"/>
    <m/>
    <n v="212203"/>
    <s v="CBO 13 N-34 C.PLACE"/>
    <s v="OIC/23-24/070"/>
    <s v="212203/31/2024/157"/>
    <n v="0"/>
    <s v="NEW &amp; RENEWABLE ENERGY DEV.CORP OF AP LTD"/>
    <d v="2023-04-19T00:00:00"/>
    <d v="2024-04-18T00:00:00"/>
    <s v="MOT-PRD-015"/>
    <s v="STANDALONE OWN DAMAGE(OD)-PRIVATE CAR"/>
    <n v="9589"/>
    <n v="14.996349984357076"/>
    <n v="1438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163900"/>
    <s v="DO 5 PUNE"/>
    <s v="OIC/23-24/071"/>
    <s v="163900/48/2024/170"/>
    <n v="0"/>
    <s v="NGL FINE-CHEM LIMITED"/>
    <d v="2023-04-06T00:00:00"/>
    <d v="2024-04-05T00:00:00"/>
    <s v="MIST-PRD-062"/>
    <s v="Cyber Risk Policy"/>
    <n v="700000"/>
    <n v="12.5"/>
    <n v="87500"/>
    <s v="Delhi"/>
    <s v="NE"/>
    <s v=" "/>
    <s v="Dilish"/>
    <s v="Suspense"/>
    <s v="Suspense"/>
    <x v="9"/>
    <n v="758"/>
    <s v="Yash"/>
    <s v="Yes"/>
    <n v="212109"/>
    <m/>
    <m/>
    <s v="RFQ"/>
  </r>
  <r>
    <x v="0"/>
    <m/>
    <n v="212203"/>
    <s v="CBO 13 N-34 C.PLACE"/>
    <s v="OIC/23-24/072"/>
    <s v="212203/31/2024/124"/>
    <n v="0"/>
    <s v="RAIL COACH FACTORY"/>
    <d v="2023-04-18T00:00:00"/>
    <d v="2024-04-17T00:00:00"/>
    <s v="MOT-PRD-001"/>
    <s v="PRIVATE CAR"/>
    <n v="9224"/>
    <n v="12.250650477016478"/>
    <n v="1130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222105"/>
    <s v="KANPUR DEHAT"/>
    <s v="OIC/23-24/073"/>
    <s v="222105/48/2024/77"/>
    <n v="0"/>
    <s v="RAVI VERMA"/>
    <d v="2023-04-19T00:00:00"/>
    <d v="2024-04-18T00:00:00"/>
    <s v="MIST-PRD-943"/>
    <s v="HAPPY FAMILY FLOATER POLICY-2021"/>
    <n v="48607"/>
    <n v="14.999897134157631"/>
    <n v="7291"/>
    <s v="Delhi"/>
    <n v="427592"/>
    <n v="0"/>
    <s v="Dilish"/>
    <s v="Suspense"/>
    <s v="Navneet Arora"/>
    <x v="10"/>
    <n v="919"/>
    <s v="Ravi Kant"/>
    <m/>
    <m/>
    <m/>
    <s v="Done"/>
    <s v="Updation done"/>
  </r>
  <r>
    <x v="0"/>
    <m/>
    <n v="163900"/>
    <s v="DO 5 PUNE"/>
    <s v="OIC/23-24/074"/>
    <s v="163900/11/2024/8"/>
    <n v="0"/>
    <s v="RIECO INDUSTRIES LTD."/>
    <d v="2023-04-01T00:00:00"/>
    <d v="2024-03-31T00:00:00"/>
    <s v="FIR-PRD-010"/>
    <s v="ORIENTAL BHARAT SOOKSHMA UDYAM SURAKSHA POLICY"/>
    <n v="102406"/>
    <n v="10.769876765033299"/>
    <n v="11029"/>
    <s v="Delhi"/>
    <n v="427345"/>
    <n v="0"/>
    <s v="Dilish"/>
    <s v="Suspense"/>
    <s v="Vishal Sakharam Londhe"/>
    <x v="9"/>
    <n v="758"/>
    <s v="Yash"/>
    <m/>
    <m/>
    <s v="Brokerage not matching / TP Bifurcation required if applicable"/>
    <m/>
    <s v="Modification"/>
  </r>
  <r>
    <x v="0"/>
    <m/>
    <n v="163900"/>
    <s v="DO 5 PUNE"/>
    <s v="OIC/23-24/075"/>
    <s v="163900/48/2023/3306"/>
    <n v="3"/>
    <s v="SARVAGRAM FINCARE PRIVATE LIMITED (SFPL)"/>
    <d v="2022-12-06T00:00:00"/>
    <d v="2023-12-01T00:00:00"/>
    <s v="MIST-PRD-751"/>
    <s v="BURGLARY"/>
    <n v="5068"/>
    <n v="16.500197316495658"/>
    <n v="836.23"/>
    <s v="Delhi"/>
    <s v="NE"/>
    <s v="NE"/>
    <s v="Dilish"/>
    <s v="Suspense"/>
    <s v="Suspense"/>
    <x v="9"/>
    <n v="758"/>
    <s v="Yash"/>
    <m/>
    <m/>
    <m/>
    <m/>
    <s v="NE"/>
  </r>
  <r>
    <x v="0"/>
    <m/>
    <n v="163900"/>
    <s v="DO 5 PUNE"/>
    <s v="OIC/23-24/076"/>
    <s v="163900/48/2022/4990"/>
    <n v="10"/>
    <s v="SUNGARD AVAILABILITY SERVICES(INDIA) PRIVATE LIMITED"/>
    <d v="2022-03-31T00:00:00"/>
    <d v="2023-03-30T00:00:00"/>
    <s v="MIST-PRD-890"/>
    <s v="GROUP MEDICLAIM -TAILORMADE-RISK FLOATER"/>
    <n v="-36708"/>
    <n v="7.5"/>
    <n v="-2753.1"/>
    <s v="Delhi"/>
    <s v="NE"/>
    <s v="NE"/>
    <s v="Dilish"/>
    <s v="Suspense"/>
    <s v="Suspense"/>
    <x v="9"/>
    <n v="758"/>
    <s v="Yash"/>
    <m/>
    <m/>
    <m/>
    <m/>
    <s v="NE"/>
  </r>
  <r>
    <x v="0"/>
    <m/>
    <n v="510000"/>
    <s v="CBRO DELHI"/>
    <s v="OIC/23-24/077"/>
    <s v="510000/48/2023/1588"/>
    <n v="1"/>
    <s v="TAPROOT DENTSU INDIA COMMUNICATION PRIVATE LIMITED"/>
    <d v="2023-02-07T00:00:00"/>
    <d v="2023-12-31T00:00:00"/>
    <s v="MIST-PRD-001"/>
    <s v="GPA - NAMED"/>
    <n v="32"/>
    <n v="9.375"/>
    <n v="3"/>
    <s v="Delhi"/>
    <n v="429601"/>
    <s v="NE"/>
    <s v="Dilish"/>
    <s v="Suspense"/>
    <s v="Niladri Mangal Choudhury"/>
    <x v="4"/>
    <n v="969"/>
    <s v="Ravi Kant"/>
    <m/>
    <m/>
    <m/>
    <m/>
    <s v="NE"/>
  </r>
  <r>
    <x v="0"/>
    <m/>
    <n v="112400"/>
    <s v="MRO 1 Aviation Cell"/>
    <s v="OIC/23-24/078"/>
    <s v="112400/43/2023/21"/>
    <n v="25"/>
    <s v="TATA SIA AIRLINES LIMITED (VISTARA)"/>
    <d v="2022-05-04T00:00:00"/>
    <d v="2023-05-03T00:00:00"/>
    <s v="AVI-PRD-027"/>
    <s v="AIRCREW LOSS OF LICENSE - GROUP"/>
    <n v="9590"/>
    <n v="12.502606882168926"/>
    <n v="1199"/>
    <s v="Delhi"/>
    <n v="387313"/>
    <s v="NE"/>
    <s v="Dilish"/>
    <s v="Suspense"/>
    <s v="Varun Malik"/>
    <x v="11"/>
    <n v="981"/>
    <s v="Yash"/>
    <m/>
    <m/>
    <m/>
    <m/>
    <s v="NE"/>
  </r>
  <r>
    <x v="0"/>
    <m/>
    <n v="212203"/>
    <s v="CBO 13 N-34 C.PLACE"/>
    <s v="OIC/23-24/079"/>
    <s v="212203/31/2024/180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212203"/>
    <s v="CBO 13 N-34 C.PLACE"/>
    <s v="OIC/23-24/080"/>
    <s v="212203/31/2024/206"/>
    <n v="0"/>
    <s v="THE DIRECTOR ANERT"/>
    <d v="2023-04-26T00:00:00"/>
    <d v="2024-04-25T00:00:00"/>
    <s v="MOT-PRD-015"/>
    <s v="STANDALONE OWN DAMAGE(OD)-PRIVATE CAR"/>
    <n v="8033"/>
    <n v="15.000622432466077"/>
    <n v="1205"/>
    <s v="Delhi"/>
    <s v="NE"/>
    <s v=" "/>
    <s v="Dilish"/>
    <s v="Suspense"/>
    <s v="Suspense"/>
    <x v="5"/>
    <n v="898"/>
    <s v="Ravi Kant"/>
    <s v="No"/>
    <m/>
    <m/>
    <m/>
    <s v="NE"/>
  </r>
  <r>
    <x v="0"/>
    <m/>
    <n v="222105"/>
    <s v="KANPUR DEHAT"/>
    <s v="OIC/23-24/081"/>
    <s v="222105/48/2024/79"/>
    <n v="0"/>
    <s v="VEDHAGIRI.D"/>
    <d v="2023-04-13T00:00:00"/>
    <d v="2024-04-12T00:00:00"/>
    <s v="MIST-PRD-094"/>
    <s v="ORIENTAL MEDICLAIM INSURANCE POLICY(INDIVIDUAL)"/>
    <n v="10565"/>
    <n v="15.002366303833412"/>
    <n v="1585"/>
    <s v="Delhi"/>
    <n v="427992"/>
    <n v="0"/>
    <s v="Dilish"/>
    <s v="Suspense"/>
    <s v="Ankit Kumar Gangwar"/>
    <x v="10"/>
    <n v="919"/>
    <s v="Ravi Kant"/>
    <m/>
    <m/>
    <m/>
    <s v="Done"/>
    <s v="Updation done"/>
  </r>
  <r>
    <x v="0"/>
    <m/>
    <n v="510000"/>
    <s v="CBRO DELHI"/>
    <s v="OIC/23-24/082"/>
    <s v="510000/48/2023/1590"/>
    <n v="1"/>
    <s v="WAT MEDIA PRIVATE LIMITED"/>
    <d v="2023-02-01T00:00:00"/>
    <d v="2023-12-31T00:00:00"/>
    <s v="MIST-PRD-001"/>
    <s v="GPA - NAMED"/>
    <n v="-2375"/>
    <n v="7.4947368421052634"/>
    <n v="-178"/>
    <s v="Delhi"/>
    <n v="429619"/>
    <s v="NE"/>
    <s v="Dilish"/>
    <s v="Suspense"/>
    <s v="Niladri Mangal Choudhury"/>
    <x v="4"/>
    <n v="969"/>
    <s v="Ravi Kant"/>
    <m/>
    <m/>
    <m/>
    <m/>
    <s v="NE"/>
  </r>
  <r>
    <x v="0"/>
    <m/>
    <n v="272200"/>
    <s v="DO 3 NEW DELHI"/>
    <s v="OIC/23-24/083"/>
    <s v="272200/31/2024/134"/>
    <n v="0"/>
    <s v=" M/S T.S. TRAVELS"/>
    <d v="2023-04-27T00:00:00"/>
    <d v="2024-04-26T00:00:00"/>
    <s v="MOT-PRD-005"/>
    <s v="PCCV"/>
    <n v="20132"/>
    <n v="6.3928074706934233"/>
    <n v="1287"/>
    <s v="Delhi"/>
    <s v="NE"/>
    <s v="NE"/>
    <s v="Ravi Kant"/>
    <s v="Suspense"/>
    <s v="Suspense"/>
    <x v="7"/>
    <s v="959_x0009_"/>
    <s v="Ravi Kant"/>
    <s v="No"/>
    <m/>
    <m/>
    <m/>
    <s v="NE"/>
  </r>
  <r>
    <x v="0"/>
    <m/>
    <n v="212203"/>
    <s v="CBO 13 N-34 C.PLACE"/>
    <s v="OIC/23-24/084"/>
    <s v="212203/31/2024/153"/>
    <n v="0"/>
    <s v="AGENCY FOR NON CONVENTIONAL ENERGY"/>
    <d v="2023-04-19T00:00:00"/>
    <d v="2024-04-18T00:00:00"/>
    <s v="MOT-PRD-015"/>
    <s v="STANDALONE OWN DAMAGE(OD)-PRIVATE CAR"/>
    <n v="8851"/>
    <n v="14.992656197039883"/>
    <n v="1327"/>
    <s v="Delhi"/>
    <n v="439398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085"/>
    <s v="212203/31/2024/69"/>
    <n v="0"/>
    <s v="AGENCY FOR NON CONVENTIONAL ENERGY"/>
    <d v="2023-04-07T00:00:00"/>
    <d v="2024-04-06T00:00:00"/>
    <s v="MOT-PRD-015"/>
    <s v="STANDALONE OWN DAMAGE(OD)-PRIVATE CAR"/>
    <n v="8851"/>
    <n v="14.992656197039883"/>
    <n v="1327"/>
    <s v="Delhi"/>
    <n v="439368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086"/>
    <s v="212203/31/2024/71"/>
    <n v="0"/>
    <s v="AGENCY FOR NON CONVENTIONAL ENERGY"/>
    <d v="2023-04-07T00:00:00"/>
    <d v="2024-04-06T00:00:00"/>
    <s v="MOT-PRD-015"/>
    <s v="STANDALONE OWN DAMAGE(OD)-PRIVATE CAR"/>
    <n v="8851"/>
    <n v="14.992656197039883"/>
    <n v="1327"/>
    <s v="Delhi"/>
    <n v="439370"/>
    <n v="0"/>
    <s v="Ravi Kant"/>
    <s v="Suspense"/>
    <s v="Suspense"/>
    <x v="5"/>
    <n v="898"/>
    <s v="Ravi Kant"/>
    <s v="No"/>
    <m/>
    <m/>
    <m/>
    <s v="Updation done"/>
  </r>
  <r>
    <x v="0"/>
    <m/>
    <n v="272200"/>
    <s v="DO 3 NEW DELHI"/>
    <s v="OIC/23-24/087"/>
    <s v="272200/31/2024/53"/>
    <n v="0"/>
    <s v="AVON CYCLES LIMITED"/>
    <d v="2023-04-07T00:00:00"/>
    <d v="2024-04-06T00:00:00"/>
    <s v="MOT-PRD-015"/>
    <s v="STANDALONE OWN DAMAGE(OD)-PRIVATE CAR"/>
    <n v="128269"/>
    <n v="15.000506747538376"/>
    <n v="19241"/>
    <s v="Delhi"/>
    <n v="442228"/>
    <n v="0"/>
    <s v="Ravi Kant"/>
    <s v="Suspense"/>
    <s v="Suspense"/>
    <x v="7"/>
    <n v="959"/>
    <s v="Ravi Kant"/>
    <s v="Yes"/>
    <n v="201374"/>
    <m/>
    <m/>
    <s v="Updation done in saiba"/>
  </r>
  <r>
    <x v="0"/>
    <m/>
    <n v="510000"/>
    <s v="CBRO DELHI"/>
    <s v="OIC/23-24/088"/>
    <s v="510000/48/2023/1406"/>
    <n v="2"/>
    <s v="Bharat Stars Services Private Limited"/>
    <d v="2023-01-30T00:00:00"/>
    <d v="2023-12-20T00:00:00"/>
    <s v="MIST-PRD-890"/>
    <s v="GROUP MEDICLAIM -TAILORMADE-RISK FLOATER"/>
    <n v="125661"/>
    <n v="2.1800001591583706"/>
    <n v="2739.41"/>
    <s v="Delhi"/>
    <n v="423165"/>
    <s v="E1"/>
    <s v="Ravi Kant"/>
    <s v="Suspense"/>
    <s v="Kamal Bora"/>
    <x v="4"/>
    <n v="969"/>
    <s v="Ravi Kant"/>
    <m/>
    <m/>
    <m/>
    <s v="Done"/>
    <s v="Updation done"/>
  </r>
  <r>
    <x v="0"/>
    <m/>
    <n v="510000"/>
    <s v="CBRO DELHI"/>
    <s v="OIC/23-24/089"/>
    <s v="510000/11/2023/300"/>
    <n v="3"/>
    <s v="Blink Commerce Private Limited"/>
    <d v="2022-09-17T00:00:00"/>
    <d v="2023-09-16T00:00:00"/>
    <s v="FIR-PRD-010"/>
    <s v="ORIENTAL BHARAT SOOKSHMA UDYAM SURAKSHA POLICY"/>
    <n v="735518"/>
    <n v="10.188329857325042"/>
    <n v="74937"/>
    <s v="Delhi"/>
    <n v="408699"/>
    <s v="E3"/>
    <s v="Ravi Kant"/>
    <s v="Suspense"/>
    <s v="Sahil Wadhwa"/>
    <x v="4"/>
    <n v="969"/>
    <s v="Ravi Kant"/>
    <m/>
    <m/>
    <m/>
    <s v="Done"/>
    <s v="Updation done"/>
  </r>
  <r>
    <x v="0"/>
    <m/>
    <n v="510000"/>
    <s v="CBRO DELHI"/>
    <s v="OIC/23-24/090"/>
    <s v="510000/48/2023/955"/>
    <n v="3"/>
    <s v="Blink Commerce Private Limited"/>
    <d v="2022-09-17T00:00:00"/>
    <d v="2023-09-16T00:00:00"/>
    <s v="MIST-PRD-753"/>
    <s v="BURGLARY FLOATER"/>
    <n v="32264"/>
    <n v="12.5"/>
    <n v="4033"/>
    <s v="Delhi"/>
    <n v="408700"/>
    <s v="E3"/>
    <s v="Ravi Kant"/>
    <s v="Suspense"/>
    <s v="Sahil Wadhwa"/>
    <x v="4"/>
    <n v="969"/>
    <s v="Ravi Kant"/>
    <m/>
    <m/>
    <m/>
    <s v="Done"/>
    <s v="Updation done"/>
  </r>
  <r>
    <x v="0"/>
    <m/>
    <n v="510000"/>
    <s v="CBRO DELHI"/>
    <s v="OIC/23-24/091"/>
    <s v="510000/48/2023/353"/>
    <n v="12"/>
    <s v="CARGO PARTNER LOGISTICS INDIA PRIVATE LIMITED"/>
    <d v="2022-04-16T00:00:00"/>
    <d v="2023-04-15T00:00:00"/>
    <s v="MIST-PRD-890"/>
    <s v="GROUP MEDICLAIM -TAILORMADE-RISK FLOATER"/>
    <n v="-36096"/>
    <n v="5"/>
    <n v="-1804.8"/>
    <s v="Delhi"/>
    <n v="385268"/>
    <s v="E6"/>
    <s v="Ravi Kant"/>
    <s v="Suspense"/>
    <s v="Ashish Saxena"/>
    <x v="4"/>
    <n v="969"/>
    <s v="Ravi Kant"/>
    <m/>
    <m/>
    <m/>
    <s v="Done"/>
    <s v="Updation done"/>
  </r>
  <r>
    <x v="0"/>
    <m/>
    <n v="212203"/>
    <s v="CBO 13 N-34 C.PLACE"/>
    <s v="OIC/23-24/092"/>
    <s v="212203/31/2024/131"/>
    <n v="0"/>
    <s v="CHIEF EXECUTIVE OFFICER, SOUADTGA"/>
    <d v="2023-04-18T00:00:00"/>
    <d v="2024-04-17T00:00:00"/>
    <s v="MOT-PRD-015"/>
    <s v="STANDALONE OWN DAMAGE(OD)-PRIVATE CAR"/>
    <n v="8033"/>
    <n v="15.000622432466077"/>
    <n v="1205"/>
    <s v="Delhi"/>
    <n v="439387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093"/>
    <s v="212203/31/2024/147"/>
    <n v="0"/>
    <s v="CHIEF EXECUTIVE OFFICER, SOUADTGA"/>
    <d v="2023-04-19T00:00:00"/>
    <d v="2024-04-18T00:00:00"/>
    <s v="MOT-PRD-015"/>
    <s v="STANDALONE OWN DAMAGE(OD)-PRIVATE CAR"/>
    <n v="8033"/>
    <n v="15.000622432466077"/>
    <n v="1205"/>
    <s v="Delhi"/>
    <n v="439392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094"/>
    <s v="212203/31/2024/148"/>
    <n v="0"/>
    <s v="CHIEF EXECUTIVE OFFICER, SOUADTGA"/>
    <d v="2023-04-19T00:00:00"/>
    <d v="2024-04-18T00:00:00"/>
    <s v="MOT-PRD-015"/>
    <s v="STANDALONE OWN DAMAGE(OD)-PRIVATE CAR"/>
    <n v="8033"/>
    <n v="15.000622432466077"/>
    <n v="1205"/>
    <s v="Delhi"/>
    <n v="439393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095"/>
    <s v="212203/31/2024/151"/>
    <n v="0"/>
    <s v="CHIEF EXECUTIVE OFFICER, SOUADTGA"/>
    <d v="2023-04-19T00:00:00"/>
    <d v="2024-04-18T00:00:00"/>
    <s v="MOT-PRD-015"/>
    <s v="STANDALONE OWN DAMAGE(OD)-PRIVATE CAR"/>
    <n v="8033"/>
    <n v="15.000622432466077"/>
    <n v="1205"/>
    <s v="Delhi"/>
    <n v="439396"/>
    <n v="0"/>
    <s v="Ravi Kant"/>
    <s v="Suspense"/>
    <s v="Suspense"/>
    <x v="5"/>
    <n v="898"/>
    <s v="Ravi Kant"/>
    <s v="No"/>
    <m/>
    <m/>
    <m/>
    <s v="Updation done"/>
  </r>
  <r>
    <x v="0"/>
    <m/>
    <n v="222104"/>
    <s v="CBO 1 KANPUR"/>
    <s v="OIC/23-24/096"/>
    <s v="222104/48/2023/926"/>
    <n v="5"/>
    <s v="CONSCIENT INFRASTRUCTURE PRIVATE LIMITED"/>
    <d v="2022-11-03T00:00:00"/>
    <d v="2023-11-02T00:00:00"/>
    <s v="MIST-PRD-890"/>
    <s v="GROUP MEDICLAIM -TAILORMADE-RISK FLOATER"/>
    <n v="-12223"/>
    <n v="5"/>
    <n v="-611.15"/>
    <s v="Delhi"/>
    <s v="NE"/>
    <s v="NE"/>
    <s v="Ravi Kant"/>
    <s v="Suspense"/>
    <s v="Suspense"/>
    <x v="6"/>
    <n v="916"/>
    <s v="Ravi Kant"/>
    <m/>
    <m/>
    <m/>
    <m/>
    <s v="NE"/>
  </r>
  <r>
    <x v="0"/>
    <m/>
    <n v="510000"/>
    <s v="CBRO DELHI"/>
    <s v="OIC/23-24/097"/>
    <s v="510000/48/2023/1584"/>
    <n v="1"/>
    <s v="DENTSU WEBCHUTNEY PRIVATE LIMITED"/>
    <d v="2023-02-07T00:00:00"/>
    <d v="2023-12-31T00:00:00"/>
    <s v="MIST-PRD-001"/>
    <s v="GPA - NAMED"/>
    <n v="1465"/>
    <n v="7.5085324232081909"/>
    <n v="110"/>
    <s v="Delhi"/>
    <s v="NE"/>
    <s v="NE"/>
    <s v="Ravi Kant"/>
    <s v="Suspense"/>
    <s v="Suspense"/>
    <x v="4"/>
    <n v="969"/>
    <s v="Ravi Kant"/>
    <m/>
    <m/>
    <m/>
    <m/>
    <s v="NE"/>
  </r>
  <r>
    <x v="0"/>
    <m/>
    <n v="212203"/>
    <s v="CBO 13 N-34 C.PLACE"/>
    <s v="OIC/23-24/098"/>
    <s v="212203/31/2024/170"/>
    <n v="0"/>
    <s v="DEPARTMENT OF COMMERCE"/>
    <d v="2023-04-18T00:00:00"/>
    <d v="2024-04-17T00:00:00"/>
    <s v="MOT-PRD-012"/>
    <s v="PRIVATE CAR-(3 Years)"/>
    <n v="18665"/>
    <n v="7.1309938387356011"/>
    <n v="1331"/>
    <s v="Delhi"/>
    <n v="439333"/>
    <n v="0"/>
    <s v="Ravi Kant"/>
    <s v="Suspense"/>
    <s v="Suspense"/>
    <x v="5"/>
    <n v="898"/>
    <s v="Ravi Kant"/>
    <s v="No"/>
    <m/>
    <m/>
    <m/>
    <s v="Updation done"/>
  </r>
  <r>
    <x v="0"/>
    <m/>
    <n v="163900"/>
    <s v="DO 5 PUNE"/>
    <s v="OIC/23-24/099"/>
    <s v="163900/44/2023/22"/>
    <n v="2"/>
    <s v="Eagle Infra India Limited"/>
    <d v="2023-01-07T00:00:00"/>
    <d v="2026-01-06T00:00:00"/>
    <s v="ENG-PRD-002"/>
    <s v="CONTRACTORS ALL RISK"/>
    <n v="3343327.94"/>
    <n v="1.5724751189080184"/>
    <n v="52573"/>
    <s v="Delhi"/>
    <s v="NE"/>
    <s v="NE"/>
    <s v="Ravi Kant"/>
    <s v="Suspense"/>
    <s v="Suspense"/>
    <x v="9"/>
    <n v="758"/>
    <s v="Yash"/>
    <m/>
    <m/>
    <m/>
    <m/>
    <s v="NE"/>
  </r>
  <r>
    <x v="0"/>
    <m/>
    <n v="163900"/>
    <s v="DO 5 PUNE"/>
    <s v="OIC/23-24/100"/>
    <s v="163900/44/2023/23"/>
    <n v="2"/>
    <s v="Eagle Infra India Limited"/>
    <d v="2023-01-09T00:00:00"/>
    <d v="2026-01-06T00:00:00"/>
    <s v="ENG-PRD-002"/>
    <s v="CONTRACTORS ALL RISK"/>
    <n v="1825414.74"/>
    <n v="1.5724645676959965"/>
    <n v="28704"/>
    <s v="Delhi"/>
    <s v="NE"/>
    <s v="NE"/>
    <s v="Ravi Kant"/>
    <s v="Suspense"/>
    <s v="Suspense"/>
    <x v="9"/>
    <n v="758"/>
    <s v="Yash"/>
    <m/>
    <m/>
    <m/>
    <m/>
    <s v="NE"/>
  </r>
  <r>
    <x v="0"/>
    <m/>
    <n v="212203"/>
    <s v="CBO 13 N-34 C.PLACE"/>
    <s v="OIC/23-24/101"/>
    <s v="212203/31/2024/194"/>
    <n v="0"/>
    <s v="ENERGY EFFICIENCY SERVICES LIMITED"/>
    <d v="2023-04-23T00:00:00"/>
    <d v="2024-04-22T00:00:00"/>
    <s v="MOT-PRD-001"/>
    <s v="PRIVATE CAR"/>
    <n v="9216"/>
    <n v="12.250434027777779"/>
    <n v="1129"/>
    <s v="Delhi"/>
    <n v="437848"/>
    <n v="0"/>
    <s v="Ravi Kant"/>
    <s v="Suspense"/>
    <s v="Suspense"/>
    <x v="5"/>
    <n v="898"/>
    <s v="Ravi Kant"/>
    <s v="Yes"/>
    <n v="193931"/>
    <m/>
    <m/>
    <s v="Updation done"/>
  </r>
  <r>
    <x v="0"/>
    <m/>
    <n v="212203"/>
    <s v="CBO 13 N-34 C.PLACE"/>
    <s v="OIC/23-24/102"/>
    <s v="212203/31/2024/195"/>
    <n v="0"/>
    <s v="ENERGY EFFICIENCY SERVICES LIMITED"/>
    <d v="2023-04-23T00:00:00"/>
    <d v="2024-04-22T00:00:00"/>
    <s v="MOT-PRD-001"/>
    <s v="PRIVATE CAR"/>
    <n v="10053"/>
    <n v="12.473888391524918"/>
    <n v="1254"/>
    <s v="Delhi"/>
    <n v="437849"/>
    <n v="0"/>
    <s v="Ravi Kant"/>
    <s v="Suspense"/>
    <s v="Suspense"/>
    <x v="5"/>
    <n v="898"/>
    <s v="Ravi Kant"/>
    <s v="Yes"/>
    <n v="193931"/>
    <m/>
    <m/>
    <s v="Updation done"/>
  </r>
  <r>
    <x v="0"/>
    <m/>
    <n v="212203"/>
    <s v="CBO 13 N-34 C.PLACE"/>
    <s v="OIC/23-24/103"/>
    <s v="212203/31/2024/93"/>
    <n v="0"/>
    <s v="ENERGY EFFICIENCY SERVICES LIMITED"/>
    <d v="2023-04-11T00:00:00"/>
    <d v="2024-04-10T00:00:00"/>
    <s v="MOT-PRD-001"/>
    <s v="PRIVATE CAR"/>
    <n v="9364"/>
    <n v="12.29175565997437"/>
    <n v="1151"/>
    <s v="Delhi"/>
    <n v="437845"/>
    <n v="0"/>
    <s v="Ravi Kant"/>
    <s v="Suspense"/>
    <s v="Suspense"/>
    <x v="5"/>
    <n v="898"/>
    <s v="Ravi Kant"/>
    <s v="Yes"/>
    <n v="193931"/>
    <m/>
    <m/>
    <s v="Updation done"/>
  </r>
  <r>
    <x v="0"/>
    <m/>
    <n v="212203"/>
    <s v="CBO 13 N-34 C.PLACE"/>
    <s v="OIC/23-24/104"/>
    <s v="212203/31/2024/213"/>
    <n v="0"/>
    <s v="Energy Efficiency Services Ltd."/>
    <d v="2023-04-26T00:00:00"/>
    <d v="2024-04-25T00:00:00"/>
    <s v="MOT-PRD-001"/>
    <s v="PRIVATE CAR"/>
    <n v="9028"/>
    <n v="12.1953921134249"/>
    <n v="1101"/>
    <s v="Delhi"/>
    <n v="437852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05"/>
    <s v="212203/31/2024/214"/>
    <n v="0"/>
    <s v="Energy Efficiency Services Ltd."/>
    <d v="2023-04-26T00:00:00"/>
    <d v="2024-04-25T00:00:00"/>
    <s v="MOT-PRD-001"/>
    <s v="PRIVATE CAR"/>
    <n v="8808"/>
    <n v="12.125340599455042"/>
    <n v="1068"/>
    <s v="Delhi"/>
    <n v="437853"/>
    <n v="0"/>
    <s v="Ravi Kant"/>
    <s v="Suspense"/>
    <s v="Suspense"/>
    <x v="5"/>
    <n v="898"/>
    <s v="Ravi Kant"/>
    <s v="No"/>
    <m/>
    <m/>
    <m/>
    <s v="Updation done"/>
  </r>
  <r>
    <x v="0"/>
    <m/>
    <n v="231202"/>
    <s v="BO PANCHKULA "/>
    <s v="OIC/23-24/106"/>
    <s v="231202/48/2024/82"/>
    <n v="0"/>
    <s v="ESSAAR COATINGS INDIA LIMITED"/>
    <d v="2023-04-22T00:00:00"/>
    <d v="2024-04-21T00:00:00"/>
    <s v="MIST-PRD-751"/>
    <s v="BURGLARY"/>
    <n v="1710"/>
    <n v="16.491228070175438"/>
    <n v="282"/>
    <s v="Delhi"/>
    <n v="443127"/>
    <n v="0"/>
    <s v="Ravi Kant"/>
    <s v="Suspense"/>
    <s v="Suspense"/>
    <x v="12"/>
    <n v="923"/>
    <s v="Ravi Kant"/>
    <s v="No"/>
    <m/>
    <m/>
    <m/>
    <s v="Updation done"/>
  </r>
  <r>
    <x v="0"/>
    <m/>
    <n v="231202"/>
    <s v="BO PANCHKULA "/>
    <s v="OIC/23-24/107"/>
    <s v="231202/44/2024/2"/>
    <n v="0"/>
    <s v="ESSAAR COATINGS INDIA LTD"/>
    <d v="2023-04-22T00:00:00"/>
    <d v="2024-04-21T00:00:00"/>
    <s v="ENG-PRD-005"/>
    <s v="BOILER AND PRESSURE PLANT INSURANCE"/>
    <n v="5850"/>
    <n v="12.495726495726496"/>
    <n v="731"/>
    <s v="Delhi"/>
    <n v="443468"/>
    <n v="0"/>
    <s v="Ravi Kant"/>
    <s v="Suspense"/>
    <s v="Suspense"/>
    <x v="12"/>
    <n v="923"/>
    <s v="Ravi Kant"/>
    <s v="No"/>
    <m/>
    <m/>
    <m/>
    <s v="Updation done"/>
  </r>
  <r>
    <x v="0"/>
    <m/>
    <n v="272200"/>
    <s v="DO 3 NEW DELHI"/>
    <s v="OIC/23-24/108"/>
    <s v="272200/31/2024/85"/>
    <n v="0"/>
    <s v="GITS FOOD PRODUCTS PRIVATE LIMITED"/>
    <d v="2023-04-14T00:00:00"/>
    <d v="2024-04-13T00:00:00"/>
    <s v="MOT-PRD-001"/>
    <s v="PRIVATE CAR"/>
    <n v="127908"/>
    <n v="14.044469462426118"/>
    <n v="17964"/>
    <s v="Delhi"/>
    <n v="435416"/>
    <n v="0"/>
    <s v="Ravi Kant"/>
    <s v="Suspense"/>
    <s v="Suspense"/>
    <x v="7"/>
    <n v="959"/>
    <s v="Ravi Kant"/>
    <s v="No"/>
    <m/>
    <m/>
    <m/>
    <s v="Updation done in saiba"/>
  </r>
  <r>
    <x v="0"/>
    <m/>
    <n v="212203"/>
    <s v="CBO 13 N-34 C.PLACE"/>
    <s v="OIC/23-24/109"/>
    <s v="212203/31/2024/98"/>
    <n v="0"/>
    <s v="GOA ENERGY DEVELOPMENT AGENCY"/>
    <d v="2023-04-11T00:00:00"/>
    <d v="2024-04-10T00:00:00"/>
    <s v="MOT-PRD-015"/>
    <s v="STANDALONE OWN DAMAGE(OD)-PRIVATE CAR"/>
    <n v="8033"/>
    <n v="15.000622432466077"/>
    <n v="1205"/>
    <s v="Delhi"/>
    <n v="439378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10"/>
    <s v="212203/31/2024/110"/>
    <n v="0"/>
    <s v="GUJARAT POWER CORPORATION LTD."/>
    <d v="2023-04-12T00:00:00"/>
    <d v="2024-04-11T00:00:00"/>
    <s v="MOT-PRD-015"/>
    <s v="STANDALONE OWN DAMAGE(OD)-PRIVATE CAR"/>
    <n v="8033"/>
    <n v="15.000622432466077"/>
    <n v="1205"/>
    <s v="Delhi"/>
    <n v="439380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11"/>
    <s v="212203/11/2024/13"/>
    <n v="0"/>
    <s v="HAVELLS INDIA LTD"/>
    <d v="2023-04-01T00:00:00"/>
    <d v="2024-03-31T00:00:00"/>
    <s v="FIR-PRD-006"/>
    <s v="STANDARD FIRE -- New Tariff"/>
    <n v="1042581"/>
    <n v="11.499921828615713"/>
    <n v="119896"/>
    <s v="Delhi"/>
    <n v="434334"/>
    <n v="0"/>
    <s v="Ravi Kant"/>
    <s v="Suspense"/>
    <s v="Suspense"/>
    <x v="5"/>
    <n v="898"/>
    <s v="Ravi Kant"/>
    <s v="No"/>
    <m/>
    <m/>
    <m/>
    <s v="Updation done"/>
  </r>
  <r>
    <x v="0"/>
    <m/>
    <n v="510000"/>
    <s v="CBRO DELHI"/>
    <s v="OIC/23-24/112"/>
    <s v="510000/48/2023/1411"/>
    <n v="6"/>
    <s v="HAYS BUSINESS SOLUTIONS PVT LTD"/>
    <d v="2023-01-01T00:00:00"/>
    <d v="2023-12-31T00:00:00"/>
    <s v="MIST-PRD-890"/>
    <s v="GROUP MEDICLAIM -TAILORMADE-RISK FLOATER"/>
    <n v="-138149"/>
    <n v="7.5000036192806316"/>
    <n v="-10361.18"/>
    <s v="Delhi"/>
    <s v="NE"/>
    <s v="NE"/>
    <s v="Ravi Kant"/>
    <s v="Suspense"/>
    <s v="Suspense"/>
    <x v="4"/>
    <n v="969"/>
    <s v="Ravi Kant"/>
    <m/>
    <m/>
    <m/>
    <m/>
    <s v="NE"/>
  </r>
  <r>
    <x v="0"/>
    <m/>
    <n v="215600"/>
    <s v="DO 4 NEW DELHI"/>
    <s v="OIC/23-24/113"/>
    <s v="215600/48/2023/1883"/>
    <n v="7"/>
    <s v="HCL INFOSYSTEMS LTD"/>
    <d v="2022-10-01T00:00:00"/>
    <d v="2023-09-30T00:00:00"/>
    <s v="MIST-PRD-890"/>
    <s v="GROUP MEDICLAIM -TAILORMADE-RISK FLOATER"/>
    <n v="-8142"/>
    <n v="7.5042986981085731"/>
    <n v="-611"/>
    <s v="Delhi"/>
    <n v="405703"/>
    <s v="E1"/>
    <s v="Ravi Kant"/>
    <s v="Suspense"/>
    <s v="Ishita Sharma"/>
    <x v="13"/>
    <n v="901"/>
    <s v="Ravi Kant"/>
    <m/>
    <m/>
    <m/>
    <m/>
    <s v="unable to update"/>
  </r>
  <r>
    <x v="0"/>
    <m/>
    <n v="272200"/>
    <s v="DO 3 NEW DELHI"/>
    <s v="OIC/23-24/114"/>
    <s v="272200/31/2024/8"/>
    <n v="0"/>
    <s v="HSIL LIMITED"/>
    <d v="2023-04-01T00:00:00"/>
    <d v="2024-03-31T00:00:00"/>
    <s v="MOT-PRD-001"/>
    <s v="PRIVATE CAR"/>
    <n v="4470"/>
    <n v="4.5861297539149888"/>
    <n v="205"/>
    <s v="Delhi"/>
    <n v="423847"/>
    <n v="0"/>
    <s v="Ravi Kant"/>
    <s v="Suspense"/>
    <s v="Suspense"/>
    <x v="7"/>
    <s v="959_x0009_"/>
    <s v="Ravi Kant"/>
    <s v="No"/>
    <m/>
    <m/>
    <m/>
    <s v="Updation done"/>
  </r>
  <r>
    <x v="0"/>
    <m/>
    <n v="231202"/>
    <s v="BO PANCHKULA "/>
    <s v="OIC/23-24/115"/>
    <s v="231202/48/2024/34"/>
    <n v="0"/>
    <s v="Indonet Technology"/>
    <d v="2023-04-06T00:00:00"/>
    <d v="2024-04-05T00:00:00"/>
    <s v="MIST-PRD-751"/>
    <s v="BURGLARY"/>
    <n v="1731"/>
    <n v="16.522241478913923"/>
    <n v="286"/>
    <s v="Delhi"/>
    <n v="437288"/>
    <n v="0"/>
    <s v="Ravi Kant"/>
    <s v="Suspense"/>
    <s v="Suspense"/>
    <x v="12"/>
    <n v="923"/>
    <s v="Ravi Kant"/>
    <s v="No"/>
    <m/>
    <m/>
    <m/>
    <s v="Updation done"/>
  </r>
  <r>
    <x v="0"/>
    <m/>
    <n v="510000"/>
    <s v="CBRO DELHI"/>
    <s v="OIC/23-24/116"/>
    <s v="510000/48/2023/632"/>
    <n v="3"/>
    <s v="JCB INDIA LIMITED"/>
    <d v="2022-06-01T00:00:00"/>
    <d v="2023-05-31T00:00:00"/>
    <s v="MIST-PRD-751"/>
    <s v="BURGLARY"/>
    <n v="37"/>
    <n v="12.513513513513514"/>
    <n v="4.63"/>
    <s v="Delhi"/>
    <s v="NE"/>
    <s v="NE"/>
    <s v="Ravi Kant"/>
    <s v="Suspense"/>
    <s v="Suspense"/>
    <x v="4"/>
    <n v="969"/>
    <s v="Ravi Kant"/>
    <m/>
    <m/>
    <m/>
    <m/>
    <s v="NE"/>
  </r>
  <r>
    <x v="0"/>
    <m/>
    <n v="510000"/>
    <s v="CBRO DELHI"/>
    <s v="OIC/23-24/117"/>
    <s v="510000/48/2023/677"/>
    <n v="12"/>
    <s v="JCB INDIA LTD."/>
    <d v="2022-06-01T00:00:00"/>
    <d v="2023-05-31T00:00:00"/>
    <s v="MIST-PRD-890"/>
    <s v="GROUP MEDICLAIM -TAILORMADE-RISK FLOATER"/>
    <n v="15722"/>
    <n v="0"/>
    <n v="0"/>
    <s v="Delhi"/>
    <s v="NE"/>
    <s v="NE"/>
    <s v="Ravi Kant"/>
    <s v="Suspense"/>
    <s v="Suspense"/>
    <x v="4"/>
    <n v="969"/>
    <s v="Ravi Kant"/>
    <m/>
    <m/>
    <m/>
    <m/>
    <s v="NE"/>
  </r>
  <r>
    <x v="0"/>
    <m/>
    <n v="510000"/>
    <s v="CBRO DELHI"/>
    <s v="OIC/23-24/118"/>
    <s v="510000/48/2023/718"/>
    <n v="8"/>
    <s v="JCB INDIA LTD."/>
    <d v="2022-06-01T00:00:00"/>
    <d v="2023-05-31T00:00:00"/>
    <s v="MIST-PRD-001"/>
    <s v="GPA - NAMED"/>
    <n v="-3736"/>
    <n v="7.4946466809421839"/>
    <n v="-280"/>
    <s v="Delhi"/>
    <s v="NE"/>
    <s v="NE"/>
    <s v="Ravi Kant"/>
    <s v="Suspense"/>
    <s v="Suspense"/>
    <x v="4"/>
    <n v="969"/>
    <s v="Ravi Kant"/>
    <m/>
    <m/>
    <m/>
    <m/>
    <s v="NE"/>
  </r>
  <r>
    <x v="0"/>
    <m/>
    <n v="510000"/>
    <s v="CBRO DELHI"/>
    <s v="OIC/23-24/119"/>
    <s v="510000/48/2023/719"/>
    <n v="9"/>
    <s v="JCB INDIA LTD."/>
    <d v="2022-06-01T00:00:00"/>
    <d v="2023-05-31T00:00:00"/>
    <s v="MIST-PRD-001"/>
    <s v="GPA - NAMED"/>
    <n v="1368"/>
    <n v="7.5292397660818713"/>
    <n v="103"/>
    <s v="Delhi"/>
    <s v="NE"/>
    <s v="NE"/>
    <s v="Ravi Kant"/>
    <s v="Suspense"/>
    <s v="Suspense"/>
    <x v="4"/>
    <n v="969"/>
    <s v="Ravi Kant"/>
    <m/>
    <m/>
    <m/>
    <m/>
    <s v="NE"/>
  </r>
  <r>
    <x v="0"/>
    <m/>
    <n v="510000"/>
    <s v="CBRO DELHI"/>
    <s v="OIC/23-24/120"/>
    <s v="510000/48/2023/722"/>
    <n v="7"/>
    <s v="JCB INDUSTRIES PRIVATE LIMITED"/>
    <d v="2022-07-22T00:00:00"/>
    <d v="2023-07-21T00:00:00"/>
    <s v="MIST-PRD-001"/>
    <s v="GPA - NAMED"/>
    <n v="1016"/>
    <n v="7.4803149606299213"/>
    <n v="76"/>
    <s v="Delhi"/>
    <s v="NE"/>
    <s v="NE"/>
    <s v="Ravi Kant"/>
    <s v="Suspense"/>
    <s v="Suspense"/>
    <x v="4"/>
    <n v="969"/>
    <s v="Ravi Kant"/>
    <m/>
    <m/>
    <m/>
    <m/>
    <s v="NE"/>
  </r>
  <r>
    <x v="0"/>
    <m/>
    <n v="510000"/>
    <s v="CBRO DELHI"/>
    <s v="OIC/23-24/121"/>
    <s v="510000/48/2023/721"/>
    <n v="4"/>
    <s v="JCB POWER PRODUCTS INDIA PVT. LTD."/>
    <d v="2022-06-01T00:00:00"/>
    <d v="2023-05-31T00:00:00"/>
    <s v="MIST-PRD-001"/>
    <s v="GPA - NAMED"/>
    <n v="-143"/>
    <n v="7.6923076923076925"/>
    <n v="-11"/>
    <s v="Delhi"/>
    <s v="NE"/>
    <s v="NE"/>
    <s v="Ravi Kant"/>
    <s v="Suspense"/>
    <s v="Suspense"/>
    <x v="4"/>
    <n v="969"/>
    <s v="Ravi Kant"/>
    <m/>
    <m/>
    <m/>
    <m/>
    <s v="NE"/>
  </r>
  <r>
    <x v="0"/>
    <m/>
    <n v="510000"/>
    <s v="CBRO DELHI"/>
    <s v="OIC/23-24/122"/>
    <s v="510000/48/2023/746"/>
    <n v="9"/>
    <s v="JETSYNTHESYS PRIVATE LIMITED"/>
    <d v="2022-06-01T00:00:00"/>
    <d v="2023-05-06T00:00:00"/>
    <s v="MIST-PRD-890"/>
    <s v="GROUP MEDICLAIM -TAILORMADE-RISK FLOATER"/>
    <n v="-8262"/>
    <n v="7.5"/>
    <n v="-619.65"/>
    <s v="Delhi"/>
    <n v="388562"/>
    <s v="E9"/>
    <s v="Ravi Kant"/>
    <s v="Suspense"/>
    <s v="Pravin Arun Jagtap"/>
    <x v="4"/>
    <n v="969"/>
    <s v="Ravi Kant"/>
    <m/>
    <m/>
    <m/>
    <s v="Done"/>
    <s v="Updation done"/>
  </r>
  <r>
    <x v="0"/>
    <m/>
    <n v="510000"/>
    <s v="CBRO DELHI"/>
    <s v="OIC/23-24/280"/>
    <s v="510000/48/2023/797"/>
    <n v="8"/>
    <s v="INNOVAPTIVE GLOBAL SOLUTIONS PRIVATE LIMITED"/>
    <d v="2022-07-15T00:00:00"/>
    <d v="2023-07-14T00:00:00"/>
    <s v="MIST-PRD-890"/>
    <s v="GROUP MEDICLAIM -TAILORMADE-RISK FLOATER"/>
    <n v="-8172"/>
    <n v="5"/>
    <n v="-408.6"/>
    <s v="Delhi"/>
    <n v="397706"/>
    <s v="E8"/>
    <s v="Sachin"/>
    <s v="Suspense"/>
    <s v="Manisha Marda"/>
    <x v="4"/>
    <n v="969"/>
    <s v="Ravi Kant"/>
    <m/>
    <m/>
    <m/>
    <m/>
    <s v="Updation done in saiba"/>
  </r>
  <r>
    <x v="0"/>
    <m/>
    <n v="510000"/>
    <s v="CBRO DELHI"/>
    <s v="OIC/23-24/124"/>
    <s v="510000/48/2023/1597"/>
    <n v="1"/>
    <s v="LADY BAMFORD FOUNDATION"/>
    <d v="2023-02-01T00:00:00"/>
    <d v="2024-01-31T00:00:00"/>
    <s v="MIST-PRD-890"/>
    <s v="GROUP MEDICLAIM -TAILORMADE-RISK FLOATER"/>
    <n v="9973"/>
    <n v="7.5000501353654867"/>
    <n v="747.98"/>
    <s v="Delhi"/>
    <s v="NE"/>
    <s v="NE"/>
    <s v="Ravi Kant"/>
    <s v="Suspense"/>
    <s v="Suspense"/>
    <x v="4"/>
    <n v="969"/>
    <s v="Ravi Kant"/>
    <m/>
    <m/>
    <m/>
    <m/>
    <s v="NE"/>
  </r>
  <r>
    <x v="0"/>
    <m/>
    <n v="212203"/>
    <s v="CBO 13 N-34 C.PLACE"/>
    <s v="OIC/23-24/125"/>
    <s v="212203/31/2024/228"/>
    <n v="0"/>
    <s v="LESSEE PARLIAMENT SECURITY SERVICE"/>
    <d v="2023-04-29T00:00:00"/>
    <d v="2024-04-28T00:00:00"/>
    <s v="MOT-PRD-001"/>
    <s v="PRIVATE CAR"/>
    <n v="9864"/>
    <n v="12.429034874290348"/>
    <n v="1226"/>
    <s v="Delhi"/>
    <n v="439325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26"/>
    <s v="212203/31/2024/231"/>
    <n v="0"/>
    <s v="LESSEE PARLIAMENT SECURITY SERVICE"/>
    <d v="2023-04-29T00:00:00"/>
    <d v="2024-04-28T00:00:00"/>
    <s v="MOT-PRD-001"/>
    <s v="PRIVATE CAR"/>
    <n v="9047"/>
    <n v="12.202940201171659"/>
    <n v="1104"/>
    <s v="Delhi"/>
    <n v="439328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27"/>
    <s v="212203/31/2024/232"/>
    <n v="0"/>
    <s v="LESSEE PARLIAMENT SECURITY SERVICE"/>
    <d v="2023-04-29T00:00:00"/>
    <d v="2024-04-28T00:00:00"/>
    <s v="MOT-PRD-001"/>
    <s v="PRIVATE CAR"/>
    <n v="9047"/>
    <n v="12.202940201171659"/>
    <n v="1104"/>
    <s v="Delhi"/>
    <n v="439329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28"/>
    <s v="212203/31/2024/74"/>
    <n v="0"/>
    <s v="LESSEE POWER GRID CORPORATION OF INDIA LTD."/>
    <d v="2023-04-08T00:00:00"/>
    <d v="2024-04-07T00:00:00"/>
    <s v="MOT-PRD-015"/>
    <s v="STANDALONE OWN DAMAGE(OD)-PRIVATE CAR"/>
    <n v="8851"/>
    <n v="14.992656197039883"/>
    <n v="1327"/>
    <s v="Delhi"/>
    <n v="439373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29"/>
    <s v="212203/31/2024/186"/>
    <n v="0"/>
    <s v="LOK SABHA SECRETARIAT"/>
    <d v="2023-04-18T00:00:00"/>
    <d v="2024-04-17T00:00:00"/>
    <s v="MOT-PRD-012"/>
    <s v="PRIVATE CAR-(3 Years)"/>
    <n v="18665"/>
    <n v="7.1309938387356011"/>
    <n v="1331"/>
    <s v="Delhi"/>
    <n v="439338"/>
    <n v="0"/>
    <s v="Ravi Kant"/>
    <s v="Suspense"/>
    <s v="Suspense"/>
    <x v="5"/>
    <n v="898"/>
    <s v="Ravi Kant"/>
    <s v="No"/>
    <m/>
    <m/>
    <m/>
    <s v="Updation done"/>
  </r>
  <r>
    <x v="0"/>
    <m/>
    <n v="231202"/>
    <s v="BO PANCHKULA "/>
    <s v="OIC/23-24/130"/>
    <s v="231202/11/2024/22"/>
    <n v="0"/>
    <s v="M/S ESSAAR COATINGS INDIA LTD"/>
    <d v="2023-04-22T00:00:00"/>
    <d v="2024-04-21T00:00:00"/>
    <s v="FIR-PRD-012"/>
    <s v="ORIENTAL INSURANCE - FLEXI BHARAT LAGHU UDYAM SURAKSHA"/>
    <n v="169518"/>
    <n v="11.500843568234641"/>
    <n v="19496"/>
    <s v="Delhi"/>
    <n v="443122"/>
    <n v="0"/>
    <s v="Ravi Kant"/>
    <s v="Suspense"/>
    <s v="Suspense"/>
    <x v="12"/>
    <n v="923"/>
    <s v="Ravi Kant"/>
    <s v="No"/>
    <m/>
    <m/>
    <s v="Updation done in saiba"/>
    <s v="NE"/>
  </r>
  <r>
    <x v="0"/>
    <m/>
    <n v="212200"/>
    <s v="NEW DELHI DO 10"/>
    <s v="OIC/23-24/131"/>
    <s v="212200/11/2023/29"/>
    <n v="3"/>
    <s v="M/s EXCEL PACK PVT LTD."/>
    <d v="2022-06-13T00:00:00"/>
    <d v="2023-06-12T00:00:00"/>
    <s v="FIR-PRD-009"/>
    <s v="ORIENTAL BHARAT LAGHU UDYAM SURAKSHA POLICY"/>
    <n v="4317"/>
    <n v="10.632383599722029"/>
    <n v="459"/>
    <s v="Delhi"/>
    <s v="NE"/>
    <s v="NE"/>
    <s v="Ravi Kant"/>
    <s v="Suspense"/>
    <s v="Suspense"/>
    <x v="14"/>
    <n v="894"/>
    <s v="Ravi Kant"/>
    <m/>
    <m/>
    <m/>
    <m/>
    <s v="NE"/>
  </r>
  <r>
    <x v="0"/>
    <m/>
    <n v="163900"/>
    <s v="DO 5 PUNE"/>
    <s v="OIC/23-24/132"/>
    <s v="163900/48/2024/274"/>
    <n v="0"/>
    <s v="M/S INDERDEEP CONSTRUCTION CO. &amp; NATIONAL HIGHWAYS AUTHORITY OF INDIA"/>
    <d v="2023-04-13T00:00:00"/>
    <d v="2024-04-12T00:00:00"/>
    <s v="MIST-PRD-049"/>
    <s v="SPECIAL CONTINGENCY - POLICY"/>
    <n v="31594"/>
    <n v="12.505539026397416"/>
    <n v="3951"/>
    <s v="Delhi"/>
    <n v="430160"/>
    <n v="0"/>
    <s v="Ravi Kant"/>
    <s v="Suspense"/>
    <s v="Suspense"/>
    <x v="9"/>
    <n v="758"/>
    <s v="Yash"/>
    <s v="No"/>
    <m/>
    <m/>
    <s v="Updation done"/>
    <s v="Updation done"/>
  </r>
  <r>
    <x v="0"/>
    <m/>
    <n v="272200"/>
    <s v="DO 3 NEW DELHI"/>
    <s v="OIC/23-24/133"/>
    <s v="272200/31/2024/113"/>
    <n v="0"/>
    <s v="M/S TYNOR ORTHOTIC P LTD"/>
    <d v="2023-04-21T00:00:00"/>
    <d v="2024-04-20T00:00:00"/>
    <s v="MOT-PRD-002"/>
    <s v="MOTORISED-TWO WHEELERS"/>
    <n v="828"/>
    <n v="4.5893719806763285"/>
    <n v="38"/>
    <s v="Delhi"/>
    <n v="427816"/>
    <n v="0"/>
    <s v="Ravi Kant"/>
    <s v="Suspense"/>
    <s v="Suspense"/>
    <x v="7"/>
    <s v="959_x0009_"/>
    <s v="Ravi Kant"/>
    <s v="No"/>
    <m/>
    <m/>
    <m/>
    <s v="Updation done"/>
  </r>
  <r>
    <x v="0"/>
    <m/>
    <n v="272200"/>
    <s v="DO 3 NEW DELHI"/>
    <s v="OIC/23-24/134"/>
    <s v="272200/31/2024/128"/>
    <n v="0"/>
    <s v="M/S TYNOR ORTHOTIC P LTD"/>
    <d v="2023-04-26T00:00:00"/>
    <d v="2024-04-25T00:00:00"/>
    <s v="MOT-PRD-002"/>
    <s v="MOTORISED-TWO WHEELERS"/>
    <n v="837"/>
    <n v="4.7789725209080052"/>
    <n v="40"/>
    <s v="Delhi"/>
    <n v="428471"/>
    <n v="0"/>
    <s v="Ravi Kant"/>
    <s v="Suspense"/>
    <s v="Suspense"/>
    <x v="7"/>
    <s v="959_x0009_"/>
    <s v="Ravi Kant"/>
    <s v="No"/>
    <m/>
    <m/>
    <m/>
    <s v="Updation done"/>
  </r>
  <r>
    <x v="0"/>
    <m/>
    <n v="272200"/>
    <s v="DO 3 NEW DELHI"/>
    <s v="OIC/23-24/135"/>
    <s v="272200/31/2024/132"/>
    <n v="0"/>
    <s v="M/S TYNOR ORTHOTIC P LTD"/>
    <d v="2023-04-27T00:00:00"/>
    <d v="2024-04-26T00:00:00"/>
    <s v="MOT-PRD-015"/>
    <s v="STANDALONE OWN DAMAGE(OD)-PRIVATE CAR"/>
    <n v="6549"/>
    <n v="15.009925179416705"/>
    <n v="983"/>
    <s v="Delhi"/>
    <n v="428777"/>
    <n v="0"/>
    <s v="Ravi Kant"/>
    <s v="Suspense"/>
    <s v="Suspense"/>
    <x v="7"/>
    <s v="959_x0009_"/>
    <s v="Ravi Kant"/>
    <s v="No"/>
    <m/>
    <m/>
    <m/>
    <s v="Updation done"/>
  </r>
  <r>
    <x v="0"/>
    <m/>
    <n v="272200"/>
    <s v="DO 3 NEW DELHI"/>
    <s v="OIC/23-24/136"/>
    <s v="272200/31/2024/28"/>
    <n v="0"/>
    <s v="M/S TYNOR ORTHOTICS PVT LTD"/>
    <d v="2023-04-07T00:00:00"/>
    <d v="2024-04-06T00:00:00"/>
    <s v="MOT-PRD-001"/>
    <s v="PRIVATE CAR"/>
    <n v="10906"/>
    <n v="5.8866678892352837"/>
    <n v="642"/>
    <s v="Delhi"/>
    <s v="NE"/>
    <s v="NE"/>
    <s v="Ravi Kant"/>
    <s v="Suspense"/>
    <s v="Suspense"/>
    <x v="7"/>
    <s v="959_x0009_"/>
    <s v="Ravi Kant"/>
    <s v="No"/>
    <m/>
    <m/>
    <m/>
    <s v="NE"/>
  </r>
  <r>
    <x v="0"/>
    <m/>
    <n v="272200"/>
    <s v="DO 3 NEW DELHI"/>
    <s v="OIC/23-24/137"/>
    <s v="272200/31/2024/29"/>
    <n v="0"/>
    <s v="M/S TYNOR ORTHOTICS PVT LTD"/>
    <d v="2023-04-06T00:00:00"/>
    <d v="2024-04-05T00:00:00"/>
    <s v="MOT-PRD-001"/>
    <s v="PRIVATE CAR"/>
    <n v="4646"/>
    <n v="5.6607834696513128"/>
    <n v="263"/>
    <s v="Delhi"/>
    <s v="NE"/>
    <s v="NE"/>
    <s v="Ravi Kant"/>
    <s v="Suspense"/>
    <s v="Suspense"/>
    <x v="7"/>
    <s v="959_x0009_"/>
    <s v="Ravi Kant"/>
    <s v="No"/>
    <m/>
    <m/>
    <m/>
    <s v="NE"/>
  </r>
  <r>
    <x v="0"/>
    <m/>
    <n v="510000"/>
    <s v="CBRO DELHI"/>
    <s v="OIC/23-24/347"/>
    <s v="510000/48/2023/613"/>
    <n v="11"/>
    <s v="SUTHERLAND GLOBAL SERVICES PVT LTD"/>
    <d v="2022-04-24T00:00:00"/>
    <d v="2023-04-23T00:00:00"/>
    <s v="MIST-PRD-890"/>
    <s v="GROUP MEDICLAIM -TAILORMADE-RISK FLOATER"/>
    <n v="30557"/>
    <n v="2.5002454429426972"/>
    <n v="764"/>
    <s v="Chennai"/>
    <n v="398825"/>
    <s v="E6"/>
    <s v="Yash"/>
    <s v="Suspense"/>
    <s v="Akshayah Manoharan"/>
    <x v="4"/>
    <n v="969"/>
    <s v="Ravi Kant"/>
    <m/>
    <m/>
    <m/>
    <m/>
    <s v="Updation done in saiba"/>
  </r>
  <r>
    <x v="0"/>
    <m/>
    <n v="233503"/>
    <s v="CBO I PATIALA"/>
    <s v="OIC/23-24/139"/>
    <s v="233503/43/2024/1"/>
    <n v="0"/>
    <s v="MRS. GURPREET KAUR W/O CAPT. HARPREET SINGH"/>
    <d v="2023-04-05T00:00:00"/>
    <d v="2024-04-04T00:00:00"/>
    <s v="AVI-PRD-007"/>
    <s v="AVIATION PERSONAL ACCIDENT INSURANCE - INDIVIDUAL"/>
    <n v="3960"/>
    <n v="12.5"/>
    <n v="495"/>
    <s v="Delhi"/>
    <s v="NE"/>
    <s v="NE"/>
    <s v="Ravi Kant"/>
    <s v="Suspense"/>
    <s v="Suspense"/>
    <x v="15"/>
    <n v="974"/>
    <s v="Yash"/>
    <s v="No"/>
    <m/>
    <m/>
    <m/>
    <s v="NE"/>
  </r>
  <r>
    <x v="0"/>
    <m/>
    <n v="233503"/>
    <s v="CBO I PATIALA"/>
    <s v="OIC/23-24/140"/>
    <s v="233503/43/2024/3"/>
    <n v="0"/>
    <s v="MRS. GURPREET KAUR W/O CAPT. HARPREET SINGH"/>
    <d v="2023-04-05T00:00:00"/>
    <d v="2024-04-04T00:00:00"/>
    <s v="AVI-PRD-005"/>
    <s v="AIRCREW LOSS OF LICENSE - INDIVIDUAL"/>
    <n v="4500"/>
    <n v="12.511111111111111"/>
    <n v="563"/>
    <s v="Delhi"/>
    <s v="NE"/>
    <s v="NE"/>
    <s v="Ravi Kant"/>
    <s v="Suspense"/>
    <s v="Suspense"/>
    <x v="15"/>
    <n v="974"/>
    <s v="Yash"/>
    <s v="No"/>
    <m/>
    <m/>
    <m/>
    <s v="NE"/>
  </r>
  <r>
    <x v="0"/>
    <m/>
    <n v="212203"/>
    <s v="CBO 13 N-34 C.PLACE"/>
    <s v="OIC/23-24/141"/>
    <s v="212203/31/2024/75"/>
    <n v="0"/>
    <s v="NATIONAL DISASTER MANAGEMENT AUTHORITY"/>
    <d v="2023-04-03T00:00:00"/>
    <d v="2024-04-02T00:00:00"/>
    <s v="MOT-PRD-012"/>
    <s v="PRIVATE CAR-(3 Years)"/>
    <n v="13889"/>
    <n v="8.2007343941248472"/>
    <n v="1139"/>
    <s v="Delhi"/>
    <n v="439332"/>
    <n v="0"/>
    <s v="Ravi Kant"/>
    <s v="Suspense"/>
    <s v="Suspense"/>
    <x v="5"/>
    <n v="898"/>
    <s v="Ravi Kant"/>
    <s v="No"/>
    <m/>
    <m/>
    <m/>
    <s v="Updation done"/>
  </r>
  <r>
    <x v="0"/>
    <m/>
    <n v="510000"/>
    <s v="CBRO DELHI"/>
    <s v="OIC/23-24/142"/>
    <s v="510000/48/2023/160"/>
    <n v="20"/>
    <s v="NEC CORPORATION INDIA PRIVATE LIMITED"/>
    <d v="2022-04-01T00:00:00"/>
    <d v="2023-03-31T00:00:00"/>
    <s v="MIST-PRD-890"/>
    <s v="GROUP MEDICLAIM -TAILORMADE-RISK FLOATER"/>
    <n v="-7404"/>
    <n v="4.9972987574284167"/>
    <n v="-370"/>
    <s v="Delhi"/>
    <s v="NE"/>
    <s v="NE"/>
    <s v="Ravi Kant"/>
    <s v="Suspense"/>
    <s v="Suspense"/>
    <x v="4"/>
    <n v="969"/>
    <s v="Ravi Kant"/>
    <m/>
    <m/>
    <m/>
    <m/>
    <s v="NE"/>
  </r>
  <r>
    <x v="0"/>
    <m/>
    <n v="222104"/>
    <s v="CBO 1 KANPUR"/>
    <s v="OIC/23-24/143"/>
    <s v="222104/48/2023/900"/>
    <n v="2"/>
    <s v="NIVA BUPA HEALTH INSURANCE COMPANY LIMITED"/>
    <d v="2022-10-24T00:00:00"/>
    <d v="2023-10-23T00:00:00"/>
    <s v="MIST-PRD-001"/>
    <s v="GPA - NAMED"/>
    <n v="43145"/>
    <n v="7.5000115888283698"/>
    <n v="3235.88"/>
    <s v="Delhi"/>
    <s v="NE"/>
    <s v="NE"/>
    <s v="Ravi Kant"/>
    <s v="Suspense"/>
    <s v="Suspense"/>
    <x v="6"/>
    <n v="916"/>
    <s v="Ravi Kant"/>
    <m/>
    <m/>
    <m/>
    <m/>
    <s v="NE"/>
  </r>
  <r>
    <x v="0"/>
    <m/>
    <n v="510000"/>
    <s v="CBRO DELHI"/>
    <s v="OIC/23-24/144"/>
    <s v="510000/48/2023/392"/>
    <n v="9"/>
    <s v="NORTHERN MARINE MANAGEMENT (INDIA) PVT.LTD"/>
    <d v="2022-04-30T00:00:00"/>
    <d v="2023-04-29T00:00:00"/>
    <s v="MIST-PRD-890"/>
    <s v="GROUP MEDICLAIM -TAILORMADE-RISK FLOATER"/>
    <n v="1201"/>
    <n v="5"/>
    <n v="60.05"/>
    <s v="Delhi"/>
    <n v="382317"/>
    <s v="E8"/>
    <s v="Ravi Kant"/>
    <s v="Suspense"/>
    <s v="Arpita R Kochrekar"/>
    <x v="4"/>
    <n v="969"/>
    <s v="Ravi Kant"/>
    <m/>
    <m/>
    <m/>
    <s v="Done"/>
    <s v="Updation done"/>
  </r>
  <r>
    <x v="0"/>
    <m/>
    <n v="510000"/>
    <s v="CBRO DELHI"/>
    <s v="OIC/23-24/145"/>
    <s v="510000/48/2023/392"/>
    <n v="10"/>
    <s v="NORTHERN MARINE MANAGEMENT (INDIA) PVT.LTD"/>
    <d v="2022-04-30T00:00:00"/>
    <d v="2023-04-29T00:00:00"/>
    <s v="MIST-PRD-890"/>
    <s v="GROUP MEDICLAIM -TAILORMADE-RISK FLOATER"/>
    <n v="-36755"/>
    <n v="5"/>
    <n v="-1837.75"/>
    <s v="Delhi"/>
    <n v="382317"/>
    <s v="E9"/>
    <s v="Ravi Kant"/>
    <s v="Suspense"/>
    <s v="Arpita R Kochrekar"/>
    <x v="4"/>
    <n v="969"/>
    <s v="Ravi Kant"/>
    <m/>
    <m/>
    <m/>
    <s v="Done"/>
    <s v="Updation done"/>
  </r>
  <r>
    <x v="0"/>
    <m/>
    <n v="510000"/>
    <s v="CBRO DELHI"/>
    <s v="OIC/23-24/146"/>
    <s v="510000/48/2023/121"/>
    <n v="19"/>
    <s v="NXP INDIA PRIVATE LIMITED"/>
    <d v="2022-04-01T00:00:00"/>
    <d v="2023-03-31T00:00:00"/>
    <s v="MIST-PRD-890"/>
    <s v="GROUP MEDICLAIM -TAILORMADE-RISK FLOATER"/>
    <n v="1162"/>
    <n v="2"/>
    <n v="23.24"/>
    <s v="Delhi"/>
    <s v="NE"/>
    <s v="NE"/>
    <s v="Ravi Kant"/>
    <s v="Suspense"/>
    <s v="Suspense"/>
    <x v="4"/>
    <n v="969"/>
    <s v="Ravi Kant"/>
    <m/>
    <m/>
    <m/>
    <m/>
    <s v="NE"/>
  </r>
  <r>
    <x v="0"/>
    <m/>
    <n v="510000"/>
    <s v="CBRO DELHI"/>
    <s v="OIC/23-24/147"/>
    <s v="510000/48/2023/481"/>
    <n v="15"/>
    <s v="NXP INDIA PRIVATE LIMITED"/>
    <d v="2022-06-14T00:00:00"/>
    <d v="2023-03-31T00:00:00"/>
    <s v="MIST-PRD-890"/>
    <s v="GROUP MEDICLAIM -TAILORMADE-RISK FLOATER"/>
    <n v="3310"/>
    <n v="2"/>
    <n v="66.2"/>
    <s v="Delhi"/>
    <s v="NE"/>
    <s v="NE"/>
    <s v="Ravi Kant"/>
    <s v="Suspense"/>
    <s v="Suspense"/>
    <x v="4"/>
    <n v="969"/>
    <s v="Ravi Kant"/>
    <m/>
    <m/>
    <m/>
    <m/>
    <s v="NE"/>
  </r>
  <r>
    <x v="0"/>
    <m/>
    <n v="510000"/>
    <s v="CBRO DELHI"/>
    <s v="OIC/23-24/148"/>
    <s v="510000/48/2023/1586"/>
    <n v="1"/>
    <s v="PERFECT RELATIONS PRIVATE LIMITED"/>
    <d v="2023-02-07T00:00:00"/>
    <d v="2023-12-31T00:00:00"/>
    <s v="MIST-PRD-001"/>
    <s v="GPA - NAMED"/>
    <n v="-308"/>
    <n v="7.4675324675324672"/>
    <n v="-23"/>
    <s v="Delhi"/>
    <s v="NE"/>
    <s v="NE"/>
    <s v="Ravi Kant"/>
    <s v="Suspense"/>
    <s v="Suspense"/>
    <x v="4"/>
    <n v="969"/>
    <s v="Ravi Kant"/>
    <m/>
    <m/>
    <m/>
    <m/>
    <s v="NE"/>
  </r>
  <r>
    <x v="0"/>
    <m/>
    <n v="212203"/>
    <s v="CBO 13 N-34 C.PLACE"/>
    <s v="OIC/23-24/149"/>
    <s v="212203/31/2024/126"/>
    <n v="0"/>
    <s v="RAIL COACH FACTORY"/>
    <d v="2023-04-18T00:00:00"/>
    <d v="2024-04-17T00:00:00"/>
    <s v="MOT-PRD-001"/>
    <s v="PRIVATE CAR"/>
    <n v="9224"/>
    <n v="12.250650477016478"/>
    <n v="1130"/>
    <s v="Delhi"/>
    <n v="439319"/>
    <n v="0"/>
    <s v="Ravi Kant"/>
    <s v="Suspense"/>
    <s v="Suspense"/>
    <x v="5"/>
    <n v="898"/>
    <s v="Ravi Kant"/>
    <s v="No"/>
    <m/>
    <m/>
    <m/>
    <s v="Updation done"/>
  </r>
  <r>
    <x v="0"/>
    <m/>
    <n v="163900"/>
    <s v="DO 5 PUNE"/>
    <s v="OIC/23-24/150"/>
    <s v="163900/48/2024/190"/>
    <n v="0"/>
    <s v="RIECO INDUSTRIES LTD"/>
    <d v="2023-04-01T00:00:00"/>
    <d v="2024-03-31T00:00:00"/>
    <s v="MIST-PRD-031"/>
    <s v="PUBLIC LIABILITY INDUSTRIAL"/>
    <n v="43270"/>
    <n v="12.498266697480934"/>
    <n v="5408"/>
    <s v="Delhi"/>
    <e v="#N/A"/>
    <n v="0"/>
    <s v="Ravi Kant"/>
    <s v="Suspense"/>
    <s v="Suspense"/>
    <x v="9"/>
    <n v="758"/>
    <s v="Yash"/>
    <s v="No"/>
    <m/>
    <m/>
    <s v="Updation done"/>
    <s v="Updation done"/>
  </r>
  <r>
    <x v="0"/>
    <m/>
    <n v="163900"/>
    <s v="DO 5 PUNE"/>
    <s v="OIC/23-24/151"/>
    <s v="163900/11/2024/6"/>
    <n v="3"/>
    <s v="RIECO INDUSTRIES LTD."/>
    <d v="2023-04-01T00:00:00"/>
    <d v="2024-03-31T00:00:00"/>
    <s v="FIR-PRD-006"/>
    <s v="STANDARD FIRE -- New Tariff"/>
    <n v="185016"/>
    <n v="11.500086479007221"/>
    <n v="21277"/>
    <s v="Delhi"/>
    <s v="NE"/>
    <s v="NE"/>
    <s v="Ravi Kant"/>
    <s v="Suspense"/>
    <s v="Suspense"/>
    <x v="9"/>
    <n v="758"/>
    <s v="Yash"/>
    <m/>
    <m/>
    <m/>
    <m/>
    <s v="NE"/>
  </r>
  <r>
    <x v="0"/>
    <m/>
    <n v="163900"/>
    <s v="DO 5 PUNE"/>
    <s v="OIC/23-24/152"/>
    <s v="163900/11/2024/7"/>
    <n v="0"/>
    <s v="RIECO INDUSTRIES LTD."/>
    <d v="2023-04-01T00:00:00"/>
    <d v="2024-03-31T00:00:00"/>
    <s v="FIR-PRD-009"/>
    <s v="ORIENTAL BHARAT LAGHU UDYAM SURAKSHA POLICY"/>
    <n v="136931"/>
    <n v="8.9220118161701887"/>
    <n v="12217"/>
    <s v="Delhi"/>
    <e v="#N/A"/>
    <n v="0"/>
    <s v="Ravi Kant"/>
    <s v="Suspense"/>
    <s v="Suspense"/>
    <x v="9"/>
    <n v="758"/>
    <s v="Yash"/>
    <s v="No"/>
    <m/>
    <m/>
    <s v="Updation done"/>
    <s v="Updation done"/>
  </r>
  <r>
    <x v="0"/>
    <m/>
    <n v="163900"/>
    <s v="DO 5 PUNE"/>
    <s v="OIC/23-24/153"/>
    <s v="163900/48/2024/169"/>
    <n v="0"/>
    <s v="RIECO INDUSTRIES LTD."/>
    <d v="2023-04-01T00:00:00"/>
    <d v="2024-03-31T00:00:00"/>
    <s v="MIST-PRD-060"/>
    <s v="EMPLOYERS LIABILITY"/>
    <n v="156687"/>
    <n v="12.500079776880021"/>
    <n v="19586"/>
    <s v="Delhi"/>
    <e v="#N/A"/>
    <n v="0"/>
    <s v="Ravi Kant"/>
    <s v="Suspense"/>
    <s v="Suspense"/>
    <x v="9"/>
    <n v="758"/>
    <s v="Yash"/>
    <s v="No"/>
    <m/>
    <m/>
    <s v="Updation done"/>
    <s v="Updation done"/>
  </r>
  <r>
    <x v="0"/>
    <m/>
    <n v="163900"/>
    <s v="DO 5 PUNE"/>
    <s v="OIC/23-24/154"/>
    <s v="163900/48/2024/189"/>
    <n v="0"/>
    <s v="RIECO INDUSTRIES LTD."/>
    <d v="2023-04-01T00:00:00"/>
    <d v="2024-03-31T00:00:00"/>
    <s v="MIST-PRD-753"/>
    <s v="BURGLARY FLOATER"/>
    <n v="15199"/>
    <n v="12.500822422527797"/>
    <n v="1900"/>
    <s v="Delhi"/>
    <e v="#N/A"/>
    <n v="0"/>
    <s v="Ravi Kant"/>
    <s v="Suspense"/>
    <s v="Suspense"/>
    <x v="9"/>
    <n v="758"/>
    <s v="Yash"/>
    <s v="No"/>
    <m/>
    <m/>
    <s v="Updation done"/>
    <s v="Updation done"/>
  </r>
  <r>
    <x v="0"/>
    <m/>
    <n v="163900"/>
    <s v="DO 5 PUNE"/>
    <s v="OIC/23-24/155"/>
    <s v="163900/48/2024/207"/>
    <n v="1"/>
    <s v="RIECO INDUSTRIES LTD."/>
    <d v="2023-04-01T00:00:00"/>
    <d v="2024-03-31T00:00:00"/>
    <s v="MIST-PRD-753"/>
    <s v="BURGLARY FLOATER"/>
    <n v="42506"/>
    <n v="12.500023526090434"/>
    <n v="5313.26"/>
    <s v="Delhi"/>
    <n v="423852"/>
    <s v="E1"/>
    <s v="Ravi Kant"/>
    <s v="Suspense"/>
    <s v="Vishal Sakharam Londhe"/>
    <x v="9"/>
    <n v="758"/>
    <s v="Yash"/>
    <m/>
    <m/>
    <m/>
    <s v="Done"/>
    <s v="Updation done"/>
  </r>
  <r>
    <x v="0"/>
    <m/>
    <n v="163900"/>
    <s v="DO 5 PUNE"/>
    <s v="OIC/23-24/156"/>
    <s v="163900/11/2023/160"/>
    <n v="2"/>
    <s v="SARVAGRAM FINCARE PRIVATE LIMITED (SFPL)"/>
    <d v="2022-12-06T00:00:00"/>
    <d v="2023-12-01T00:00:00"/>
    <s v="FIR-PRD-009"/>
    <s v="ORIENTAL BHARAT LAGHU UDYAM SURAKSHA POLICY"/>
    <n v="21959"/>
    <n v="10.414864064848127"/>
    <n v="2287"/>
    <s v="Delhi"/>
    <s v="NE"/>
    <s v="NE"/>
    <s v="Ravi Kant"/>
    <s v="Suspense"/>
    <s v="Suspense"/>
    <x v="9"/>
    <n v="758"/>
    <s v="Yash"/>
    <m/>
    <m/>
    <m/>
    <m/>
    <s v="NE"/>
  </r>
  <r>
    <x v="0"/>
    <m/>
    <n v="510000"/>
    <s v="CBRO DELHI"/>
    <s v="OIC/23-24/157"/>
    <s v="510000/48/2023/1587"/>
    <n v="1"/>
    <s v="SOKRATI TECHNOLOGIES PRIVATE LIMITED"/>
    <d v="2023-02-07T00:00:00"/>
    <d v="2023-12-31T00:00:00"/>
    <s v="MIST-PRD-001"/>
    <s v="GPA - NAMED"/>
    <n v="3230"/>
    <n v="7.492260061919505"/>
    <n v="242"/>
    <s v="Delhi"/>
    <s v="NE"/>
    <s v="NE"/>
    <s v="Ravi Kant"/>
    <s v="Suspense"/>
    <s v="Suspense"/>
    <x v="4"/>
    <n v="969"/>
    <s v="Ravi Kant"/>
    <m/>
    <m/>
    <m/>
    <m/>
    <s v="NE"/>
  </r>
  <r>
    <x v="0"/>
    <m/>
    <n v="272200"/>
    <s v="DO 3 NEW DELHI"/>
    <s v="OIC/23-24/158"/>
    <s v="272200/31/2024/95"/>
    <n v="0"/>
    <s v="SONIA BHARGAVA"/>
    <d v="2023-04-17T00:00:00"/>
    <d v="2024-04-16T00:00:00"/>
    <s v="MOT-PRD-001"/>
    <s v="PRIVATE CAR"/>
    <n v="5441"/>
    <n v="6.2856092630031242"/>
    <n v="342"/>
    <s v="Delhi"/>
    <s v="NE"/>
    <s v="NE"/>
    <s v="Ravi Kant"/>
    <s v="Suspense"/>
    <s v="Suspense"/>
    <x v="7"/>
    <s v="959_x0009_"/>
    <s v="Ravi Kant"/>
    <s v="No"/>
    <m/>
    <m/>
    <m/>
    <s v="NE"/>
  </r>
  <r>
    <x v="0"/>
    <m/>
    <n v="222105"/>
    <s v="KANPUR DEHAT"/>
    <s v="OIC/23-24/159"/>
    <s v="222105/48/2024/117"/>
    <n v="0"/>
    <s v="SURINDER KUMARI"/>
    <d v="2023-04-29T00:00:00"/>
    <d v="2024-04-28T00:00:00"/>
    <s v="MIST-PRD-943"/>
    <s v="HAPPY FAMILY FLOATER POLICY-2021"/>
    <n v="49500"/>
    <n v="15"/>
    <n v="7425"/>
    <s v="Delhi"/>
    <n v="428930"/>
    <n v="0"/>
    <s v="Ravi Kant"/>
    <s v="Suspense"/>
    <s v="Suspense"/>
    <x v="10"/>
    <n v="919"/>
    <s v="Ravi Kant"/>
    <s v="No"/>
    <m/>
    <m/>
    <m/>
    <s v="Updation done"/>
  </r>
  <r>
    <x v="0"/>
    <m/>
    <n v="212203"/>
    <s v="CBO 13 N-34 C.PLACE"/>
    <s v="OIC/23-24/160"/>
    <s v="212203/31/2024/132"/>
    <n v="0"/>
    <s v="THE DIRECTOR ANERT"/>
    <d v="2023-04-18T00:00:00"/>
    <d v="2024-04-17T00:00:00"/>
    <s v="MOT-PRD-015"/>
    <s v="STANDALONE OWN DAMAGE(OD)-PRIVATE CAR"/>
    <n v="8033"/>
    <n v="15.000622432466077"/>
    <n v="1205"/>
    <s v="Delhi"/>
    <n v="439388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61"/>
    <s v="212203/31/2024/174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n v="439403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62"/>
    <s v="212203/31/2024/177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n v="439406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63"/>
    <s v="212203/31/2024/179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n v="439408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64"/>
    <s v="212203/31/2024/209"/>
    <n v="0"/>
    <s v="THE DIRECTOR ANERT"/>
    <d v="2023-04-26T00:00:00"/>
    <d v="2024-04-25T00:00:00"/>
    <s v="MOT-PRD-015"/>
    <s v="STANDALONE OWN DAMAGE(OD)-PRIVATE CAR"/>
    <n v="8708"/>
    <n v="14.997703261368857"/>
    <n v="1306"/>
    <s v="Delhi"/>
    <n v="439416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65"/>
    <s v="212203/31/2024/210"/>
    <n v="0"/>
    <s v="THE DIRECTOR ANERT"/>
    <d v="2023-04-26T00:00:00"/>
    <d v="2024-04-25T00:00:00"/>
    <s v="MOT-PRD-015"/>
    <s v="STANDALONE OWN DAMAGE(OD)-PRIVATE CAR"/>
    <n v="8033"/>
    <n v="15.000622432466077"/>
    <n v="1205"/>
    <s v="Delhi"/>
    <n v="439417"/>
    <n v="0"/>
    <s v="Ravi Kant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66"/>
    <s v="212203/31/2024/95"/>
    <n v="0"/>
    <s v="WEST BENGAL STATE ELECTRICITY DISTRIBUTION COMPANY LTD"/>
    <d v="2023-04-11T00:00:00"/>
    <d v="2024-04-10T00:00:00"/>
    <s v="MOT-PRD-015"/>
    <s v="STANDALONE OWN DAMAGE(OD)-PRIVATE CAR"/>
    <n v="8111"/>
    <n v="14.991986191591666"/>
    <n v="1216"/>
    <s v="Delhi"/>
    <n v="439375"/>
    <n v="0"/>
    <s v="Ravi Kant"/>
    <s v="Suspense"/>
    <s v="Suspense"/>
    <x v="5"/>
    <n v="898"/>
    <s v="Ravi Kant"/>
    <s v="No"/>
    <m/>
    <m/>
    <m/>
    <s v="Updation done"/>
  </r>
  <r>
    <x v="0"/>
    <m/>
    <n v="271700"/>
    <s v="NEW DELHI DO 14"/>
    <s v="OIC/23-24/167"/>
    <s v="271700/11/2024/17"/>
    <n v="0"/>
    <s v="BIGFOOT RETAIL SOLUTIONS PVT. LTD."/>
    <d v="2023-04-11T00:00:00"/>
    <d v="2024-04-10T00:00:00"/>
    <s v="FIR-PRD-009"/>
    <s v="ORIENTAL BHARAT LAGHU UDYAM SURAKSHA POLICY"/>
    <n v="80098"/>
    <n v="14.16764463532173"/>
    <n v="11348"/>
    <s v="Delhi"/>
    <s v="NE"/>
    <s v="NE"/>
    <s v="Rushi"/>
    <s v="Suspense"/>
    <s v="Suspense"/>
    <x v="8"/>
    <n v="957"/>
    <s v="Ravi Kant"/>
    <s v="No"/>
    <m/>
    <m/>
    <m/>
    <s v="NE"/>
  </r>
  <r>
    <x v="0"/>
    <m/>
    <n v="212203"/>
    <s v="CBO 13 N-34 C.PLACE"/>
    <s v="OIC/23-24/168"/>
    <s v="212203/31/2024/127"/>
    <n v="0"/>
    <s v="CHIEF EXECUTIVE OFFICER, SOUADTGA"/>
    <d v="2023-04-18T00:00:00"/>
    <d v="2024-04-17T00:00:00"/>
    <s v="MOT-PRD-015"/>
    <s v="STANDALONE OWN DAMAGE(OD)-PRIVATE CAR"/>
    <n v="8708"/>
    <n v="14.997703261368857"/>
    <n v="1306"/>
    <s v="Delhi"/>
    <n v="439383"/>
    <n v="0"/>
    <s v="Rushi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69"/>
    <s v="212203/31/2024/149"/>
    <n v="0"/>
    <s v="CHIEF EXECUTIVE OFFICER, SOUADTGA"/>
    <d v="2023-04-19T00:00:00"/>
    <d v="2024-04-18T00:00:00"/>
    <s v="MOT-PRD-015"/>
    <s v="STANDALONE OWN DAMAGE(OD)-PRIVATE CAR"/>
    <n v="8033"/>
    <n v="15.000622432466077"/>
    <n v="1205"/>
    <s v="Delhi"/>
    <n v="439394"/>
    <n v="0"/>
    <s v="Rushi"/>
    <s v="Suspense"/>
    <s v="Suspense"/>
    <x v="5"/>
    <n v="898"/>
    <s v="Ravi Kant"/>
    <s v="No"/>
    <m/>
    <m/>
    <m/>
    <s v="Updation done"/>
  </r>
  <r>
    <x v="0"/>
    <m/>
    <n v="222104"/>
    <s v="CBO 1 KANPUR"/>
    <s v="OIC/23-24/170"/>
    <s v="222104/48/2023/942"/>
    <n v="3"/>
    <s v="CONSCIENT INFRASTRUCTURE PRIVATE LIMITED"/>
    <d v="2022-11-04T00:00:00"/>
    <d v="2023-11-03T00:00:00"/>
    <s v="MIST-PRD-001"/>
    <s v="GPA - NAMED"/>
    <n v="-1705"/>
    <n v="7.5002932551319645"/>
    <n v="-127.88"/>
    <s v="Delhi"/>
    <n v="407873"/>
    <s v="NE"/>
    <s v="Rushi"/>
    <s v="Suspense"/>
    <s v="Pranav Das Piyush"/>
    <x v="6"/>
    <n v="916"/>
    <s v="Ravi Kant"/>
    <m/>
    <m/>
    <m/>
    <m/>
    <s v="NE"/>
  </r>
  <r>
    <x v="0"/>
    <m/>
    <n v="212203"/>
    <s v="CBO 13 N-34 C.PLACE"/>
    <s v="OIC/23-24/171"/>
    <s v="212203/31/2024/171"/>
    <n v="0"/>
    <s v="DEPARTMENT OF COMMERCE"/>
    <d v="2023-04-18T00:00:00"/>
    <d v="2024-04-17T00:00:00"/>
    <s v="MOT-PRD-012"/>
    <s v="PRIVATE CAR-(3 Years)"/>
    <n v="18665"/>
    <n v="7.1309938387356011"/>
    <n v="1331"/>
    <s v="Delhi"/>
    <n v="439334"/>
    <n v="0"/>
    <s v="Rushi"/>
    <s v="Suspense"/>
    <s v="Suspense"/>
    <x v="5"/>
    <n v="898"/>
    <s v="Ravi Kant"/>
    <s v="No"/>
    <m/>
    <m/>
    <m/>
    <s v="Updation done"/>
  </r>
  <r>
    <x v="0"/>
    <m/>
    <n v="510000"/>
    <s v="CBRO DELHI"/>
    <s v="OIC/23-24/172"/>
    <s v="510000/48/2023/1658"/>
    <n v="0"/>
    <s v="ELECTRIFAI TECHNOLOGY SOLUTIONS PRIVATE LIMITED"/>
    <d v="2023-02-20T00:00:00"/>
    <d v="2024-02-19T00:00:00"/>
    <s v="MIST-PRD-890"/>
    <s v="GROUP MEDICLAIM -TAILORMADE-RISK FLOATER"/>
    <n v="1499230"/>
    <n v="7.4999833247733836"/>
    <n v="112442"/>
    <s v="Delhi"/>
    <n v="440259"/>
    <n v="0"/>
    <s v="Rushi"/>
    <s v="Suspense"/>
    <s v="Suspense"/>
    <x v="4"/>
    <n v="969"/>
    <s v="Ravi Kant"/>
    <s v="Yes"/>
    <n v="204573"/>
    <m/>
    <s v="Updation done in saiba"/>
    <s v="RFQ"/>
  </r>
  <r>
    <x v="0"/>
    <m/>
    <n v="212203"/>
    <s v="CBO 13 N-34 C.PLACE"/>
    <s v="OIC/23-24/173"/>
    <s v="212203/31/2024/193"/>
    <n v="0"/>
    <s v="ENERGY EFFICIENCY SERVICES LIMITED"/>
    <d v="2023-04-23T00:00:00"/>
    <d v="2024-04-22T00:00:00"/>
    <s v="MOT-PRD-001"/>
    <s v="PRIVATE CAR"/>
    <n v="9216"/>
    <n v="12.250434027777779"/>
    <n v="1129"/>
    <s v="Delhi"/>
    <n v="437847"/>
    <n v="0"/>
    <s v="Rushi"/>
    <s v="Suspense"/>
    <s v="Suspense"/>
    <x v="5"/>
    <n v="898"/>
    <s v="Ravi Kant"/>
    <s v="Yes"/>
    <n v="193931"/>
    <m/>
    <m/>
    <s v="Updation done"/>
  </r>
  <r>
    <x v="0"/>
    <m/>
    <n v="233503"/>
    <s v="CBO I PATIALA"/>
    <s v="OIC/23-24/174"/>
    <s v="233503/43/2024/2"/>
    <n v="0"/>
    <s v="ER. MANDEEP SINGH"/>
    <d v="2023-04-05T00:00:00"/>
    <d v="2024-04-04T00:00:00"/>
    <s v="AVI-PRD-007"/>
    <s v="AVIATION PERSONAL ACCIDENT INSURANCE - INDIVIDUAL"/>
    <n v="4500"/>
    <n v="12.511111111111111"/>
    <n v="563"/>
    <s v="Delhi"/>
    <s v="NE"/>
    <s v="NE"/>
    <s v="Rushi"/>
    <s v="Suspense"/>
    <s v="Suspense"/>
    <x v="15"/>
    <n v="974"/>
    <s v="Yash"/>
    <s v="No"/>
    <m/>
    <m/>
    <m/>
    <s v="NE"/>
  </r>
  <r>
    <x v="0"/>
    <m/>
    <n v="233503"/>
    <s v="CBO I PATIALA"/>
    <s v="OIC/23-24/175"/>
    <s v="233503/43/2024/4"/>
    <n v="0"/>
    <s v="ER. MANDEEP SINGH"/>
    <d v="2023-04-05T00:00:00"/>
    <d v="2024-04-04T00:00:00"/>
    <s v="AVI-PRD-005"/>
    <s v="AIRCREW LOSS OF LICENSE - INDIVIDUAL"/>
    <n v="6000"/>
    <n v="12.5"/>
    <n v="750"/>
    <s v="Delhi"/>
    <s v="NE"/>
    <s v="NE"/>
    <s v="Rushi"/>
    <s v="Suspense"/>
    <s v="Suspense"/>
    <x v="15"/>
    <n v="974"/>
    <s v="Yash"/>
    <s v="No"/>
    <m/>
    <m/>
    <m/>
    <s v="NE"/>
  </r>
  <r>
    <x v="0"/>
    <m/>
    <n v="272200"/>
    <s v="DO 3 NEW DELHI"/>
    <s v="OIC/23-24/176"/>
    <s v="272200/31/2024/54"/>
    <n v="0"/>
    <s v="GOLDFINCH HOTELS PRIVATE LIMITED"/>
    <d v="2023-04-06T00:00:00"/>
    <d v="2024-04-05T00:00:00"/>
    <s v="MOT-PRD-001"/>
    <s v="PRIVATE CAR"/>
    <n v="4688"/>
    <n v="5.5887372013651877"/>
    <n v="262"/>
    <s v="Delhi"/>
    <s v="NE"/>
    <s v="NE"/>
    <s v="Rushi"/>
    <s v="Suspense"/>
    <s v="Suspense"/>
    <x v="7"/>
    <s v="959_x0009_"/>
    <s v="Ravi Kant"/>
    <s v="No"/>
    <m/>
    <m/>
    <m/>
    <s v="NE"/>
  </r>
  <r>
    <x v="0"/>
    <m/>
    <n v="212203"/>
    <s v="CBO 13 N-34 C.PLACE"/>
    <s v="OIC/23-24/177"/>
    <s v="212203/11/2024/14"/>
    <n v="0"/>
    <s v="HAVELLS INDIA LTD"/>
    <d v="2023-04-01T00:00:00"/>
    <d v="2024-03-31T00:00:00"/>
    <s v="FIR-PRD-009"/>
    <s v="ORIENTAL BHARAT LAGHU UDYAM SURAKSHA POLICY"/>
    <n v="755934"/>
    <n v="10.103262983276318"/>
    <n v="76374"/>
    <s v="Delhi"/>
    <s v="NE"/>
    <s v="NE"/>
    <s v="Rushi"/>
    <s v="Suspense"/>
    <s v="Suspense"/>
    <x v="5"/>
    <n v="898"/>
    <s v="Ravi Kant"/>
    <s v="No"/>
    <m/>
    <m/>
    <m/>
    <s v="NE"/>
  </r>
  <r>
    <x v="0"/>
    <m/>
    <n v="212203"/>
    <s v="CBO 13 N-34 C.PLACE"/>
    <s v="OIC/23-24/178"/>
    <s v="212203/11/2024/5"/>
    <n v="0"/>
    <s v="HAVELLS INDIA LTD"/>
    <d v="2023-04-01T00:00:00"/>
    <d v="2024-03-31T00:00:00"/>
    <s v="FIR-PRD-006"/>
    <s v="STANDARD FIRE -- New Tariff"/>
    <n v="23789480"/>
    <n v="11.499999159292258"/>
    <n v="2735790"/>
    <s v="Delhi"/>
    <n v="434370"/>
    <n v="0"/>
    <s v="Rushi"/>
    <s v="Suspense"/>
    <s v="Suspense"/>
    <x v="5"/>
    <n v="898"/>
    <s v="Ravi Kant"/>
    <s v="No"/>
    <m/>
    <m/>
    <s v="Updation done"/>
    <s v="Updation done"/>
  </r>
  <r>
    <x v="0"/>
    <m/>
    <n v="272200"/>
    <s v="DO 3 NEW DELHI"/>
    <s v="OIC/23-24/179"/>
    <s v="272200/31/2024/104"/>
    <n v="0"/>
    <s v="HS Devaki"/>
    <d v="2023-04-20T00:00:00"/>
    <d v="2024-04-19T00:00:00"/>
    <s v="MOT-PRD-001"/>
    <s v="PRIVATE CAR"/>
    <n v="2644"/>
    <n v="3.3282904689863844"/>
    <n v="88"/>
    <s v="Delhi"/>
    <s v="NE"/>
    <s v="NE"/>
    <s v="Rushi"/>
    <s v="Suspense"/>
    <s v="Suspense"/>
    <x v="7"/>
    <s v="959_x0009_"/>
    <s v="Ravi Kant"/>
    <s v="No"/>
    <m/>
    <m/>
    <m/>
    <s v="NE"/>
  </r>
  <r>
    <x v="0"/>
    <m/>
    <n v="231202"/>
    <s v="BO PANCHKULA "/>
    <s v="OIC/23-24/180"/>
    <s v="231202/44/2024/1"/>
    <n v="0"/>
    <s v="Indonet Technology"/>
    <d v="2023-04-07T00:00:00"/>
    <d v="2024-04-06T00:00:00"/>
    <s v="ENG-PRD-006"/>
    <s v="ELECTRONIC EQUIPMENT INSURANCE"/>
    <n v="3954"/>
    <n v="16.489630753667171"/>
    <n v="652"/>
    <s v="Delhi"/>
    <n v="437299"/>
    <n v="0"/>
    <s v="Rushi"/>
    <s v="Suspense"/>
    <s v="Suspense"/>
    <x v="12"/>
    <n v="923"/>
    <s v="Ravi Kant"/>
    <s v="No"/>
    <m/>
    <m/>
    <m/>
    <s v="Updation done"/>
  </r>
  <r>
    <x v="0"/>
    <m/>
    <n v="510000"/>
    <s v="CBRO DELHI"/>
    <s v="OIC/23-24/181"/>
    <s v="510000/48/2023/716"/>
    <n v="10"/>
    <s v="JCB INDIA LIMITED"/>
    <d v="2022-06-01T00:00:00"/>
    <d v="2023-05-31T00:00:00"/>
    <s v="MIST-PRD-001"/>
    <s v="GPA - NAMED"/>
    <n v="5833"/>
    <n v="7.5090005143151037"/>
    <n v="438"/>
    <s v="Delhi"/>
    <n v="387264"/>
    <s v="NE"/>
    <s v="Rushi"/>
    <s v="Suspense"/>
    <s v="Gagan Sharma"/>
    <x v="4"/>
    <n v="969"/>
    <s v="Ravi Kant"/>
    <m/>
    <m/>
    <m/>
    <m/>
    <s v="NE"/>
  </r>
  <r>
    <x v="0"/>
    <m/>
    <n v="510000"/>
    <s v="CBRO DELHI"/>
    <s v="OIC/23-24/182"/>
    <s v="510000/48/2023/718"/>
    <n v="7"/>
    <s v="JCB INDIA LTD."/>
    <d v="2022-06-01T00:00:00"/>
    <d v="2023-05-31T00:00:00"/>
    <s v="MIST-PRD-001"/>
    <s v="GPA - NAMED"/>
    <n v="7545"/>
    <n v="7.5016567263088136"/>
    <n v="566"/>
    <s v="Delhi"/>
    <n v="387265"/>
    <s v="NE"/>
    <s v="Rushi"/>
    <s v="Suspense"/>
    <s v="Gagan Sharma"/>
    <x v="4"/>
    <n v="969"/>
    <s v="Ravi Kant"/>
    <m/>
    <m/>
    <m/>
    <m/>
    <s v="NE"/>
  </r>
  <r>
    <x v="0"/>
    <m/>
    <n v="510000"/>
    <s v="CBRO DELHI"/>
    <s v="OIC/23-24/183"/>
    <s v="510000/48/2023/536"/>
    <n v="2"/>
    <s v="JCB POWER PRODUCTS INDIA PVT. LTD."/>
    <d v="2022-06-01T00:00:00"/>
    <d v="2023-05-31T00:00:00"/>
    <s v="MIST-PRD-751"/>
    <s v="BURGLARY"/>
    <n v="22"/>
    <n v="12.5"/>
    <n v="2.75"/>
    <s v="Delhi"/>
    <n v="395624"/>
    <s v="NE"/>
    <s v="Rushi"/>
    <s v="Suspense"/>
    <s v="Rohit Kumar Mehndiratta"/>
    <x v="4"/>
    <n v="969"/>
    <s v="Ravi Kant"/>
    <m/>
    <m/>
    <m/>
    <m/>
    <s v="NE"/>
  </r>
  <r>
    <x v="0"/>
    <m/>
    <n v="212203"/>
    <s v="CBO 13 N-34 C.PLACE"/>
    <s v="OIC/23-24/184"/>
    <s v="212203/31/2024/225"/>
    <n v="0"/>
    <s v="LESSEE PARLIAMENT SECURITY SERVICE"/>
    <d v="2023-04-29T00:00:00"/>
    <d v="2024-04-28T00:00:00"/>
    <s v="MOT-PRD-001"/>
    <s v="PRIVATE CAR"/>
    <n v="9047"/>
    <n v="12.202940201171659"/>
    <n v="1104"/>
    <s v="Delhi"/>
    <n v="439322"/>
    <n v="0"/>
    <s v="Rushi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85"/>
    <s v="212203/31/2024/227"/>
    <n v="0"/>
    <s v="LESSEE PARLIAMENT SECURITY SERVICE"/>
    <d v="2023-04-29T00:00:00"/>
    <d v="2024-04-28T00:00:00"/>
    <s v="MOT-PRD-001"/>
    <s v="PRIVATE CAR"/>
    <n v="9047"/>
    <n v="12.202940201171659"/>
    <n v="1104"/>
    <s v="Delhi"/>
    <n v="439324"/>
    <n v="0"/>
    <s v="Rushi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86"/>
    <s v="212203/31/2024/230"/>
    <n v="0"/>
    <s v="LESSEE PARLIAMENT SECURITY SERVICE"/>
    <d v="2023-04-29T00:00:00"/>
    <d v="2024-04-28T00:00:00"/>
    <s v="MOT-PRD-001"/>
    <s v="PRIVATE CAR"/>
    <n v="9047"/>
    <n v="12.202940201171659"/>
    <n v="1104"/>
    <s v="Delhi"/>
    <n v="439327"/>
    <n v="0"/>
    <s v="Rushi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87"/>
    <s v="212203/31/2024/234"/>
    <n v="0"/>
    <s v="LESSEE PARLIAMENT SECURITY SERVICE"/>
    <d v="2023-04-29T00:00:00"/>
    <d v="2024-04-28T00:00:00"/>
    <s v="MOT-PRD-001"/>
    <s v="PRIVATE CAR"/>
    <n v="9228"/>
    <n v="12.256176853055917"/>
    <n v="1131"/>
    <s v="Delhi"/>
    <n v="439331"/>
    <n v="0"/>
    <s v="Rushi"/>
    <s v="Suspense"/>
    <s v="Suspense"/>
    <x v="5"/>
    <n v="898"/>
    <s v="Ravi Kant"/>
    <s v="No"/>
    <m/>
    <m/>
    <m/>
    <s v="Updation done"/>
  </r>
  <r>
    <x v="0"/>
    <m/>
    <n v="272200"/>
    <s v="DO 3 NEW DELHI"/>
    <s v="OIC/23-24/188"/>
    <s v="272200/31/2024/80"/>
    <n v="0"/>
    <s v="M/S CELON LABORATORIES PVT LTD"/>
    <d v="2023-04-13T00:00:00"/>
    <d v="2024-04-12T00:00:00"/>
    <s v="MOT-PRD-005"/>
    <s v="PCCV"/>
    <n v="25849"/>
    <n v="2.9517582885217997"/>
    <n v="763"/>
    <s v="Delhi"/>
    <e v="#N/A"/>
    <n v="0"/>
    <s v="Rushi"/>
    <s v="Suspense"/>
    <s v="Suspense"/>
    <x v="7"/>
    <s v="959_x0009_"/>
    <s v="Ravi Kant"/>
    <s v="No"/>
    <m/>
    <m/>
    <s v="Updation done"/>
    <s v="Updation done"/>
  </r>
  <r>
    <x v="0"/>
    <m/>
    <n v="163900"/>
    <s v="DO 5 PUNE"/>
    <s v="OIC/23-24/189"/>
    <s v="163900/48/2024/275"/>
    <n v="0"/>
    <s v="M/S INDERDEEP CONSTRUCTION CO."/>
    <d v="2023-04-13T00:00:00"/>
    <d v="2024-04-12T00:00:00"/>
    <s v="MIST-PRD-060"/>
    <s v="EMPLOYERS LIABILITY"/>
    <n v="44975"/>
    <n v="12.500277932184547"/>
    <n v="5622"/>
    <s v="Delhi"/>
    <n v="430167"/>
    <n v="0"/>
    <s v="Rushi"/>
    <s v="Suspense"/>
    <s v="Suspense"/>
    <x v="9"/>
    <n v="758"/>
    <s v="Yash"/>
    <s v="No"/>
    <m/>
    <m/>
    <s v="Updation done"/>
    <s v="Updation done"/>
  </r>
  <r>
    <x v="0"/>
    <m/>
    <n v="272200"/>
    <s v="DO 3 NEW DELHI"/>
    <s v="OIC/23-24/190"/>
    <s v="272200/31/2024/141"/>
    <n v="0"/>
    <s v="M/S TIRUPATI MEDICARE LTD"/>
    <d v="2023-05-01T00:00:00"/>
    <d v="2024-04-30T00:00:00"/>
    <s v="MOT-PRD-002"/>
    <s v="MOTORISED-TWO WHEELERS"/>
    <n v="815"/>
    <n v="4.4171779141104297"/>
    <n v="36"/>
    <s v="Delhi"/>
    <n v="428975"/>
    <n v="0"/>
    <s v="Rushi"/>
    <s v="Suspense"/>
    <s v="HImanshu Arora"/>
    <x v="7"/>
    <s v="959_x0009_"/>
    <s v="Ravi Kant"/>
    <s v="No"/>
    <m/>
    <m/>
    <s v="Done"/>
    <s v="Updation done"/>
  </r>
  <r>
    <x v="0"/>
    <m/>
    <n v="212203"/>
    <s v="CBO 13 N-34 C.PLACE"/>
    <s v="OIC/23-24/191"/>
    <s v="212203/31/2024/156"/>
    <n v="0"/>
    <s v="NEW RENEWABLE ENERGY DEVELOPMENT CORPN OF A P LTD"/>
    <d v="2023-04-19T00:00:00"/>
    <d v="2024-04-18T00:00:00"/>
    <s v="MOT-PRD-015"/>
    <s v="STANDALONE OWN DAMAGE(OD)-PRIVATE CAR"/>
    <n v="8998"/>
    <n v="14.992220493442987"/>
    <n v="1349"/>
    <s v="Delhi"/>
    <n v="439401"/>
    <n v="0"/>
    <s v="Rushi"/>
    <s v="Suspense"/>
    <s v="Suspense"/>
    <x v="5"/>
    <n v="898"/>
    <s v="Ravi Kant"/>
    <s v="No"/>
    <m/>
    <m/>
    <m/>
    <s v="Updation done"/>
  </r>
  <r>
    <x v="0"/>
    <m/>
    <n v="510000"/>
    <s v="CBRO DELHI"/>
    <s v="OIC/23-24/192"/>
    <s v="510000/48/2023/124"/>
    <n v="15"/>
    <s v="NXP INDIA PRIVATE LIMITED"/>
    <d v="2022-04-01T00:00:00"/>
    <d v="2023-03-31T00:00:00"/>
    <s v="MIST-PRD-890"/>
    <s v="GROUP MEDICLAIM -TAILORMADE-RISK FLOATER"/>
    <n v="3778"/>
    <n v="2"/>
    <n v="75.56"/>
    <s v="Delhi"/>
    <n v="383577"/>
    <s v="NE"/>
    <s v="Rushi"/>
    <s v="Suspense"/>
    <s v="Surender Banga"/>
    <x v="4"/>
    <n v="969"/>
    <s v="Ravi Kant"/>
    <m/>
    <m/>
    <m/>
    <m/>
    <s v="NE"/>
  </r>
  <r>
    <x v="0"/>
    <m/>
    <n v="510000"/>
    <s v="CBRO DELHI"/>
    <s v="OIC/23-24/193"/>
    <s v="510000/48/2023/124"/>
    <n v="17"/>
    <s v="NXP INDIA PRIVATE LIMITED"/>
    <d v="2022-04-01T00:00:00"/>
    <d v="2023-03-31T00:00:00"/>
    <s v="MIST-PRD-890"/>
    <s v="GROUP MEDICLAIM -TAILORMADE-RISK FLOATER"/>
    <n v="5037"/>
    <n v="2"/>
    <n v="100.74"/>
    <s v="Delhi"/>
    <n v="383577"/>
    <s v="NE"/>
    <s v="Rushi"/>
    <s v="Suspense"/>
    <s v="Surender Banga"/>
    <x v="4"/>
    <n v="969"/>
    <s v="Ravi Kant"/>
    <m/>
    <m/>
    <m/>
    <m/>
    <s v="NE"/>
  </r>
  <r>
    <x v="0"/>
    <m/>
    <n v="510000"/>
    <s v="CBRO DELHI"/>
    <s v="OIC/23-24/194"/>
    <s v="510000/48/2023/126"/>
    <n v="17"/>
    <s v="NXP INDIA PRIVATE LIMITED"/>
    <d v="2022-04-01T00:00:00"/>
    <d v="2023-03-31T00:00:00"/>
    <s v="MIST-PRD-890"/>
    <s v="GROUP MEDICLAIM -TAILORMADE-RISK FLOATER"/>
    <n v="-5425"/>
    <n v="2"/>
    <n v="-108.5"/>
    <s v="Delhi"/>
    <n v="383578"/>
    <s v="NE"/>
    <s v="Rushi"/>
    <s v="Suspense"/>
    <s v="Surender Banga"/>
    <x v="4"/>
    <n v="969"/>
    <s v="Ravi Kant"/>
    <m/>
    <m/>
    <m/>
    <m/>
    <s v="NE"/>
  </r>
  <r>
    <x v="0"/>
    <m/>
    <n v="212203"/>
    <s v="CBO 13 N-34 C.PLACE"/>
    <s v="OIC/23-24/195"/>
    <s v="212203/31/2024/226"/>
    <n v="0"/>
    <s v="PARLIMENT SECURITY SERVICE"/>
    <d v="2023-04-29T00:00:00"/>
    <d v="2024-04-28T00:00:00"/>
    <s v="MOT-PRD-001"/>
    <s v="PRIVATE CAR"/>
    <n v="9864"/>
    <n v="12.429034874290348"/>
    <n v="1226"/>
    <s v="Delhi"/>
    <n v="439323"/>
    <n v="0"/>
    <s v="Rushi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96"/>
    <s v="212203/31/2024/172"/>
    <n v="0"/>
    <s v="POWER GRID CORPORATION OF INDIA LTD"/>
    <d v="2023-04-18T00:00:00"/>
    <d v="2024-04-17T00:00:00"/>
    <s v="MOT-PRD-012"/>
    <s v="PRIVATE CAR-(3 Years)"/>
    <n v="18665"/>
    <n v="7.1309938387356011"/>
    <n v="1331"/>
    <s v="Delhi"/>
    <n v="439335"/>
    <n v="0"/>
    <s v="Rushi"/>
    <s v="Suspense"/>
    <s v="Suspense"/>
    <x v="5"/>
    <n v="898"/>
    <s v="Ravi Kant"/>
    <s v="No"/>
    <m/>
    <m/>
    <m/>
    <s v="Updation done"/>
  </r>
  <r>
    <x v="0"/>
    <m/>
    <n v="222105"/>
    <s v="KANPUR DEHAT"/>
    <s v="OIC/23-24/197"/>
    <s v="222105/48/2024/29"/>
    <n v="0"/>
    <s v="SURYA KANT GUPTA"/>
    <d v="2023-06-01T00:00:00"/>
    <d v="2024-05-31T00:00:00"/>
    <s v="MIST-PRD-943"/>
    <s v="HAPPY FAMILY FLOATER POLICY-2021"/>
    <n v="49500"/>
    <n v="15"/>
    <n v="7425"/>
    <s v="Delhi"/>
    <n v="427359"/>
    <n v="0"/>
    <s v="Rushi"/>
    <s v="Suspense"/>
    <s v="Suspense"/>
    <x v="10"/>
    <n v="919"/>
    <s v="Ravi Kant"/>
    <s v="No"/>
    <m/>
    <m/>
    <m/>
    <s v="Updation done"/>
  </r>
  <r>
    <x v="0"/>
    <m/>
    <n v="212203"/>
    <s v="CBO 13 N-34 C.PLACE"/>
    <s v="OIC/23-24/198"/>
    <s v="212203/31/2024/178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n v="439407"/>
    <n v="0"/>
    <s v="Rushi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199"/>
    <s v="212203/31/2024/208"/>
    <n v="0"/>
    <s v="THE DIRECTOR ANERT"/>
    <d v="2023-04-26T00:00:00"/>
    <d v="2024-04-25T00:00:00"/>
    <s v="MOT-PRD-015"/>
    <s v="STANDALONE OWN DAMAGE(OD)-PRIVATE CAR"/>
    <n v="8033"/>
    <n v="15.000622432466077"/>
    <n v="1205"/>
    <s v="Delhi"/>
    <n v="439415"/>
    <n v="0"/>
    <s v="Rushi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00"/>
    <s v="212203/31/2024/211"/>
    <n v="0"/>
    <s v="THE DIRECTOR ANERT"/>
    <d v="2023-04-26T00:00:00"/>
    <d v="2024-04-25T00:00:00"/>
    <s v="MOT-PRD-015"/>
    <s v="STANDALONE OWN DAMAGE(OD)-PRIVATE CAR"/>
    <n v="8033"/>
    <n v="15.000622432466077"/>
    <n v="1205"/>
    <s v="Delhi"/>
    <n v="439418"/>
    <n v="0"/>
    <s v="Rushi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01"/>
    <s v="212203/31/2024/224"/>
    <n v="0"/>
    <s v="UNDER SECRETARY (ADMN II)"/>
    <d v="2023-04-29T00:00:00"/>
    <d v="2024-04-28T00:00:00"/>
    <s v="MOT-PRD-001"/>
    <s v="PRIVATE CAR"/>
    <n v="9047"/>
    <n v="12.202940201171659"/>
    <n v="1104"/>
    <s v="Delhi"/>
    <n v="439321"/>
    <n v="0"/>
    <s v="Rushi"/>
    <s v="Suspense"/>
    <s v="Suspense"/>
    <x v="5"/>
    <n v="898"/>
    <s v="Ravi Kant"/>
    <s v="No"/>
    <m/>
    <m/>
    <m/>
    <s v="Updation done"/>
  </r>
  <r>
    <x v="0"/>
    <m/>
    <n v="431500"/>
    <s v="DO IV HYDERABAD"/>
    <s v="OIC/23-24/202"/>
    <s v="431500/48/2023/3633"/>
    <n v="1"/>
    <s v="WAVEMAKER INDIA PRIVATE LIMITED"/>
    <d v="2023-03-12T00:00:00"/>
    <d v="2024-03-11T00:00:00"/>
    <s v="MIST-PRD-001"/>
    <s v="GPA - NAMED"/>
    <n v="-275"/>
    <n v="7.5018181818181819"/>
    <n v="-20.63"/>
    <s v="Hyderabad"/>
    <n v="424818"/>
    <s v="E1"/>
    <s v="Rushi"/>
    <s v="Suspense"/>
    <s v="Suspense"/>
    <x v="16"/>
    <n v="937"/>
    <s v="Yash"/>
    <m/>
    <m/>
    <m/>
    <m/>
    <s v="Updation done in saiba"/>
  </r>
  <r>
    <x v="0"/>
    <m/>
    <n v="431500"/>
    <s v="DO IV HYDERABAD"/>
    <s v="OIC/23-24/203"/>
    <s v="431500/48/2023/3633"/>
    <n v="2"/>
    <s v="WAVEMAKER INDIA PRIVATE LIMITED"/>
    <d v="2023-03-12T00:00:00"/>
    <d v="2024-03-11T00:00:00"/>
    <s v="MIST-PRD-001"/>
    <s v="GPA - NAMED"/>
    <n v="825"/>
    <n v="7.5006060606060609"/>
    <n v="61.88"/>
    <s v="Hyderabad"/>
    <n v="424818"/>
    <s v="E2"/>
    <s v="Rushi"/>
    <s v="Suspense"/>
    <s v="Suspense"/>
    <x v="16"/>
    <n v="937"/>
    <s v="Yash"/>
    <m/>
    <m/>
    <m/>
    <m/>
    <s v="Updation done"/>
  </r>
  <r>
    <x v="0"/>
    <m/>
    <n v="431500"/>
    <s v="DO IV HYDERABAD"/>
    <s v="OIC/23-24/204"/>
    <s v="431500/48/2023/3634"/>
    <n v="2"/>
    <s v="WAVEMAKER INDIA PRIVATE LIMITED"/>
    <d v="2023-03-15T00:00:00"/>
    <d v="2024-03-14T00:00:00"/>
    <s v="MIST-PRD-890"/>
    <s v="GROUP MEDICLAIM -TAILORMADE-RISK FLOATER"/>
    <n v="71963"/>
    <n v="5.5000069480149518"/>
    <n v="3957.97"/>
    <s v="Hyderabad"/>
    <n v="424816"/>
    <s v="E2"/>
    <s v="Rushi"/>
    <s v="Suspense"/>
    <s v="Suspense"/>
    <x v="16"/>
    <n v="937"/>
    <s v="Yash"/>
    <m/>
    <m/>
    <m/>
    <m/>
    <s v="Updation done"/>
  </r>
  <r>
    <x v="0"/>
    <m/>
    <n v="222101"/>
    <s v="BO FATEHPUR"/>
    <s v="OIC/23-24/205"/>
    <s v="222101/48/2024/30"/>
    <n v="0"/>
    <s v="GOLDEN AERO LOGISTICS AND CONCIERGE SERVICES"/>
    <d v="2023-04-06T00:00:00"/>
    <d v="2024-04-05T00:00:00"/>
    <s v="MIST-PRD-001"/>
    <s v="GPA - NAMED"/>
    <n v="77220"/>
    <n v="7.4747474747474749"/>
    <n v="5772"/>
    <s v="Ludhiana"/>
    <s v="NE"/>
    <s v="NE"/>
    <s v="Rushi"/>
    <s v="Suspense"/>
    <s v="Suspense"/>
    <x v="17"/>
    <n v="913"/>
    <s v="Ravi Kant"/>
    <s v="No"/>
    <m/>
    <m/>
    <m/>
    <s v="NE"/>
  </r>
  <r>
    <x v="0"/>
    <m/>
    <n v="233406"/>
    <s v="CBO 3 LUDHIANA"/>
    <s v="OIC/23-24/206"/>
    <s v="233406/31/2024/295"/>
    <n v="0"/>
    <s v="M/S EAKTA DYEING &amp; FINISHING HOUSE"/>
    <d v="2023-04-17T00:00:00"/>
    <d v="2024-04-16T00:00:00"/>
    <s v="MOT-PRD-003"/>
    <s v="GCCV"/>
    <n v="21702"/>
    <n v="3.838355911897521"/>
    <n v="833"/>
    <s v="Ludhiana"/>
    <n v="427262"/>
    <n v="0"/>
    <s v="Rushi"/>
    <s v="Suspense"/>
    <s v="HImanshu Arora"/>
    <x v="18"/>
    <n v="971"/>
    <s v="Yash"/>
    <s v="No"/>
    <m/>
    <m/>
    <s v="Done"/>
    <s v="Updation done"/>
  </r>
  <r>
    <x v="0"/>
    <m/>
    <n v="431500"/>
    <s v="DO IV HYDERABAD"/>
    <s v="OIC/23-24/241"/>
    <s v="431500/48/2023/3634"/>
    <n v="1"/>
    <s v="WAVEMAKER INDIA PRIVATE LIMITED"/>
    <d v="2023-03-15T00:00:00"/>
    <d v="2024-03-14T00:00:00"/>
    <s v="MIST-PRD-890"/>
    <s v="GROUP MEDICLAIM -TAILORMADE-RISK FLOATER"/>
    <n v="-21224"/>
    <n v="5.5"/>
    <n v="-1167.32"/>
    <s v="Hyderabad"/>
    <n v="424816"/>
    <s v="E1"/>
    <s v="Rushi"/>
    <s v="Suspense"/>
    <s v="Suspense"/>
    <x v="16"/>
    <n v="937"/>
    <s v="Yash"/>
    <m/>
    <m/>
    <m/>
    <m/>
    <s v="Updation done in saiba"/>
  </r>
  <r>
    <x v="0"/>
    <m/>
    <n v="431500"/>
    <s v="DO IV HYDERABAD"/>
    <s v="OIC/23-24/243"/>
    <s v="431500/48/2023/3635"/>
    <n v="1"/>
    <s v="WAVEMAKER INDIA PRIVATE LIMITED"/>
    <d v="2023-03-15T00:00:00"/>
    <d v="2024-03-14T00:00:00"/>
    <s v="MIST-PRD-890"/>
    <s v="GROUP MEDICLAIM -TAILORMADE-RISK FLOATER"/>
    <n v="11535"/>
    <n v="7.5000433463372342"/>
    <n v="865.13"/>
    <s v="Hyderabad"/>
    <n v="424815"/>
    <s v="E1"/>
    <s v="Rushi"/>
    <s v="Suspense"/>
    <s v="Suspense"/>
    <x v="16"/>
    <n v="937"/>
    <s v="Yash"/>
    <m/>
    <m/>
    <m/>
    <m/>
    <s v="NE"/>
  </r>
  <r>
    <x v="0"/>
    <m/>
    <n v="233406"/>
    <s v="CBO 3 LUDHIANA"/>
    <s v="OIC/23-24/209"/>
    <s v="233406/48/2024/41"/>
    <n v="0"/>
    <s v="SUBHASH SAINI"/>
    <d v="2023-04-07T00:00:00"/>
    <d v="2024-04-06T00:00:00"/>
    <s v="MIST-PRD-094"/>
    <s v="ORIENTAL MEDICLAIM INSURANCE POLICY(INDIVIDUAL)"/>
    <n v="36664"/>
    <n v="15.001090988435523"/>
    <n v="5500"/>
    <s v="Ludhiana"/>
    <n v="424469"/>
    <n v="0"/>
    <s v="Rushi"/>
    <s v="Suspense"/>
    <s v="HImanshu Arora"/>
    <x v="18"/>
    <n v="971"/>
    <s v="Yash"/>
    <s v="No"/>
    <m/>
    <m/>
    <s v="Done"/>
    <s v="Updation done"/>
  </r>
  <r>
    <x v="0"/>
    <m/>
    <n v="132000"/>
    <s v="DO JOGESHWARI"/>
    <s v="OIC/23-24/210"/>
    <s v="132000/48/2023/5771"/>
    <n v="1"/>
    <s v="ALLIED BLENDERS AND DISTILLERS LIMITED"/>
    <d v="2023-03-31T00:00:00"/>
    <d v="2023-09-16T00:00:00"/>
    <s v="MIST-PRD-061"/>
    <s v="All RISK"/>
    <n v="2493"/>
    <n v="12.500200561572402"/>
    <n v="311.63"/>
    <s v="Mumbai"/>
    <n v="425060"/>
    <s v="NE"/>
    <s v="Rushi"/>
    <s v="Suspense"/>
    <s v="Pooja Yadav"/>
    <x v="19"/>
    <n v="666"/>
    <s v="Yash"/>
    <m/>
    <m/>
    <m/>
    <m/>
    <s v="NE"/>
  </r>
  <r>
    <x v="0"/>
    <m/>
    <n v="233900"/>
    <s v="DO II LUDHIANA"/>
    <s v="OIC/23-24/207"/>
    <s v="233900/11/2024/54"/>
    <n v="0"/>
    <s v="PAOS PRODUCTIONS"/>
    <d v="2023-04-30T00:00:00"/>
    <d v="2024-04-29T00:00:00"/>
    <s v="FIR-PRD-012"/>
    <s v="ORIENTAL INSURANCE - FLEXI BHARAT LAGHU UDYAM SURAKSHA"/>
    <n v="193730"/>
    <n v="16.49925153564239"/>
    <n v="31964"/>
    <s v="Ludhiana"/>
    <n v="444572"/>
    <n v="0"/>
    <s v="Rushi"/>
    <s v="Suspense"/>
    <s v="Suspense"/>
    <x v="20"/>
    <n v="976"/>
    <s v="Yash"/>
    <s v="No"/>
    <m/>
    <m/>
    <m/>
    <s v="Updation done in saiba"/>
  </r>
  <r>
    <x v="0"/>
    <m/>
    <n v="124800"/>
    <s v="CBU MUMBAI"/>
    <s v="OIC/23-24/212"/>
    <s v="124800/11/2024/35"/>
    <n v="0"/>
    <s v="Ampio Industries LLP"/>
    <d v="2023-04-25T00:00:00"/>
    <d v="2024-04-22T00:00:00"/>
    <s v="FIR-PRD-010"/>
    <s v="ORIENTAL BHARAT SOOKSHMA UDYAM SURAKSHA POLICY"/>
    <n v="169818"/>
    <n v="11.097174622242637"/>
    <n v="18845"/>
    <s v="Mumbai"/>
    <n v="430498"/>
    <n v="0"/>
    <s v="Rushi"/>
    <s v="Suspense"/>
    <s v="Suspense"/>
    <x v="21"/>
    <n v="987"/>
    <s v="Yash"/>
    <s v="Yes"/>
    <n v="213564"/>
    <m/>
    <s v="Updation done in saiba"/>
    <s v="Updation done in saiba"/>
  </r>
  <r>
    <x v="0"/>
    <m/>
    <n v="124800"/>
    <s v="CBU MUMBAI"/>
    <s v="OIC/23-24/213"/>
    <s v="124800/48/2024/65"/>
    <n v="0"/>
    <s v="Ampio Industries LLP"/>
    <d v="2023-04-25T00:00:00"/>
    <d v="2024-04-22T00:00:00"/>
    <s v="MIST-PRD-751"/>
    <s v="BURGLARY"/>
    <n v="5488"/>
    <n v="12.5"/>
    <n v="686"/>
    <s v="Mumbai"/>
    <n v="430499"/>
    <n v="0"/>
    <s v="Rushi"/>
    <s v="Shakuntala Jewani"/>
    <s v="Kamal Bhatia"/>
    <x v="21"/>
    <n v="987"/>
    <s v="Yash"/>
    <s v="Yes"/>
    <n v="213564"/>
    <m/>
    <s v="Updation done in saiba"/>
    <s v="RFQ"/>
  </r>
  <r>
    <x v="0"/>
    <m/>
    <n v="161891"/>
    <s v="BC - NARAYANGAON"/>
    <s v="OIC/23-24/214"/>
    <s v="161891/21/2024/1"/>
    <n v="0"/>
    <s v="CARGO SERVICE CENTER INDIA PRIVATE LIMITED"/>
    <d v="2023-04-15T00:00:00"/>
    <m/>
    <s v="MC-PRD-001"/>
    <s v="MARINE CARGO - SINGLE VOYAGE (INLAND TRANSIT) POLICY"/>
    <n v="9068"/>
    <n v="16.497573886193209"/>
    <n v="1496"/>
    <s v="Mumbai"/>
    <s v="NE"/>
    <s v="NE"/>
    <s v="Rushi"/>
    <s v="Suspense"/>
    <s v="Suspense"/>
    <x v="22"/>
    <n v="736"/>
    <s v="Yash"/>
    <s v="Yes"/>
    <n v="207641"/>
    <m/>
    <m/>
    <s v="RFQ"/>
  </r>
  <r>
    <x v="0"/>
    <m/>
    <n v="233900"/>
    <s v="DO II LUDHIANA"/>
    <s v="OIC/23-24/208"/>
    <s v="233900/48/2024/143"/>
    <n v="0"/>
    <s v="PAOS PRODUCTIONS"/>
    <d v="2023-04-30T00:00:00"/>
    <d v="2024-04-29T00:00:00"/>
    <s v="MIST-PRD-751"/>
    <s v="BURGLARY"/>
    <n v="5184"/>
    <n v="16.493055555555557"/>
    <n v="855"/>
    <s v="Ludhiana"/>
    <n v="444573"/>
    <n v="0"/>
    <s v="Rushi"/>
    <s v="Suspense"/>
    <s v="Suspense"/>
    <x v="20"/>
    <n v="976"/>
    <s v="Yash"/>
    <s v="No"/>
    <m/>
    <m/>
    <m/>
    <s v="Updation done in saiba"/>
  </r>
  <r>
    <x v="0"/>
    <m/>
    <n v="233600"/>
    <s v="DO RAJPURA"/>
    <s v="OIC/23-24/216"/>
    <s v="233600/48/2023/1973"/>
    <n v="4"/>
    <s v="HUDL INDIA PRIVATE LIMITED"/>
    <d v="2023-02-25T00:00:00"/>
    <d v="2024-02-24T00:00:00"/>
    <s v="MIST-PRD-001"/>
    <s v="GPA - NAMED"/>
    <n v="-16109"/>
    <n v="7.5000310385498787"/>
    <n v="-1208.18"/>
    <s v="Mumbai"/>
    <n v="421676"/>
    <s v="NE"/>
    <s v="Rushi"/>
    <s v="Suspense"/>
    <s v="Manpreet Kaur Gill"/>
    <x v="23"/>
    <n v="767"/>
    <s v="Yash"/>
    <m/>
    <m/>
    <m/>
    <m/>
    <s v="NE"/>
  </r>
  <r>
    <x v="0"/>
    <m/>
    <n v="233600"/>
    <s v="DO RAJPURA"/>
    <s v="OIC/23-24/217"/>
    <s v="233600/48/2023/1976"/>
    <n v="4"/>
    <s v="HUDL INDIA PRIVATE LIMITED"/>
    <d v="2023-02-25T00:00:00"/>
    <d v="2024-02-24T00:00:00"/>
    <s v="MIST-PRD-010"/>
    <s v="GROUP MEDICLAIM -TAILORMADE"/>
    <n v="1056"/>
    <n v="7.4810606060606064"/>
    <n v="79"/>
    <s v="Mumbai"/>
    <n v="421681"/>
    <s v="NE"/>
    <s v="Rushi"/>
    <s v="Suspense"/>
    <s v="Manpreet Kaur Gill"/>
    <x v="23"/>
    <n v="767"/>
    <s v="Yash"/>
    <m/>
    <m/>
    <m/>
    <m/>
    <s v="NE"/>
  </r>
  <r>
    <x v="0"/>
    <m/>
    <n v="233600"/>
    <s v="DO RAJPURA"/>
    <s v="OIC/23-24/218"/>
    <s v="233600/48/2023/1976"/>
    <n v="5"/>
    <s v="HUDL INDIA PRIVATE LIMITED"/>
    <d v="2023-02-25T00:00:00"/>
    <d v="2024-02-24T00:00:00"/>
    <s v="MIST-PRD-010"/>
    <s v="GROUP MEDICLAIM -TAILORMADE"/>
    <n v="-182010"/>
    <n v="7.5001373550903798"/>
    <n v="-13651"/>
    <s v="Mumbai"/>
    <n v="421681"/>
    <s v="NE"/>
    <s v="Rushi"/>
    <s v="Suspense"/>
    <s v="Manpreet Kaur Gill"/>
    <x v="23"/>
    <n v="767"/>
    <s v="Yash"/>
    <m/>
    <m/>
    <m/>
    <m/>
    <s v="NE"/>
  </r>
  <r>
    <x v="0"/>
    <m/>
    <n v="233600"/>
    <s v="DO RAJPURA"/>
    <s v="OIC/23-24/215"/>
    <s v="233600/48/2023/1973"/>
    <n v="3"/>
    <s v="HUDL INDIA PRIVATE LIMITED"/>
    <d v="2023-02-25T00:00:00"/>
    <d v="2024-02-24T00:00:00"/>
    <s v="MIST-PRD-001"/>
    <s v="GPA - NAMED"/>
    <n v="89"/>
    <n v="7.5056179775280896"/>
    <n v="6.68"/>
    <s v="Mumbai"/>
    <n v="421676"/>
    <s v="E5"/>
    <s v="Rushi"/>
    <s v="Suspense"/>
    <s v="Manpreet Kaur Gill"/>
    <x v="23"/>
    <n v="767"/>
    <s v="Yash"/>
    <m/>
    <m/>
    <m/>
    <m/>
    <s v="NE"/>
  </r>
  <r>
    <x v="0"/>
    <m/>
    <n v="431500"/>
    <s v="DO IV HYDERABAD"/>
    <s v="OIC/23-24/220"/>
    <s v="431500/31/2024/29"/>
    <n v="0"/>
    <s v="KRUTTIVENTI UDBHAV"/>
    <d v="2023-04-06T00:00:00"/>
    <d v="2024-04-05T00:00:00"/>
    <s v="MOT-PRD-016"/>
    <s v="STANDALONE OWN DAMAGE(OD)-TWO WHEELER"/>
    <n v="2137"/>
    <n v="17.501169864295743"/>
    <n v="374"/>
    <s v="Mumbai"/>
    <n v="427175"/>
    <n v="0"/>
    <s v="Rushi"/>
    <s v="Suspense"/>
    <s v="Mukesh Srivastav"/>
    <x v="16"/>
    <n v="937"/>
    <s v="Yash"/>
    <s v="No"/>
    <m/>
    <m/>
    <m/>
    <s v="Updation done"/>
  </r>
  <r>
    <x v="0"/>
    <m/>
    <n v="442600"/>
    <s v="DO  THODUPUZHA"/>
    <s v="OIC/23-24/221"/>
    <s v="442600/11/2024/2"/>
    <n v="0"/>
    <s v="M/S ONS COUTURIES PVT LIMITED"/>
    <d v="2023-04-04T00:00:00"/>
    <d v="2024-04-03T00:00:00"/>
    <s v="FIR-PRD-010"/>
    <s v="ORIENTAL BHARAT SOOKSHMA UDYAM SURAKSHA POLICY"/>
    <n v="45650"/>
    <n v="14.162102957283681"/>
    <n v="6465"/>
    <s v="Mumbai"/>
    <n v="430056"/>
    <n v="0"/>
    <s v="Rushi"/>
    <s v="Suspense"/>
    <s v="Suspense"/>
    <x v="24"/>
    <s v="890_x0009_"/>
    <s v="Dilish"/>
    <s v="No"/>
    <m/>
    <m/>
    <m/>
    <s v="Updation done"/>
  </r>
  <r>
    <x v="0"/>
    <m/>
    <n v="442600"/>
    <s v="DO  THODUPUZHA"/>
    <s v="OIC/23-24/222"/>
    <s v="442600/48/2024/14"/>
    <n v="0"/>
    <s v="M/S ONS COUTURIES PVT LIMITED"/>
    <d v="2023-04-04T00:00:00"/>
    <d v="2024-04-03T00:00:00"/>
    <s v="MIST-PRD-052"/>
    <s v="MONEY INSURANCE"/>
    <n v="1350"/>
    <n v="16.518518518518519"/>
    <n v="223"/>
    <s v="Mumbai"/>
    <n v="430057"/>
    <n v="0"/>
    <s v="Rushi"/>
    <s v="Suspense"/>
    <s v="Suspense"/>
    <x v="24"/>
    <s v="890_x0009_"/>
    <s v="Dilish"/>
    <s v="No"/>
    <m/>
    <m/>
    <m/>
    <s v="Updation done"/>
  </r>
  <r>
    <x v="0"/>
    <m/>
    <n v="442600"/>
    <s v="DO  THODUPUZHA"/>
    <s v="OIC/23-24/223"/>
    <s v="442600/11/2024/10"/>
    <n v="0"/>
    <s v="M/S PULSE PHARMA"/>
    <d v="2023-04-15T00:00:00"/>
    <d v="2024-04-14T00:00:00"/>
    <s v="FIR-PRD-009"/>
    <s v="ORIENTAL BHARAT LAGHU UDYAM SURAKSHA POLICY"/>
    <n v="126315"/>
    <n v="13.987254087004711"/>
    <n v="17668"/>
    <s v="Mumbai"/>
    <e v="#N/A"/>
    <n v="0"/>
    <s v="Rushi"/>
    <s v="Suspense"/>
    <s v="Suspense"/>
    <x v="24"/>
    <s v="890_x0009_"/>
    <s v="Dilish"/>
    <s v="No"/>
    <m/>
    <m/>
    <s v="Updation done"/>
    <s v="Updation done"/>
  </r>
  <r>
    <x v="0"/>
    <m/>
    <n v="442600"/>
    <s v="DO  THODUPUZHA"/>
    <s v="OIC/23-24/224"/>
    <s v="442600/48/2024/87"/>
    <n v="0"/>
    <s v="M/S PULSE PHARMA"/>
    <d v="2023-04-15T00:00:00"/>
    <d v="2024-04-14T00:00:00"/>
    <s v="MIST-PRD-753"/>
    <s v="BURGLARY FLOATER"/>
    <n v="6599"/>
    <n v="16.50250037884528"/>
    <n v="1089"/>
    <s v="Mumbai"/>
    <e v="#N/A"/>
    <n v="0"/>
    <s v="Rushi"/>
    <s v="Suspense"/>
    <s v="Suspense"/>
    <x v="24"/>
    <s v="890_x0009_"/>
    <s v="Dilish"/>
    <s v="No"/>
    <m/>
    <m/>
    <s v="Updation done"/>
    <s v="Updation done"/>
  </r>
  <r>
    <x v="0"/>
    <m/>
    <n v="111900"/>
    <s v="MCDO 14"/>
    <s v="OIC/23-24/225"/>
    <s v="111900/48/2024/5"/>
    <n v="1"/>
    <s v="M/S. 3K MARINE SERVICES. VESSEL: M.T. RAJAVEER 1. REG.NO.GMB/JFD/10. YOB: 2013"/>
    <d v="2023-04-05T00:00:00"/>
    <d v="2024-04-04T00:00:00"/>
    <s v="MIST-PRD-002"/>
    <s v="GPA -UNNAMED"/>
    <n v="85000"/>
    <n v="1.5029411764705882"/>
    <n v="1277.5"/>
    <s v="Mumbai"/>
    <n v="427652"/>
    <s v="NE"/>
    <s v="Rushi"/>
    <s v="Suspense"/>
    <s v="Saikumar G Shirwatkar"/>
    <x v="25"/>
    <n v="980"/>
    <s v="Yash"/>
    <m/>
    <m/>
    <m/>
    <m/>
    <s v="NE"/>
  </r>
  <r>
    <x v="0"/>
    <m/>
    <n v="111900"/>
    <s v="MCDO 14"/>
    <s v="OIC/23-24/226"/>
    <s v="111900/22/2024/16"/>
    <n v="0"/>
    <s v="M/S. SADHAV OFFSHORE ENGINEERING PVT. LTD. YARD Y-105"/>
    <d v="2023-04-06T00:00:00"/>
    <d v="2023-05-15T00:00:00"/>
    <s v="MH-PRD-006"/>
    <s v="BUILDERS RISKS"/>
    <n v="155500"/>
    <n v="11.49967845659164"/>
    <n v="17882"/>
    <s v="Mumbai"/>
    <s v="NE"/>
    <s v="NE"/>
    <s v="Rushi"/>
    <s v="Suspense"/>
    <s v="Suspense"/>
    <x v="25"/>
    <n v="980"/>
    <s v="Yash"/>
    <s v="No"/>
    <m/>
    <m/>
    <m/>
    <s v="NE"/>
  </r>
  <r>
    <x v="0"/>
    <m/>
    <n v="111900"/>
    <s v="MCDO 14"/>
    <s v="OIC/23-24/227"/>
    <s v="111900/22/2023/712"/>
    <n v="4"/>
    <s v="M/S.SADHAV SHIPPING LTD. VESSEL:SARVEKSHAK. REG.NO.IMO NO.9554987. YOB: 2016"/>
    <d v="2023-01-25T00:00:00"/>
    <d v="2024-01-24T00:00:00"/>
    <s v="MH-PRD-003"/>
    <s v="INLAND VESSELS"/>
    <n v="45540"/>
    <n v="11.499780412823892"/>
    <n v="5237"/>
    <s v="Mumbai"/>
    <s v="NE"/>
    <s v="NE"/>
    <s v="Rushi"/>
    <s v="Suspense"/>
    <s v="Suspense"/>
    <x v="25"/>
    <n v="980"/>
    <s v="Yash"/>
    <m/>
    <m/>
    <m/>
    <m/>
    <s v="NE"/>
  </r>
  <r>
    <x v="0"/>
    <m/>
    <n v="112500"/>
    <s v="MCDO 22"/>
    <s v="OIC/23-24/228"/>
    <s v="112500/48/2023/2451"/>
    <n v="7"/>
    <s v="METTLER-TOLEDO INDIA PVT LTD"/>
    <d v="2022-11-18T00:00:00"/>
    <d v="2023-11-17T00:00:00"/>
    <s v="MIST-PRD-890"/>
    <s v="GROUP MEDICLAIM -TAILORMADE-RISK FLOATER"/>
    <n v="-712"/>
    <n v="5"/>
    <n v="-35.6"/>
    <s v="Mumbai"/>
    <n v="416893"/>
    <s v="E6"/>
    <s v="Rushi"/>
    <s v="Suspense"/>
    <s v="Arpita R Kochrekar"/>
    <x v="26"/>
    <n v="983"/>
    <s v="Yash"/>
    <m/>
    <m/>
    <m/>
    <m/>
    <s v="Updation done"/>
  </r>
  <r>
    <x v="0"/>
    <m/>
    <n v="442600"/>
    <s v="DO  THODUPUZHA"/>
    <s v="OIC/23-24/229"/>
    <s v="442600/21/2024/1"/>
    <n v="0"/>
    <s v="Mirum Digital Pvt Ltd"/>
    <d v="2023-04-11T00:00:00"/>
    <d v="2024-04-10T00:00:00"/>
    <s v="MC-PRD-007"/>
    <s v="MARINE CARGO - OPEN POLICY"/>
    <n v="3507"/>
    <n v="16.481323068149415"/>
    <n v="578"/>
    <s v="Mumbai"/>
    <n v="431821"/>
    <n v="0"/>
    <s v="Rushi"/>
    <s v="Suspense"/>
    <s v="Suspense"/>
    <x v="24"/>
    <s v="890_x0009_"/>
    <s v="Dilish"/>
    <s v="Yes"/>
    <n v="169909"/>
    <m/>
    <m/>
    <s v="Updation done"/>
  </r>
  <r>
    <x v="0"/>
    <m/>
    <n v="131300"/>
    <s v="DO GHATKOPAR"/>
    <s v="OIC/23-24/230"/>
    <s v="131300/48/2024/15"/>
    <n v="0"/>
    <s v="MRS. MANISHA L. KADAM."/>
    <d v="2023-04-01T00:00:00"/>
    <d v="2024-03-31T00:00:00"/>
    <s v="MIST-PRD-094"/>
    <s v="ORIENTAL MEDICLAIM INSURANCE POLICY(INDIVIDUAL)"/>
    <n v="20533"/>
    <n v="15.000243510446598"/>
    <n v="3080"/>
    <s v="Mumbai"/>
    <n v="421977"/>
    <n v="0"/>
    <s v="Rushi"/>
    <s v="Suspense"/>
    <s v="Anju Shukla"/>
    <x v="27"/>
    <n v="665"/>
    <s v="Yash"/>
    <s v="No"/>
    <m/>
    <m/>
    <s v="Done"/>
    <s v="Updation done"/>
  </r>
  <r>
    <x v="0"/>
    <m/>
    <n v="442600"/>
    <s v="DO  THODUPUZHA"/>
    <s v="OIC/23-24/231"/>
    <s v="442600/11/2024/6"/>
    <n v="0"/>
    <s v="SHREYA LIFE SCIENCES PVT. LTD."/>
    <d v="2023-04-19T00:00:00"/>
    <d v="2024-04-18T00:00:00"/>
    <s v="FIR-PRD-010"/>
    <s v="ORIENTAL BHARAT SOOKSHMA UDYAM SURAKSHA POLICY"/>
    <n v="18800"/>
    <n v="12.829787234042554"/>
    <n v="2412"/>
    <s v="Mumbai"/>
    <s v="NE"/>
    <s v="NE"/>
    <s v="Rushi"/>
    <s v="Suspense"/>
    <s v="Suspense"/>
    <x v="24"/>
    <s v="890_x0009_"/>
    <s v="Dilish"/>
    <s v="No"/>
    <m/>
    <m/>
    <m/>
    <s v="NE"/>
  </r>
  <r>
    <x v="0"/>
    <m/>
    <n v="442600"/>
    <s v="DO  THODUPUZHA"/>
    <s v="OIC/23-24/232"/>
    <s v="442600/11/2024/7"/>
    <n v="0"/>
    <s v="SHREYA LIFE SCIENCES PVT. LTD."/>
    <d v="2023-04-19T00:00:00"/>
    <d v="2024-04-18T00:00:00"/>
    <s v="FIR-PRD-010"/>
    <s v="ORIENTAL BHARAT SOOKSHMA UDYAM SURAKSHA POLICY"/>
    <n v="949"/>
    <n v="14.752370916754478"/>
    <n v="140"/>
    <s v="Mumbai"/>
    <e v="#N/A"/>
    <n v="0"/>
    <s v="Rushi"/>
    <s v="Suspense"/>
    <s v="Suspense"/>
    <x v="24"/>
    <s v="890_x0009_"/>
    <s v="Dilish"/>
    <s v="No"/>
    <m/>
    <m/>
    <s v="Updation done"/>
    <s v="Updation done"/>
  </r>
  <r>
    <x v="0"/>
    <m/>
    <n v="442600"/>
    <s v="DO  THODUPUZHA"/>
    <s v="OIC/23-24/233"/>
    <s v="442600/11/2024/8"/>
    <n v="0"/>
    <s v="SHREYA LIFE SCIENCES PVT. LTD."/>
    <d v="2023-04-19T00:00:00"/>
    <d v="2024-04-18T00:00:00"/>
    <s v="FIR-PRD-010"/>
    <s v="ORIENTAL BHARAT SOOKSHMA UDYAM SURAKSHA POLICY"/>
    <n v="10421"/>
    <n v="14.585932252183092"/>
    <n v="1520"/>
    <s v="Mumbai"/>
    <e v="#N/A"/>
    <n v="0"/>
    <s v="Rushi"/>
    <s v="Suspense"/>
    <s v="Suspense"/>
    <x v="24"/>
    <s v="890_x0009_"/>
    <s v="Dilish"/>
    <s v="No"/>
    <m/>
    <m/>
    <s v="Updation done"/>
    <s v="Updation done"/>
  </r>
  <r>
    <x v="0"/>
    <m/>
    <n v="442600"/>
    <s v="DO  THODUPUZHA"/>
    <s v="OIC/23-24/234"/>
    <s v="442600/11/2024/9"/>
    <n v="0"/>
    <s v="SHREYA LIFE SCIENCES PVT. LTD."/>
    <d v="2023-04-19T00:00:00"/>
    <d v="2024-04-18T00:00:00"/>
    <s v="FIR-PRD-009"/>
    <s v="ORIENTAL BHARAT LAGHU UDYAM SURAKSHA POLICY"/>
    <n v="129751"/>
    <n v="13.441900255104008"/>
    <n v="17441"/>
    <s v="Mumbai"/>
    <e v="#N/A"/>
    <n v="0"/>
    <s v="Rushi"/>
    <s v="Suspense"/>
    <s v="Suspense"/>
    <x v="24"/>
    <s v="890_x0009_"/>
    <s v="Dilish"/>
    <s v="No"/>
    <m/>
    <m/>
    <s v="Updation done"/>
    <s v="Updation done"/>
  </r>
  <r>
    <x v="0"/>
    <m/>
    <n v="442600"/>
    <s v="DO  THODUPUZHA"/>
    <s v="OIC/23-24/235"/>
    <s v="442600/44/2024/3"/>
    <n v="0"/>
    <s v="SHREYA LIFE SCIENCES PVT. LTD."/>
    <d v="2023-04-19T00:00:00"/>
    <d v="2024-04-18T00:00:00"/>
    <s v="ENG-PRD-006"/>
    <s v="ELECTRONIC EQUIPMENT INSURANCE"/>
    <n v="2490"/>
    <n v="16.506024096385541"/>
    <n v="411"/>
    <s v="Mumbai"/>
    <e v="#N/A"/>
    <n v="0"/>
    <s v="Rushi"/>
    <s v="Suspense"/>
    <s v="Suspense"/>
    <x v="24"/>
    <s v="890_x0009_"/>
    <s v="Dilish"/>
    <s v="No"/>
    <m/>
    <m/>
    <s v="Updation done"/>
    <s v="Updation done"/>
  </r>
  <r>
    <x v="0"/>
    <m/>
    <n v="442600"/>
    <s v="DO  THODUPUZHA"/>
    <s v="OIC/23-24/236"/>
    <s v="442600/48/2024/85"/>
    <n v="0"/>
    <s v="SHREYA LIFE SCIENCES PVT. LTD."/>
    <d v="2023-04-19T00:00:00"/>
    <d v="2024-04-18T00:00:00"/>
    <s v="MIST-PRD-753"/>
    <s v="BURGLARY FLOATER"/>
    <n v="4125"/>
    <n v="16.509090909090908"/>
    <n v="681"/>
    <s v="Mumbai"/>
    <e v="#N/A"/>
    <n v="0"/>
    <s v="Rushi"/>
    <s v="Suspense"/>
    <s v="Suspense"/>
    <x v="24"/>
    <s v="890_x0009_"/>
    <s v="Dilish"/>
    <s v="No"/>
    <m/>
    <m/>
    <s v="Updation done"/>
    <s v="Updation done"/>
  </r>
  <r>
    <x v="0"/>
    <m/>
    <n v="431500"/>
    <s v="DO IV HYDERABAD"/>
    <s v="OIC/23-24/237"/>
    <s v="431500/48/2023/567"/>
    <n v="21"/>
    <s v="SILABS INDIA PRIVATE LIMITED"/>
    <d v="2022-04-29T00:00:00"/>
    <d v="2023-04-28T00:00:00"/>
    <s v="MIST-PRD-890"/>
    <s v="GROUP MEDICLAIM -TAILORMADE-RISK FLOATER"/>
    <n v="-1077"/>
    <n v="7.5004642525533889"/>
    <n v="-80.78"/>
    <s v="Mumbai"/>
    <n v="380658"/>
    <s v="NE"/>
    <s v="Rushi"/>
    <s v="Suspense"/>
    <s v="Prasanna Vadhana"/>
    <x v="16"/>
    <n v="937"/>
    <s v="Yash"/>
    <m/>
    <m/>
    <m/>
    <m/>
    <s v="NE"/>
  </r>
  <r>
    <x v="0"/>
    <m/>
    <n v="431500"/>
    <s v="DO IV HYDERABAD"/>
    <s v="OIC/23-24/238"/>
    <s v="431500/48/2023/567"/>
    <n v="22"/>
    <s v="SILABS INDIA PRIVATE LIMITED"/>
    <d v="2022-04-29T00:00:00"/>
    <d v="2023-04-28T00:00:00"/>
    <s v="MIST-PRD-890"/>
    <s v="GROUP MEDICLAIM -TAILORMADE-RISK FLOATER"/>
    <n v="6616"/>
    <n v="7.5"/>
    <n v="496.2"/>
    <s v="Mumbai"/>
    <n v="380658"/>
    <s v="NE"/>
    <s v="Rushi"/>
    <s v="Suspense"/>
    <s v="Prasanna Vadhana"/>
    <x v="16"/>
    <n v="937"/>
    <s v="Yash"/>
    <m/>
    <m/>
    <m/>
    <m/>
    <s v="NE"/>
  </r>
  <r>
    <x v="0"/>
    <m/>
    <n v="431500"/>
    <s v="DO IV HYDERABAD"/>
    <s v="OIC/23-24/239"/>
    <s v="431500/48/2023/572"/>
    <n v="20"/>
    <s v="SILABS INDIA PRIVATE LIMITED"/>
    <d v="2022-04-29T00:00:00"/>
    <d v="2023-04-28T00:00:00"/>
    <s v="MIST-PRD-890"/>
    <s v="GROUP MEDICLAIM -TAILORMADE-RISK FLOATER"/>
    <n v="-2252"/>
    <n v="7.5"/>
    <n v="-168.9"/>
    <s v="Mumbai"/>
    <n v="380663"/>
    <s v="NE"/>
    <s v="Rushi"/>
    <s v="Suspense"/>
    <s v="Prasanna Vadhana"/>
    <x v="16"/>
    <n v="937"/>
    <s v="Yash"/>
    <m/>
    <m/>
    <m/>
    <m/>
    <s v="NE"/>
  </r>
  <r>
    <x v="0"/>
    <m/>
    <n v="431500"/>
    <s v="DO IV HYDERABAD"/>
    <s v="OIC/23-24/240"/>
    <s v="431500/48/2023/572"/>
    <n v="21"/>
    <s v="SILABS INDIA PRIVATE LIMITED"/>
    <d v="2022-04-29T00:00:00"/>
    <d v="2023-04-28T00:00:00"/>
    <s v="MIST-PRD-890"/>
    <s v="GROUP MEDICLAIM -TAILORMADE-RISK FLOATER"/>
    <n v="17935"/>
    <n v="7.5000278784499583"/>
    <n v="1345.13"/>
    <s v="Mumbai"/>
    <n v="380663"/>
    <s v="NE"/>
    <s v="Rushi"/>
    <s v="Suspense"/>
    <s v="Prasanna Vadhana"/>
    <x v="16"/>
    <n v="937"/>
    <s v="Yash"/>
    <m/>
    <m/>
    <m/>
    <m/>
    <s v="NE"/>
  </r>
  <r>
    <x v="0"/>
    <m/>
    <n v="111200"/>
    <s v="CBU-3 MUMBAI"/>
    <s v="OIC/23-24/211"/>
    <s v="111200/48/2024/204"/>
    <n v="0"/>
    <s v="AMIT AGARWAL"/>
    <d v="2023-05-01T00:00:00"/>
    <d v="2024-04-30T00:00:00"/>
    <s v="MIST-PRD-943"/>
    <s v="HAPPY FAMILY FLOATER POLICY-2021"/>
    <n v="48418"/>
    <n v="15.0006196042794"/>
    <n v="7263"/>
    <s v="Mumbai"/>
    <n v="435714"/>
    <n v="0"/>
    <s v="Rushi"/>
    <s v="Suspense"/>
    <s v="Suspense"/>
    <x v="28"/>
    <n v="978"/>
    <s v="Yash"/>
    <s v="No"/>
    <m/>
    <m/>
    <m/>
    <s v="Updation done in saiba"/>
  </r>
  <r>
    <x v="0"/>
    <m/>
    <n v="431500"/>
    <s v="DO IV HYDERABAD"/>
    <s v="OIC/23-24/242"/>
    <s v="431500/48/2023/3634"/>
    <n v="3"/>
    <s v="WAVEMAKER INDIA PRIVATE LIMITED"/>
    <d v="2023-03-15T00:00:00"/>
    <d v="2024-03-14T00:00:00"/>
    <s v="MIST-PRD-890"/>
    <s v="GROUP MEDICLAIM -TAILORMADE-RISK FLOATER"/>
    <n v="4050739"/>
    <n v="-3"/>
    <n v="-121522.17"/>
    <s v="Hyderabad"/>
    <n v="424816"/>
    <s v="E5"/>
    <s v="Rushi"/>
    <s v="Suspense"/>
    <s v="Suspense"/>
    <x v="16"/>
    <n v="937"/>
    <s v="Yash"/>
    <m/>
    <m/>
    <m/>
    <m/>
    <s v="Updation done"/>
  </r>
  <r>
    <x v="0"/>
    <m/>
    <n v="112500"/>
    <s v="MCDO 22"/>
    <s v="OIC/23-24/219"/>
    <s v="112500/48/2023/350"/>
    <n v="19"/>
    <s v="IDBI INTECH LIMITED"/>
    <d v="2022-04-22T00:00:00"/>
    <d v="2023-04-21T00:00:00"/>
    <s v="MIST-PRD-890"/>
    <s v="GROUP MEDICLAIM -TAILORMADE-RISK FLOATER"/>
    <n v="27337"/>
    <n v="6.8000146321834878"/>
    <n v="1858.92"/>
    <s v="Mumbai"/>
    <n v="380549"/>
    <s v="E12"/>
    <s v="Rushi"/>
    <s v="Suspense"/>
    <s v="Mayur Tote"/>
    <x v="26"/>
    <n v="983"/>
    <s v="Yash"/>
    <m/>
    <m/>
    <m/>
    <m/>
    <s v="NE"/>
  </r>
  <r>
    <x v="0"/>
    <m/>
    <n v="132000"/>
    <s v="DO JOGESHWARI"/>
    <s v="OIC/23-24/244"/>
    <s v="132000/48/2024/314"/>
    <n v="0"/>
    <s v="YASH RAJ FILMS PVT LTD"/>
    <d v="2023-04-21T00:00:00"/>
    <d v="2024-04-20T00:00:00"/>
    <s v="MIST-PRD-066"/>
    <s v="FILM Production Package Policy"/>
    <n v="1225800"/>
    <n v="11.984092021536956"/>
    <n v="146901"/>
    <s v="Mumbai"/>
    <n v="431040"/>
    <s v="0"/>
    <s v="Rushi"/>
    <s v="Suspense"/>
    <s v="Suspense"/>
    <x v="19"/>
    <n v="666"/>
    <s v="Yash"/>
    <s v="No"/>
    <m/>
    <m/>
    <s v="Premium amt mismatched"/>
    <s v="NE"/>
  </r>
  <r>
    <x v="0"/>
    <m/>
    <n v="132000"/>
    <s v="DO JOGESHWARI"/>
    <s v="OIC/23-24/245"/>
    <s v="132000/48/2024/315"/>
    <n v="0"/>
    <s v="YASH RAJ FILMS PVT LTD"/>
    <d v="2023-04-21T00:00:00"/>
    <d v="2024-04-20T00:00:00"/>
    <s v="MIST-PRD-060"/>
    <s v="EMPLOYERS LIABILITY"/>
    <n v="109440"/>
    <n v="12.5"/>
    <n v="13680"/>
    <s v="Mumbai"/>
    <s v="NE"/>
    <s v="NE"/>
    <s v="Rushi"/>
    <s v="Suspense"/>
    <s v="Suspense"/>
    <x v="19"/>
    <n v="666"/>
    <s v="Yash"/>
    <s v="No"/>
    <m/>
    <m/>
    <m/>
    <s v="NE"/>
  </r>
  <r>
    <x v="0"/>
    <m/>
    <n v="510000"/>
    <s v="CBRO DELHI"/>
    <s v="OIC/23-24/246"/>
    <s v="510000/48/2024/85"/>
    <n v="0"/>
    <s v=" ARTEMIS MEDICARE SERVICES LTD"/>
    <d v="2023-04-24T00:00:00"/>
    <d v="2024-04-22T00:00:00"/>
    <s v="MIST-PRD-032"/>
    <s v="PUBLIC LIABILITY NON INDUSTRIAL"/>
    <n v="7686"/>
    <n v="12.503252667187093"/>
    <n v="961"/>
    <s v="Delhi"/>
    <s v="NE"/>
    <s v="NE"/>
    <s v="Sachin"/>
    <s v="Suspense"/>
    <s v="Suspense"/>
    <x v="4"/>
    <n v="969"/>
    <s v="Ravi Kant"/>
    <s v="No"/>
    <m/>
    <m/>
    <m/>
    <s v="NE"/>
  </r>
  <r>
    <x v="0"/>
    <m/>
    <n v="212203"/>
    <s v="CBO 13 N-34 C.PLACE"/>
    <s v="OIC/23-24/247"/>
    <s v="212203/31/2024/68"/>
    <n v="0"/>
    <s v="AGENCY FOR NON CONVENTIONAL ENERGY"/>
    <d v="2023-04-07T00:00:00"/>
    <d v="2024-04-06T00:00:00"/>
    <s v="MOT-PRD-015"/>
    <s v="STANDALONE OWN DAMAGE(OD)-PRIVATE CAR"/>
    <n v="8851"/>
    <n v="14.992656197039883"/>
    <n v="1327"/>
    <s v="Delhi"/>
    <n v="439367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48"/>
    <s v="212203/31/2024/70"/>
    <n v="0"/>
    <s v="AGENCY FOR NON CONVENTIONAL ENERGY"/>
    <d v="2023-04-07T00:00:00"/>
    <d v="2024-04-06T00:00:00"/>
    <s v="MOT-PRD-015"/>
    <s v="STANDALONE OWN DAMAGE(OD)-PRIVATE CAR"/>
    <n v="8851"/>
    <n v="14.992656197039883"/>
    <n v="1327"/>
    <s v="Delhi"/>
    <n v="439369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49"/>
    <s v="212203/31/2024/72"/>
    <n v="0"/>
    <s v="AGENCY FOR NON CONVENTIONAL ENERGY"/>
    <d v="2023-04-07T00:00:00"/>
    <d v="2024-04-06T00:00:00"/>
    <s v="MOT-PRD-015"/>
    <s v="STANDALONE OWN DAMAGE(OD)-PRIVATE CAR"/>
    <n v="8851"/>
    <n v="14.992656197039883"/>
    <n v="1327"/>
    <s v="Delhi"/>
    <n v="439371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50"/>
    <s v="212203/31/2024/73"/>
    <n v="0"/>
    <s v="AGENCY FOR NON CONVENTIONAL ENERGY"/>
    <d v="2023-04-07T00:00:00"/>
    <d v="2024-04-06T00:00:00"/>
    <s v="MOT-PRD-015"/>
    <s v="STANDALONE OWN DAMAGE(OD)-PRIVATE CAR"/>
    <n v="8851"/>
    <n v="14.992656197039883"/>
    <n v="1327"/>
    <s v="Delhi"/>
    <n v="439372"/>
    <n v="0"/>
    <s v="Sachin"/>
    <s v="Suspense"/>
    <s v="Suspense"/>
    <x v="5"/>
    <n v="898"/>
    <s v="Ravi Kant"/>
    <s v="No"/>
    <m/>
    <m/>
    <m/>
    <s v="Updation done"/>
  </r>
  <r>
    <x v="0"/>
    <m/>
    <n v="222105"/>
    <s v="KANPUR DEHAT"/>
    <s v="OIC/23-24/251"/>
    <s v="222105/48/2024/85"/>
    <n v="0"/>
    <s v="BAL KRISHAN BASHYAL"/>
    <d v="2023-05-01T00:00:00"/>
    <d v="2024-04-30T00:00:00"/>
    <s v="MIST-PRD-943"/>
    <s v="HAPPY FAMILY FLOATER POLICY-2021"/>
    <n v="101148"/>
    <n v="14.999802269941076"/>
    <n v="15172"/>
    <s v="Delhi"/>
    <n v="427913"/>
    <n v="0"/>
    <s v="Sachin"/>
    <s v="Suspense"/>
    <s v="Ankit Kumar Gangwar"/>
    <x v="10"/>
    <n v="919"/>
    <s v="Ravi Kant"/>
    <s v="No"/>
    <m/>
    <m/>
    <s v="Done"/>
    <s v="Updation done"/>
  </r>
  <r>
    <x v="0"/>
    <m/>
    <n v="510000"/>
    <s v="CBRO DELHI"/>
    <s v="OIC/23-24/252"/>
    <s v="510000/48/2024/75"/>
    <n v="0"/>
    <s v="BATRA HOSPITAL &amp; MEDICAL RESEARCH CENTRE"/>
    <d v="2023-04-06T00:00:00"/>
    <d v="2024-04-05T00:00:00"/>
    <s v="MIST-PRD-890"/>
    <s v="GROUP MEDICLAIM -TAILORMADE-RISK FLOATER"/>
    <n v="3628500"/>
    <n v="1.1899958660603556"/>
    <n v="43179"/>
    <s v="Delhi"/>
    <n v="436224"/>
    <n v="0"/>
    <s v="Sachin"/>
    <s v="Suspense"/>
    <s v="Suspense"/>
    <x v="4"/>
    <n v="969"/>
    <s v="Ravi Kant"/>
    <s v="Yes"/>
    <n v="207762"/>
    <m/>
    <s v="Updation done in saiba"/>
    <s v="RFQ"/>
  </r>
  <r>
    <x v="0"/>
    <m/>
    <n v="271700"/>
    <s v="NEW DELHI DO 14"/>
    <s v="OIC/23-24/253"/>
    <s v="271700/48/2024/94"/>
    <n v="0"/>
    <s v="BIGFOOT RETAIL SOLUTIONS PVT. LTD."/>
    <d v="2023-04-11T00:00:00"/>
    <d v="2024-04-10T00:00:00"/>
    <s v="MIST-PRD-753"/>
    <s v="BURGLARY FLOATER"/>
    <n v="777"/>
    <n v="16.473616473616474"/>
    <n v="128"/>
    <s v="Delhi"/>
    <s v="NE"/>
    <s v="NE"/>
    <s v="Sachin"/>
    <s v="Suspense"/>
    <s v="Suspense"/>
    <x v="8"/>
    <n v="957"/>
    <s v="Ravi Kant"/>
    <s v="No"/>
    <m/>
    <m/>
    <m/>
    <s v="NE"/>
  </r>
  <r>
    <x v="0"/>
    <m/>
    <n v="212203"/>
    <s v="CBO 13 N-34 C.PLACE"/>
    <s v="OIC/23-24/254"/>
    <s v="212203/31/2024/128"/>
    <n v="0"/>
    <s v="CHIEF EXECUTIVE OFFICER, SOUADTGA"/>
    <d v="2023-04-18T00:00:00"/>
    <d v="2024-04-17T00:00:00"/>
    <s v="MOT-PRD-015"/>
    <s v="STANDALONE OWN DAMAGE(OD)-PRIVATE CAR"/>
    <n v="8033"/>
    <n v="15.000622432466077"/>
    <n v="1205"/>
    <s v="Delhi"/>
    <n v="439384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55"/>
    <s v="212203/31/2024/130"/>
    <n v="0"/>
    <s v="CHIEF EXECUTIVE OFFICER, SOUADTGA"/>
    <d v="2023-04-18T00:00:00"/>
    <d v="2024-04-17T00:00:00"/>
    <s v="MOT-PRD-015"/>
    <s v="STANDALONE OWN DAMAGE(OD)-PRIVATE CAR"/>
    <n v="8033"/>
    <n v="15.000622432466077"/>
    <n v="1205"/>
    <s v="Delhi"/>
    <n v="439386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56"/>
    <s v="212203/31/2024/146"/>
    <n v="0"/>
    <s v="CHIEF EXECUTIVE OFFICER, SOUADTGA"/>
    <d v="2023-04-19T00:00:00"/>
    <d v="2024-04-18T00:00:00"/>
    <s v="MOT-PRD-015"/>
    <s v="STANDALONE OWN DAMAGE(OD)-PRIVATE CAR"/>
    <n v="8033"/>
    <n v="15.000622432466077"/>
    <n v="1205"/>
    <s v="Delhi"/>
    <n v="439391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57"/>
    <s v="212203/31/2024/152"/>
    <n v="0"/>
    <s v="CHIEF EXECUTIVE OFFICER, SOUADTGA"/>
    <d v="2023-04-19T00:00:00"/>
    <d v="2024-04-18T00:00:00"/>
    <s v="MOT-PRD-015"/>
    <s v="STANDALONE OWN DAMAGE(OD)-PRIVATE CAR"/>
    <n v="8033"/>
    <n v="15.000622432466077"/>
    <n v="1205"/>
    <s v="Delhi"/>
    <n v="439397"/>
    <n v="0"/>
    <s v="Sachin"/>
    <s v="Suspense"/>
    <s v="Suspense"/>
    <x v="5"/>
    <n v="898"/>
    <s v="Ravi Kant"/>
    <s v="No"/>
    <m/>
    <m/>
    <m/>
    <s v="Updation done"/>
  </r>
  <r>
    <x v="0"/>
    <m/>
    <n v="510000"/>
    <s v="CBRO DELHI"/>
    <s v="OIC/23-24/258"/>
    <s v="510000/48/2023/1556"/>
    <n v="2"/>
    <s v="DENTSU AEGIS NETWORK INDIA PRIVATE LIMITED"/>
    <d v="2023-01-12T00:00:00"/>
    <d v="2023-12-31T00:00:00"/>
    <s v="MIST-PRD-890"/>
    <s v="GROUP MEDICLAIM -TAILORMADE-RISK FLOATER"/>
    <n v="17965"/>
    <n v="5"/>
    <n v="898.25"/>
    <s v="Delhi"/>
    <s v="NE"/>
    <s v="NE"/>
    <s v="Sachin"/>
    <s v="Suspense"/>
    <s v="Suspense"/>
    <x v="4"/>
    <n v="969"/>
    <s v="Ravi Kant"/>
    <m/>
    <m/>
    <m/>
    <m/>
    <s v="NE"/>
  </r>
  <r>
    <x v="0"/>
    <m/>
    <n v="212203"/>
    <s v="CBO 13 N-34 C.PLACE"/>
    <s v="OIC/23-24/259"/>
    <s v="212203/31/2024/67"/>
    <n v="0"/>
    <s v="DEPARTMENT OF NEW &amp; RENEWABLE ENERGY"/>
    <d v="2023-04-07T00:00:00"/>
    <d v="2024-04-06T00:00:00"/>
    <s v="MOT-PRD-015"/>
    <s v="STANDALONE OWN DAMAGE(OD)-PRIVATE CAR"/>
    <n v="8998"/>
    <n v="14.992220493442987"/>
    <n v="1349"/>
    <s v="Delhi"/>
    <n v="439366"/>
    <n v="0"/>
    <s v="Sachin"/>
    <s v="Suspense"/>
    <s v="Suspense"/>
    <x v="5"/>
    <n v="898"/>
    <s v="Ravi Kant"/>
    <s v="No"/>
    <m/>
    <m/>
    <m/>
    <s v="Updation done"/>
  </r>
  <r>
    <x v="0"/>
    <m/>
    <n v="510000"/>
    <s v="CBRO DELHI"/>
    <s v="OIC/23-24/260"/>
    <s v="510000/48/2023/1591"/>
    <n v="1"/>
    <s v="DWA MEDIA PRIVATE LIMITED"/>
    <d v="2023-02-01T00:00:00"/>
    <d v="2023-12-31T00:00:00"/>
    <s v="MIST-PRD-001"/>
    <s v="GPA - NAMED"/>
    <n v="852"/>
    <n v="7.394366197183099"/>
    <n v="63"/>
    <s v="Delhi"/>
    <s v="NE"/>
    <s v="NE"/>
    <s v="Sachin"/>
    <s v="Suspense"/>
    <s v="Suspense"/>
    <x v="4"/>
    <n v="969"/>
    <s v="Ravi Kant"/>
    <m/>
    <m/>
    <m/>
    <m/>
    <s v="NE"/>
  </r>
  <r>
    <x v="0"/>
    <m/>
    <n v="212203"/>
    <s v="CBO 13 N-34 C.PLACE"/>
    <s v="OIC/23-24/261"/>
    <s v="212203/31/2024/196"/>
    <n v="0"/>
    <s v="ENERGY EFFICIENCY SERVICES LIMITED"/>
    <d v="2023-04-23T00:00:00"/>
    <d v="2024-04-22T00:00:00"/>
    <s v="MOT-PRD-001"/>
    <s v="PRIVATE CAR"/>
    <n v="9216"/>
    <n v="12.250434027777779"/>
    <n v="1129"/>
    <s v="Delhi"/>
    <n v="437850"/>
    <n v="0"/>
    <s v="Sachin"/>
    <s v="Suspense"/>
    <s v="Suspense"/>
    <x v="5"/>
    <n v="898"/>
    <s v="Ravi Kant"/>
    <s v="Yes"/>
    <n v="193931"/>
    <m/>
    <m/>
    <s v="Updation done"/>
  </r>
  <r>
    <x v="0"/>
    <m/>
    <n v="212203"/>
    <s v="CBO 13 N-34 C.PLACE"/>
    <s v="OIC/23-24/262"/>
    <s v="212203/31/2024/117"/>
    <n v="0"/>
    <s v="ENERGY EFFICIENCY SERVICES LTD"/>
    <d v="2023-04-16T00:00:00"/>
    <d v="2024-04-15T00:00:00"/>
    <s v="MOT-PRD-015"/>
    <s v="STANDALONE OWN DAMAGE(OD)-PRIVATE CAR"/>
    <n v="8914"/>
    <n v="15.010096477451201"/>
    <n v="1338"/>
    <s v="Delhi"/>
    <n v="439382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63"/>
    <s v="212203/31/2024/212"/>
    <n v="0"/>
    <s v="Energy Efficiency Services Ltd."/>
    <d v="2023-04-26T00:00:00"/>
    <d v="2024-04-25T00:00:00"/>
    <s v="MOT-PRD-001"/>
    <s v="PRIVATE CAR"/>
    <n v="3128"/>
    <n v="6.9053708439897701"/>
    <n v="216"/>
    <s v="Delhi"/>
    <n v="437851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64"/>
    <s v="212203/31/2024/215"/>
    <n v="0"/>
    <s v="Energy Efficiency Services Ltd."/>
    <d v="2023-04-26T00:00:00"/>
    <d v="2024-04-25T00:00:00"/>
    <s v="MOT-PRD-001"/>
    <s v="PRIVATE CAR"/>
    <n v="3201"/>
    <n v="7.0915338956576068"/>
    <n v="227"/>
    <s v="Delhi"/>
    <n v="437854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65"/>
    <s v="212203/31/2024/216"/>
    <n v="0"/>
    <s v="Energy Efficiency Services Ltd."/>
    <d v="2023-04-26T00:00:00"/>
    <d v="2024-04-25T00:00:00"/>
    <s v="MOT-PRD-001"/>
    <s v="PRIVATE CAR"/>
    <n v="3201"/>
    <n v="7.0915338956576068"/>
    <n v="227"/>
    <s v="Delhi"/>
    <s v="NE"/>
    <s v="NE"/>
    <s v="Sachin"/>
    <s v="Suspense"/>
    <s v="Suspense"/>
    <x v="5"/>
    <n v="898"/>
    <s v="Ravi Kant"/>
    <s v="No"/>
    <m/>
    <m/>
    <m/>
    <s v="NE"/>
  </r>
  <r>
    <x v="0"/>
    <m/>
    <n v="510000"/>
    <s v="CBRO DELHI"/>
    <s v="OIC/23-24/266"/>
    <s v="510000/11/2023/326"/>
    <n v="1"/>
    <s v="ESSAR INDUSTRIES"/>
    <d v="2022-10-04T00:00:00"/>
    <d v="2023-10-03T00:00:00"/>
    <s v="FIR-PRD-009"/>
    <s v="ORIENTAL BHARAT LAGHU UDYAM SURAKSHA POLICY"/>
    <n v="1685"/>
    <n v="10.801186943620179"/>
    <n v="182"/>
    <s v="Delhi"/>
    <n v="426355"/>
    <s v="NE"/>
    <s v="Sachin"/>
    <s v="Suspense"/>
    <s v="Rajvansh Gusain"/>
    <x v="4"/>
    <n v="969"/>
    <s v="Ravi Kant"/>
    <m/>
    <m/>
    <m/>
    <m/>
    <s v="NE"/>
  </r>
  <r>
    <x v="0"/>
    <m/>
    <n v="212203"/>
    <s v="CBO 13 N-34 C.PLACE"/>
    <s v="OIC/23-24/267"/>
    <s v="212203/31/2024/94"/>
    <n v="0"/>
    <s v="EXECUTIVE OFFICER NABADIGANTA INDUSTRIAL TOWNSHIP AUTHORITY"/>
    <d v="2023-04-11T00:00:00"/>
    <d v="2024-04-10T00:00:00"/>
    <s v="MOT-PRD-015"/>
    <s v="STANDALONE OWN DAMAGE(OD)-PRIVATE CAR"/>
    <n v="8111"/>
    <n v="14.991986191591666"/>
    <n v="1216"/>
    <s v="Delhi"/>
    <n v="439374"/>
    <n v="0"/>
    <s v="Sachin"/>
    <s v="Suspense"/>
    <s v="Suspense"/>
    <x v="5"/>
    <n v="898"/>
    <s v="Ravi Kant"/>
    <s v="No"/>
    <m/>
    <m/>
    <m/>
    <s v="Updation done"/>
  </r>
  <r>
    <x v="0"/>
    <m/>
    <n v="510000"/>
    <s v="CBRO DELHI"/>
    <s v="OIC/23-24/268"/>
    <s v="510000/48/2023/1585"/>
    <n v="1"/>
    <s v="Fractal Ink Design Studio Private Limited"/>
    <d v="2023-02-07T00:00:00"/>
    <d v="2023-12-31T00:00:00"/>
    <s v="MIST-PRD-001"/>
    <s v="GPA - NAMED"/>
    <n v="358"/>
    <n v="7.5418994413407825"/>
    <n v="27"/>
    <s v="Delhi"/>
    <s v="NE"/>
    <s v="NE"/>
    <s v="Sachin"/>
    <s v="Suspense"/>
    <s v="Suspense"/>
    <x v="4"/>
    <n v="969"/>
    <s v="Ravi Kant"/>
    <m/>
    <m/>
    <m/>
    <m/>
    <s v="NE"/>
  </r>
  <r>
    <x v="0"/>
    <m/>
    <n v="272200"/>
    <s v="DO 3 NEW DELHI"/>
    <s v="OIC/23-24/269"/>
    <s v="272200/31/2024/84"/>
    <n v="0"/>
    <s v="GITS FOOD PRODUCTS PRIVATE LIMITED"/>
    <d v="2023-04-14T00:00:00"/>
    <d v="2024-04-13T00:00:00"/>
    <s v="MOT-PRD-001"/>
    <s v="PRIVATE CAR"/>
    <n v="127908"/>
    <n v="14.044469462426118"/>
    <n v="17964"/>
    <s v="Delhi"/>
    <s v="NE"/>
    <s v="NE"/>
    <s v="Sachin"/>
    <s v="Suspense"/>
    <s v="Suspense"/>
    <x v="7"/>
    <s v="959_x0009_"/>
    <s v="Ravi Kant"/>
    <s v="No"/>
    <m/>
    <m/>
    <m/>
    <s v="NE"/>
  </r>
  <r>
    <x v="0"/>
    <m/>
    <n v="212203"/>
    <s v="CBO 13 N-34 C.PLACE"/>
    <s v="OIC/23-24/270"/>
    <s v="212203/31/2024/109"/>
    <n v="0"/>
    <s v="GUJARAT POWER CORPORATION LTD."/>
    <d v="2023-04-12T00:00:00"/>
    <d v="2024-04-11T00:00:00"/>
    <s v="MOT-PRD-015"/>
    <s v="STANDALONE OWN DAMAGE(OD)-PRIVATE CAR"/>
    <n v="8033"/>
    <n v="15.000622432466077"/>
    <n v="1205"/>
    <s v="Delhi"/>
    <n v="439379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71"/>
    <s v="212203/11/2024/10"/>
    <n v="0"/>
    <s v="HAVELLS INDIA LTD"/>
    <d v="2023-04-01T00:00:00"/>
    <d v="2024-03-31T00:00:00"/>
    <s v="FIR-PRD-010"/>
    <s v="ORIENTAL BHARAT SOOKSHMA UDYAM SURAKSHA POLICY"/>
    <n v="60688"/>
    <n v="10.636369628262589"/>
    <n v="6455"/>
    <s v="Delhi"/>
    <s v="NE"/>
    <s v="NE"/>
    <s v="Sachin"/>
    <s v="Suspense"/>
    <s v="Suspense"/>
    <x v="5"/>
    <n v="898"/>
    <s v="Ravi Kant"/>
    <s v="No"/>
    <m/>
    <m/>
    <m/>
    <s v="NE"/>
  </r>
  <r>
    <x v="0"/>
    <m/>
    <n v="212203"/>
    <s v="CBO 13 N-34 C.PLACE"/>
    <s v="OIC/23-24/272"/>
    <s v="212203/11/2024/12"/>
    <n v="0"/>
    <s v="HAVELLS INDIA LTD"/>
    <d v="2023-04-01T00:00:00"/>
    <d v="2024-03-31T00:00:00"/>
    <s v="FIR-PRD-009"/>
    <s v="ORIENTAL BHARAT LAGHU UDYAM SURAKSHA POLICY"/>
    <n v="1027500"/>
    <n v="10.772554744525548"/>
    <n v="110688"/>
    <s v="Delhi"/>
    <s v="NE"/>
    <s v="NE"/>
    <s v="Sachin"/>
    <s v="Suspense"/>
    <s v="Suspense"/>
    <x v="5"/>
    <n v="898"/>
    <s v="Ravi Kant"/>
    <s v="No"/>
    <m/>
    <m/>
    <m/>
    <s v="NE"/>
  </r>
  <r>
    <x v="0"/>
    <m/>
    <n v="212203"/>
    <s v="CBO 13 N-34 C.PLACE"/>
    <s v="OIC/23-24/273"/>
    <s v="212203/11/2024/2"/>
    <n v="0"/>
    <s v="HAVELLS INDIA LTD"/>
    <d v="2023-04-01T00:00:00"/>
    <d v="2024-03-31T00:00:00"/>
    <s v="FIR-PRD-003"/>
    <s v="INDUSTRIAL ALL RISK POLICY"/>
    <n v="68539811"/>
    <n v="11.499999613363393"/>
    <n v="7882078"/>
    <s v="Delhi"/>
    <n v="434338"/>
    <n v="0"/>
    <s v="Sachin"/>
    <s v="Suspense"/>
    <s v="Suspense"/>
    <x v="5"/>
    <n v="898"/>
    <s v="Ravi Kant"/>
    <s v="No"/>
    <m/>
    <m/>
    <s v="Updation done"/>
    <s v="Updation done"/>
  </r>
  <r>
    <x v="0"/>
    <m/>
    <n v="212203"/>
    <s v="CBO 13 N-34 C.PLACE"/>
    <s v="OIC/23-24/274"/>
    <s v="212203/11/2024/3"/>
    <n v="0"/>
    <s v="HAVELLS INDIA LTD"/>
    <d v="2023-04-01T00:00:00"/>
    <d v="2024-03-31T00:00:00"/>
    <s v="FIR-PRD-003"/>
    <s v="INDUSTRIAL ALL RISK POLICY"/>
    <n v="85205702"/>
    <n v="11.499996795989077"/>
    <n v="9798653"/>
    <s v="Delhi"/>
    <n v="434348"/>
    <n v="0"/>
    <s v="Sachin"/>
    <s v="Suspense"/>
    <s v="Suspense"/>
    <x v="5"/>
    <n v="898"/>
    <s v="Ravi Kant"/>
    <s v="No"/>
    <m/>
    <m/>
    <s v="Updation done"/>
    <s v="Updation done"/>
  </r>
  <r>
    <x v="0"/>
    <m/>
    <n v="212203"/>
    <s v="CBO 13 N-34 C.PLACE"/>
    <s v="OIC/23-24/275"/>
    <s v="212203/11/2024/4"/>
    <n v="0"/>
    <s v="HAVELLS INDIA LTD"/>
    <d v="2023-04-01T00:00:00"/>
    <d v="2024-03-31T00:00:00"/>
    <s v="FIR-PRD-003"/>
    <s v="INDUSTRIAL ALL RISK POLICY"/>
    <n v="43171053"/>
    <n v="11.49999977994514"/>
    <n v="4964671"/>
    <s v="Delhi"/>
    <n v="434345"/>
    <n v="0"/>
    <s v="Sachin"/>
    <s v="Suspense"/>
    <s v="Suspense"/>
    <x v="5"/>
    <n v="898"/>
    <s v="Ravi Kant"/>
    <s v="No"/>
    <m/>
    <m/>
    <s v="Updation done"/>
    <s v="Updation done"/>
  </r>
  <r>
    <x v="0"/>
    <m/>
    <n v="212203"/>
    <s v="CBO 13 N-34 C.PLACE"/>
    <s v="OIC/23-24/276"/>
    <s v="212203/11/2024/6"/>
    <n v="0"/>
    <s v="HAVELLS INDIA LTD"/>
    <d v="2023-04-01T00:00:00"/>
    <d v="2024-03-31T00:00:00"/>
    <s v="FIR-PRD-006"/>
    <s v="STANDARD FIRE -- New Tariff"/>
    <n v="23791123"/>
    <n v="11.499999390528981"/>
    <n v="2735979"/>
    <s v="Delhi"/>
    <n v="434377"/>
    <n v="0"/>
    <s v="Sachin"/>
    <s v="Suspense"/>
    <s v="Suspense"/>
    <x v="5"/>
    <n v="898"/>
    <s v="Ravi Kant"/>
    <s v="No"/>
    <m/>
    <m/>
    <s v="Updation done"/>
    <s v="Updation done"/>
  </r>
  <r>
    <x v="0"/>
    <m/>
    <n v="212203"/>
    <s v="CBO 13 N-34 C.PLACE"/>
    <s v="OIC/23-24/277"/>
    <s v="212203/11/2024/8"/>
    <n v="0"/>
    <s v="HAVELLS INDIA LTD"/>
    <d v="2023-04-01T00:00:00"/>
    <d v="2024-03-31T00:00:00"/>
    <s v="FIR-PRD-009"/>
    <s v="ORIENTAL BHARAT LAGHU UDYAM SURAKSHA POLICY"/>
    <n v="362469"/>
    <n v="10.331366268563656"/>
    <n v="37448"/>
    <s v="Delhi"/>
    <s v="NE"/>
    <s v="NE"/>
    <s v="Sachin"/>
    <s v="Suspense"/>
    <s v="Suspense"/>
    <x v="5"/>
    <n v="898"/>
    <s v="Ravi Kant"/>
    <s v="No"/>
    <m/>
    <m/>
    <m/>
    <s v="NE"/>
  </r>
  <r>
    <x v="0"/>
    <m/>
    <n v="212203"/>
    <s v="CBO 13 N-34 C.PLACE"/>
    <s v="OIC/23-24/278"/>
    <s v="212203/11/2024/9"/>
    <n v="0"/>
    <s v="HAVELLS INDIA LTD"/>
    <d v="2023-04-01T00:00:00"/>
    <d v="2024-03-31T00:00:00"/>
    <s v="FIR-PRD-009"/>
    <s v="ORIENTAL BHARAT LAGHU UDYAM SURAKSHA POLICY"/>
    <n v="493822"/>
    <n v="10.331252961593449"/>
    <n v="51018"/>
    <s v="Delhi"/>
    <s v="NE"/>
    <s v="NE"/>
    <s v="Sachin"/>
    <s v="Suspense"/>
    <s v="Suspense"/>
    <x v="5"/>
    <n v="898"/>
    <s v="Ravi Kant"/>
    <s v="No"/>
    <m/>
    <m/>
    <m/>
    <s v="NE"/>
  </r>
  <r>
    <x v="0"/>
    <m/>
    <n v="231202"/>
    <s v="BO PANCHKULA "/>
    <s v="OIC/23-24/279"/>
    <s v="231202/11/2024/24"/>
    <n v="0"/>
    <s v="Indonet Technology"/>
    <d v="2023-04-06T00:00:00"/>
    <d v="2024-04-05T00:00:00"/>
    <s v="FIR-PRD-013"/>
    <s v="ORIENTAL INSURANCE - FLEXI BHARAT SOOKSHMA UDYAM SURAKSHA"/>
    <n v="13799"/>
    <n v="16.508442640771069"/>
    <n v="2278"/>
    <s v="Delhi"/>
    <n v="437281"/>
    <n v="0"/>
    <s v="Sachin"/>
    <s v="Suspense"/>
    <s v="Suspense"/>
    <x v="12"/>
    <n v="923"/>
    <s v="Ravi Kant"/>
    <s v="No"/>
    <m/>
    <m/>
    <m/>
    <s v="Updation done"/>
  </r>
  <r>
    <x v="0"/>
    <m/>
    <n v="163600"/>
    <s v="DO IV PUNE"/>
    <s v="OIC/23-24/356"/>
    <s v="163600/11/2024/76"/>
    <n v="0"/>
    <s v="RATHI DYE CHEM (P) LTD."/>
    <d v="2023-05-01T00:00:00"/>
    <d v="2024-04-30T00:00:00"/>
    <s v="FIR-PRD-010"/>
    <s v="ORIENTAL BHARAT SOOKSHMA UDYAM SURAKSHA POLICY"/>
    <n v="6490"/>
    <n v="13.852080123266564"/>
    <n v="899"/>
    <s v="Pune"/>
    <n v="444341"/>
    <n v="0"/>
    <s v="Yash"/>
    <s v="Suspense"/>
    <s v="Suspense"/>
    <x v="29"/>
    <n v="739"/>
    <s v="Yash"/>
    <s v="No"/>
    <m/>
    <m/>
    <m/>
    <s v="Updation done in saiba"/>
  </r>
  <r>
    <x v="0"/>
    <m/>
    <n v="510000"/>
    <s v="CBRO DELHI"/>
    <s v="OIC/23-24/281"/>
    <s v="510000/48/2023/624"/>
    <n v="5"/>
    <s v="JCB INDIA LIMITED"/>
    <d v="2022-06-01T00:00:00"/>
    <d v="2023-05-31T00:00:00"/>
    <s v="MIST-PRD-061"/>
    <s v="All RISK"/>
    <n v="8"/>
    <n v="12.5"/>
    <n v="1"/>
    <s v="Delhi"/>
    <n v="394371"/>
    <s v="NE"/>
    <s v="Sachin"/>
    <s v="Suspense"/>
    <s v="Rohit Kumar Mehndiratta"/>
    <x v="4"/>
    <n v="969"/>
    <s v="Ravi Kant"/>
    <m/>
    <m/>
    <m/>
    <m/>
    <s v="NE"/>
  </r>
  <r>
    <x v="0"/>
    <m/>
    <n v="510000"/>
    <s v="CBRO DELHI"/>
    <s v="OIC/23-24/282"/>
    <s v="510000/48/2023/676"/>
    <n v="14"/>
    <s v="JCB INDIA LIMITED"/>
    <d v="2022-06-01T00:00:00"/>
    <d v="2023-05-31T00:00:00"/>
    <s v="MIST-PRD-890"/>
    <s v="GROUP MEDICLAIM -TAILORMADE-RISK FLOATER"/>
    <n v="1028"/>
    <n v="0"/>
    <n v="0"/>
    <s v="Delhi"/>
    <n v="402797"/>
    <s v="E5"/>
    <s v="Sachin"/>
    <s v="Suspense"/>
    <s v="Amit Rokade"/>
    <x v="4"/>
    <n v="969"/>
    <s v="Ravi Kant"/>
    <m/>
    <m/>
    <m/>
    <m/>
    <s v="Updation done"/>
  </r>
  <r>
    <x v="0"/>
    <m/>
    <n v="510000"/>
    <s v="CBRO DELHI"/>
    <s v="OIC/23-24/283"/>
    <s v="510000/48/2024/92"/>
    <n v="0"/>
    <s v="JCB INDIA LIMITED"/>
    <d v="2023-04-25T00:00:00"/>
    <d v="2023-06-18T00:00:00"/>
    <s v="MIST-PRD-049"/>
    <s v="SPECIAL CONTINGENCY - POLICY"/>
    <n v="20000"/>
    <n v="12.5"/>
    <n v="2500"/>
    <s v="Delhi"/>
    <s v="NE"/>
    <s v="NE"/>
    <s v="Sachin"/>
    <s v="Suspense"/>
    <s v="Suspense"/>
    <x v="4"/>
    <n v="969"/>
    <s v="Ravi Kant"/>
    <s v="Yes"/>
    <n v="215084"/>
    <m/>
    <m/>
    <s v="RFQ"/>
  </r>
  <r>
    <x v="0"/>
    <m/>
    <n v="510000"/>
    <s v="CBRO DELHI"/>
    <s v="OIC/23-24/284"/>
    <s v="510000/48/2023/752"/>
    <n v="13"/>
    <s v="JCB INDIA LTD."/>
    <d v="2022-06-01T00:00:00"/>
    <d v="2023-05-31T00:00:00"/>
    <s v="MIST-PRD-890"/>
    <s v="GROUP MEDICLAIM -TAILORMADE-RISK FLOATER"/>
    <n v="177681"/>
    <n v="0"/>
    <n v="0"/>
    <s v="Delhi"/>
    <n v="402796"/>
    <s v="E5"/>
    <s v="Sachin"/>
    <s v="Suspense"/>
    <s v="Amit Rokade"/>
    <x v="4"/>
    <n v="969"/>
    <s v="Ravi Kant"/>
    <m/>
    <m/>
    <m/>
    <m/>
    <s v="Updation done"/>
  </r>
  <r>
    <x v="0"/>
    <m/>
    <n v="510000"/>
    <s v="CBRO DELHI"/>
    <s v="OIC/23-24/285"/>
    <s v="510000/48/2023/872"/>
    <n v="10"/>
    <s v="JCB INDUSTRIES PRIVATE LIMITED"/>
    <d v="2022-08-30T00:00:00"/>
    <d v="2023-05-31T00:00:00"/>
    <s v="MIST-PRD-890"/>
    <s v="GROUP MEDICLAIM -TAILORMADE-RISK FLOATER"/>
    <n v="11096"/>
    <n v="0"/>
    <n v="0"/>
    <s v="Delhi"/>
    <n v="387302"/>
    <s v="NE"/>
    <s v="Sachin"/>
    <s v="Suspense"/>
    <s v="Vikas Saxena"/>
    <x v="4"/>
    <n v="969"/>
    <s v="Ravi Kant"/>
    <m/>
    <m/>
    <m/>
    <m/>
    <s v="NE"/>
  </r>
  <r>
    <x v="0"/>
    <m/>
    <n v="510000"/>
    <s v="CBRO DELHI"/>
    <s v="OIC/23-24/286"/>
    <s v="510000/11/2023/197"/>
    <n v="2"/>
    <s v="JCB POWER PRODUCTS INDIA PVT. LTD."/>
    <d v="2022-06-01T00:00:00"/>
    <d v="2023-05-31T00:00:00"/>
    <s v="FIR-PRD-009"/>
    <s v="ORIENTAL BHARAT LAGHU UDYAM SURAKSHA POLICY"/>
    <n v="3709"/>
    <n v="9.3556214613103261"/>
    <n v="347"/>
    <s v="Delhi"/>
    <n v="396073"/>
    <s v="NE"/>
    <s v="Sachin"/>
    <s v="Suspense"/>
    <s v="Rohit Kumar Mehndiratta"/>
    <x v="4"/>
    <n v="969"/>
    <s v="Ravi Kant"/>
    <m/>
    <m/>
    <m/>
    <m/>
    <s v="NE"/>
  </r>
  <r>
    <x v="0"/>
    <m/>
    <n v="510000"/>
    <s v="CBRO DELHI"/>
    <s v="OIC/23-24/287"/>
    <s v="510000/48/2023/834"/>
    <n v="4"/>
    <s v="LADY BAMFORD CHARITABLE TRUST"/>
    <d v="2022-08-18T00:00:00"/>
    <d v="2023-08-17T00:00:00"/>
    <s v="MIST-PRD-001"/>
    <s v="GPA - NAMED"/>
    <n v="-387"/>
    <n v="7.4935400516795863"/>
    <n v="-29"/>
    <s v="Delhi"/>
    <n v="398381"/>
    <s v="NE"/>
    <s v="Sachin"/>
    <s v="Suspense"/>
    <s v="Gagan Sharma"/>
    <x v="4"/>
    <n v="969"/>
    <s v="Ravi Kant"/>
    <m/>
    <m/>
    <m/>
    <m/>
    <s v="NE"/>
  </r>
  <r>
    <x v="0"/>
    <m/>
    <n v="272200"/>
    <s v="DO 3 NEW DELHI"/>
    <s v="OIC/23-24/288"/>
    <s v="272200/31/2024/20"/>
    <n v="0"/>
    <s v="LAKSHMANAN SETHURAMAN"/>
    <d v="2023-04-13T00:00:00"/>
    <d v="2024-04-12T00:00:00"/>
    <s v="MOT-PRD-001"/>
    <s v="PRIVATE CAR"/>
    <n v="7797"/>
    <n v="8.5289213800179553"/>
    <n v="665"/>
    <s v="Delhi"/>
    <s v="NE"/>
    <s v="NE"/>
    <s v="Sachin"/>
    <s v="Suspense"/>
    <s v="Suspense"/>
    <x v="7"/>
    <s v="959_x0009_"/>
    <s v="Ravi Kant"/>
    <s v="No"/>
    <m/>
    <m/>
    <m/>
    <s v="NE"/>
  </r>
  <r>
    <x v="0"/>
    <m/>
    <n v="212203"/>
    <s v="CBO 13 N-34 C.PLACE"/>
    <s v="OIC/23-24/289"/>
    <s v="212203/31/2024/229"/>
    <n v="0"/>
    <s v="LESSEE PARLIAMENT SECURITY SERVICE"/>
    <d v="2023-04-29T00:00:00"/>
    <d v="2024-04-28T00:00:00"/>
    <s v="MOT-PRD-001"/>
    <s v="PRIVATE CAR"/>
    <n v="9047"/>
    <n v="12.202940201171659"/>
    <n v="1104"/>
    <s v="Delhi"/>
    <n v="439326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290"/>
    <s v="212203/31/2024/233"/>
    <n v="0"/>
    <s v="LESSEE PARLIAMENT SECURITY SERVICE"/>
    <d v="2023-04-29T00:00:00"/>
    <d v="2024-04-28T00:00:00"/>
    <s v="MOT-PRD-001"/>
    <s v="PRIVATE CAR"/>
    <n v="9410"/>
    <n v="12.30605738575983"/>
    <n v="1158"/>
    <s v="Delhi"/>
    <n v="439330"/>
    <n v="0"/>
    <s v="Sachin"/>
    <s v="Suspense"/>
    <s v="Suspense"/>
    <x v="5"/>
    <n v="898"/>
    <s v="Ravi Kant"/>
    <s v="No"/>
    <m/>
    <m/>
    <m/>
    <s v="Updation done"/>
  </r>
  <r>
    <x v="0"/>
    <m/>
    <n v="231202"/>
    <s v="BO PANCHKULA "/>
    <s v="OIC/23-24/291"/>
    <s v="231202/11/2024/23"/>
    <n v="0"/>
    <s v="M/S ESSAR COATINGS INDIA LTD"/>
    <d v="2023-04-22T00:00:00"/>
    <d v="2024-04-21T00:00:00"/>
    <s v="FIR-PRD-002"/>
    <s v="FIRE - LOSS OF PROFIT"/>
    <n v="13800"/>
    <n v="11.5"/>
    <n v="1587"/>
    <s v="Delhi"/>
    <n v="443515"/>
    <n v="0"/>
    <s v="Sachin"/>
    <s v="Suspense"/>
    <s v="Suspense"/>
    <x v="12"/>
    <n v="923"/>
    <s v="Ravi Kant"/>
    <s v="No"/>
    <m/>
    <m/>
    <m/>
    <s v="Updation done"/>
  </r>
  <r>
    <x v="0"/>
    <m/>
    <n v="163900"/>
    <s v="DO 5 PUNE"/>
    <s v="OIC/23-24/292"/>
    <s v="163900/48/2024/284"/>
    <n v="0"/>
    <s v="M/S INDERDEEP CONSTRUCTION CO."/>
    <d v="2023-04-20T00:00:00"/>
    <d v="2024-04-19T00:00:00"/>
    <s v="MIST-PRD-060"/>
    <s v="EMPLOYERS LIABILITY"/>
    <n v="79136"/>
    <n v="12.5"/>
    <n v="9892"/>
    <s v="Delhi"/>
    <e v="#N/A"/>
    <n v="0"/>
    <s v="Sachin"/>
    <s v="Suspense"/>
    <s v="Suspense"/>
    <x v="9"/>
    <n v="758"/>
    <s v="Yash"/>
    <s v="No"/>
    <m/>
    <m/>
    <s v="Updation done"/>
    <s v="Updation done"/>
  </r>
  <r>
    <x v="0"/>
    <m/>
    <n v="215600"/>
    <s v="DO 4 NEW DELHI"/>
    <s v="OIC/23-24/293"/>
    <s v="215600/48/2023/1308"/>
    <n v="5"/>
    <s v="M/S TIMEX GROUP PRECISION ENGINEERING LTD."/>
    <d v="2022-08-04T00:00:00"/>
    <d v="2023-08-03T00:00:00"/>
    <s v="MIST-PRD-890"/>
    <s v="GROUP MEDICLAIM -TAILORMADE-RISK FLOATER"/>
    <n v="9766"/>
    <n v="6.5"/>
    <n v="634.79"/>
    <s v="Delhi"/>
    <n v="397244"/>
    <s v="NE"/>
    <s v="Sachin"/>
    <s v="Suspense"/>
    <s v="Sarfuddin Ansari"/>
    <x v="13"/>
    <n v="901"/>
    <s v="Ravi Kant"/>
    <m/>
    <m/>
    <m/>
    <m/>
    <s v="NE"/>
  </r>
  <r>
    <x v="0"/>
    <m/>
    <n v="272200"/>
    <s v="DO 3 NEW DELHI"/>
    <s v="OIC/23-24/294"/>
    <s v="272200/31/2024/112"/>
    <n v="0"/>
    <s v="M/S TYNOR ORTHOTIC P LTD"/>
    <d v="2023-04-21T00:00:00"/>
    <d v="2024-04-20T00:00:00"/>
    <s v="MOT-PRD-002"/>
    <s v="MOTORISED-TWO WHEELERS"/>
    <n v="814"/>
    <n v="4.4226044226044223"/>
    <n v="36"/>
    <s v="Delhi"/>
    <e v="#N/A"/>
    <n v="0"/>
    <s v="Sachin"/>
    <s v="Suspense"/>
    <s v="HImanshu Arora"/>
    <x v="7"/>
    <s v="959_x0009_"/>
    <s v="Ravi Kant"/>
    <s v="No"/>
    <m/>
    <m/>
    <s v="Updation done"/>
    <s v="Updation done"/>
  </r>
  <r>
    <x v="0"/>
    <m/>
    <n v="222105"/>
    <s v="KANPUR DEHAT"/>
    <s v="OIC/23-24/295"/>
    <s v="222105/48/2024/106"/>
    <n v="0"/>
    <s v="MR. ATUL TRIKHA"/>
    <d v="2023-04-27T00:00:00"/>
    <d v="2024-04-26T00:00:00"/>
    <s v="MIST-PRD-943"/>
    <s v="HAPPY FAMILY FLOATER POLICY-2021"/>
    <n v="41548"/>
    <n v="14.999518629055551"/>
    <n v="6232"/>
    <s v="Delhi"/>
    <e v="#N/A"/>
    <n v="0"/>
    <s v="Sachin"/>
    <s v="Suspense"/>
    <s v="Suspense"/>
    <x v="10"/>
    <n v="919"/>
    <s v="Ravi Kant"/>
    <s v="No"/>
    <m/>
    <m/>
    <s v="Updation done"/>
    <s v="Updation done"/>
  </r>
  <r>
    <x v="0"/>
    <m/>
    <n v="222105"/>
    <s v="KANPUR DEHAT"/>
    <s v="OIC/23-24/296"/>
    <s v="222105/48/2024/1"/>
    <n v="0"/>
    <s v="MR. B.R SEHGAL"/>
    <d v="2023-04-10T00:00:00"/>
    <d v="2024-04-09T00:00:00"/>
    <s v="MIST-PRD-943"/>
    <s v="HAPPY FAMILY FLOATER POLICY-2021"/>
    <n v="45978"/>
    <n v="15.000652485971552"/>
    <n v="6897"/>
    <s v="Delhi"/>
    <n v="432333"/>
    <n v="0"/>
    <s v="Sachin"/>
    <s v="Suspense"/>
    <s v="Suspense"/>
    <x v="10"/>
    <n v="919"/>
    <s v="Ravi Kant"/>
    <s v="No"/>
    <m/>
    <m/>
    <m/>
    <s v="Updation done"/>
  </r>
  <r>
    <x v="0"/>
    <m/>
    <n v="510000"/>
    <s v="CBRO DELHI"/>
    <s v="OIC/23-24/297"/>
    <s v="510000/48/2023/428"/>
    <n v="14"/>
    <s v="NEC CORPORATION INDIA PRIVATE LIMITED"/>
    <d v="2022-06-06T00:00:00"/>
    <d v="2023-03-31T00:00:00"/>
    <s v="MIST-PRD-890"/>
    <s v="GROUP MEDICLAIM -TAILORMADE-RISK FLOATER"/>
    <n v="-253"/>
    <n v="5"/>
    <n v="-12.65"/>
    <s v="Delhi"/>
    <n v="409373"/>
    <s v="NE"/>
    <s v="Sachin"/>
    <s v="Suspense"/>
    <s v="Mohammad Quasim"/>
    <x v="4"/>
    <n v="969"/>
    <s v="Ravi Kant"/>
    <m/>
    <m/>
    <m/>
    <m/>
    <s v="NE"/>
  </r>
  <r>
    <x v="0"/>
    <m/>
    <n v="163900"/>
    <s v="DO 5 PUNE"/>
    <s v="OIC/23-24/298"/>
    <s v="163900/48/2024/171"/>
    <n v="0"/>
    <s v="NGL FINE-CHEM LIMITED"/>
    <d v="2023-04-06T00:00:00"/>
    <d v="2024-04-05T00:00:00"/>
    <s v="MIST-PRD-049"/>
    <s v="SPECIAL CONTINGENCY - POLICY"/>
    <n v="500000"/>
    <n v="12.5"/>
    <n v="62500"/>
    <s v="Delhi"/>
    <s v="430488 /430489"/>
    <n v="0"/>
    <s v="Sachin"/>
    <s v="Suspense"/>
    <s v="Suspense"/>
    <x v="9"/>
    <n v="758"/>
    <s v="Yash"/>
    <s v="Yes"/>
    <n v="203623"/>
    <m/>
    <s v="Modification- Premium"/>
    <s v="RFQ"/>
  </r>
  <r>
    <x v="0"/>
    <m/>
    <n v="510000"/>
    <s v="CBRO DELHI"/>
    <s v="OIC/23-24/299"/>
    <s v="510000/48/2023/90"/>
    <n v="13"/>
    <s v="NUCLEUS SOFTWARE EXPORT LIMITED"/>
    <d v="2022-04-02T00:00:00"/>
    <d v="2023-03-31T00:00:00"/>
    <s v="MIST-PRD-890"/>
    <s v="GROUP MEDICLAIM -TAILORMADE-RISK FLOATER"/>
    <n v="4872"/>
    <n v="5"/>
    <n v="243.6"/>
    <s v="Delhi"/>
    <n v="383533"/>
    <s v="NE"/>
    <s v="Sachin"/>
    <s v="Suspense"/>
    <s v="Mansimar S Bindra"/>
    <x v="4"/>
    <n v="969"/>
    <s v="Ravi Kant"/>
    <m/>
    <m/>
    <m/>
    <m/>
    <s v="NE"/>
  </r>
  <r>
    <x v="0"/>
    <m/>
    <n v="510000"/>
    <s v="CBRO DELHI"/>
    <s v="OIC/23-24/300"/>
    <s v="510000/48/2023/124"/>
    <n v="16"/>
    <s v="NXP INDIA PRIVATE LIMITED"/>
    <d v="2022-04-01T00:00:00"/>
    <d v="2023-03-31T00:00:00"/>
    <s v="MIST-PRD-890"/>
    <s v="GROUP MEDICLAIM -TAILORMADE-RISK FLOATER"/>
    <n v="13271"/>
    <n v="2"/>
    <n v="265.42"/>
    <s v="Delhi"/>
    <n v="383577"/>
    <s v="NE"/>
    <s v="Sachin"/>
    <s v="Suspense"/>
    <s v="Surender Banga"/>
    <x v="4"/>
    <n v="969"/>
    <s v="Ravi Kant"/>
    <m/>
    <m/>
    <m/>
    <m/>
    <s v="NE"/>
  </r>
  <r>
    <x v="0"/>
    <m/>
    <n v="510000"/>
    <s v="CBRO DELHI"/>
    <s v="OIC/23-24/301"/>
    <s v="510000/48/2023/256"/>
    <n v="16"/>
    <s v="NXP INDIA PRIVATE LIMITED"/>
    <d v="2022-04-01T00:00:00"/>
    <d v="2023-03-31T00:00:00"/>
    <s v="MIST-PRD-890"/>
    <s v="GROUP MEDICLAIM -TAILORMADE-RISK FLOATER"/>
    <n v="-1110"/>
    <n v="7.5"/>
    <n v="-83.25"/>
    <s v="Delhi"/>
    <s v="NE"/>
    <s v="NE"/>
    <s v="Sachin"/>
    <s v="Suspense"/>
    <s v="Suspense"/>
    <x v="4"/>
    <n v="969"/>
    <s v="Ravi Kant"/>
    <m/>
    <m/>
    <m/>
    <m/>
    <s v="NE"/>
  </r>
  <r>
    <x v="0"/>
    <m/>
    <n v="212203"/>
    <s v="CBO 13 N-34 C.PLACE"/>
    <s v="OIC/23-24/302"/>
    <s v="212203/31/2024/111"/>
    <n v="0"/>
    <s v="POWER GRID CORPORATION OF INDIA LTD"/>
    <d v="2023-04-12T00:00:00"/>
    <d v="2024-04-11T00:00:00"/>
    <s v="MOT-PRD-015"/>
    <s v="STANDALONE OWN DAMAGE(OD)-PRIVATE CAR"/>
    <n v="8033"/>
    <n v="15.000622432466077"/>
    <n v="1205"/>
    <s v="Delhi"/>
    <n v="439381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03"/>
    <s v="212203/31/2024/155"/>
    <n v="0"/>
    <s v="POWER GRID CORPORATION OF INDIA LTD"/>
    <d v="2023-04-19T00:00:00"/>
    <d v="2024-04-18T00:00:00"/>
    <s v="MOT-PRD-015"/>
    <s v="STANDALONE OWN DAMAGE(OD)-PRIVATE CAR"/>
    <n v="8914"/>
    <n v="15.010096477451201"/>
    <n v="1338"/>
    <s v="Delhi"/>
    <n v="439400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04"/>
    <s v="212203/31/2024/96"/>
    <n v="0"/>
    <s v="POWER GRID CORPORATION OF INDIA LTD"/>
    <d v="2023-04-11T00:00:00"/>
    <d v="2024-04-10T00:00:00"/>
    <s v="MOT-PRD-015"/>
    <s v="STANDALONE OWN DAMAGE(OD)-PRIVATE CAR"/>
    <n v="8033"/>
    <n v="15.000622432466077"/>
    <n v="1205"/>
    <s v="Delhi"/>
    <n v="439376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05"/>
    <s v="212203/31/2024/97"/>
    <n v="0"/>
    <s v="POWER GRID CORPORATION OF INDIA LTD"/>
    <d v="2023-04-11T00:00:00"/>
    <d v="2024-04-10T00:00:00"/>
    <s v="MOT-PRD-015"/>
    <s v="STANDALONE OWN DAMAGE(OD)-PRIVATE CAR"/>
    <n v="8033"/>
    <n v="15.000622432466077"/>
    <n v="1205"/>
    <s v="Delhi"/>
    <n v="439377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06"/>
    <s v="212203/31/2024/125"/>
    <n v="0"/>
    <s v="RAIL COACH FACTORY"/>
    <d v="2023-04-18T00:00:00"/>
    <d v="2024-04-17T00:00:00"/>
    <s v="MOT-PRD-001"/>
    <s v="PRIVATE CAR"/>
    <n v="10062"/>
    <n v="12.482607831445041"/>
    <n v="1256"/>
    <s v="Delhi"/>
    <n v="439318"/>
    <n v="0"/>
    <s v="Sachin"/>
    <s v="Suspense"/>
    <s v="Suspense"/>
    <x v="5"/>
    <n v="898"/>
    <s v="Ravi Kant"/>
    <s v="No"/>
    <m/>
    <m/>
    <m/>
    <s v="Updation done"/>
  </r>
  <r>
    <x v="0"/>
    <m/>
    <n v="163900"/>
    <s v="DO 5 PUNE"/>
    <s v="OIC/23-24/307"/>
    <s v="163900/11/2024/5"/>
    <n v="0"/>
    <s v="RIECO INDUSTRIES LTD."/>
    <d v="2023-04-01T00:00:00"/>
    <d v="2024-03-31T00:00:00"/>
    <s v="FIR-PRD-010"/>
    <s v="ORIENTAL BHARAT SOOKSHMA UDYAM SURAKSHA POLICY"/>
    <n v="12980"/>
    <n v="10"/>
    <n v="1298"/>
    <s v="Delhi"/>
    <n v="423875"/>
    <n v="0"/>
    <s v="Sachin"/>
    <s v="Suspense"/>
    <s v="Vishal Sakharam Londhe"/>
    <x v="9"/>
    <n v="758"/>
    <s v="Yash"/>
    <s v="No"/>
    <m/>
    <m/>
    <s v="Done"/>
    <s v="Updation done"/>
  </r>
  <r>
    <x v="0"/>
    <m/>
    <n v="163600"/>
    <s v="DO IV PUNE"/>
    <s v="OIC/23-24/357"/>
    <s v="163600/11/2024/77"/>
    <n v="0"/>
    <s v="RATHI DYE CHEM (P) LTD."/>
    <d v="2023-05-01T00:00:00"/>
    <d v="2024-04-30T00:00:00"/>
    <s v="FIR-PRD-010"/>
    <s v="ORIENTAL BHARAT SOOKSHMA UDYAM SURAKSHA POLICY"/>
    <n v="1071"/>
    <n v="13.818860877684408"/>
    <n v="148"/>
    <s v="Pune"/>
    <n v="444342"/>
    <n v="0"/>
    <s v="Yash"/>
    <s v="Suspense"/>
    <s v="Suspense"/>
    <x v="29"/>
    <n v="739"/>
    <s v="Yash"/>
    <s v="No"/>
    <m/>
    <m/>
    <m/>
    <s v="Updation done in saiba"/>
  </r>
  <r>
    <x v="0"/>
    <m/>
    <n v="163900"/>
    <s v="DO 5 PUNE"/>
    <s v="OIC/23-24/309"/>
    <s v="163900/44/2024/2"/>
    <n v="0"/>
    <s v="RIECO INDUSTRIES LTD."/>
    <d v="2023-04-01T00:00:00"/>
    <d v="2024-03-31T00:00:00"/>
    <s v="ENG-PRD-006"/>
    <s v="ELECTRONIC EQUIPMENT INSURANCE"/>
    <n v="60002"/>
    <n v="12.49958334722176"/>
    <n v="7500"/>
    <s v="Delhi"/>
    <n v="423842"/>
    <n v="0"/>
    <s v="Sachin"/>
    <s v="Suspense"/>
    <s v="Vishal Sakharam Londhe"/>
    <x v="9"/>
    <n v="758"/>
    <s v="Yash"/>
    <s v="No"/>
    <m/>
    <s v="OD and TP bifurcation"/>
    <m/>
    <s v="Modification"/>
  </r>
  <r>
    <x v="0"/>
    <m/>
    <n v="163900"/>
    <s v="DO 5 PUNE"/>
    <s v="OIC/23-24/310"/>
    <s v="163900/48/2024/188"/>
    <n v="0"/>
    <s v="RIECO INDUSTRIES LTD."/>
    <d v="2023-04-01T00:00:00"/>
    <d v="2024-03-31T00:00:00"/>
    <s v="MIST-PRD-052"/>
    <s v="MONEY INSURANCE"/>
    <n v="7000"/>
    <n v="12.5"/>
    <n v="875"/>
    <s v="Delhi"/>
    <n v="423861"/>
    <n v="0"/>
    <s v="Sachin"/>
    <s v="Suspense"/>
    <s v="Vishal Sakharam Londhe"/>
    <x v="9"/>
    <n v="758"/>
    <s v="Yash"/>
    <s v="No"/>
    <m/>
    <m/>
    <m/>
    <s v="Updation done"/>
  </r>
  <r>
    <x v="0"/>
    <m/>
    <n v="163900"/>
    <s v="DO 5 PUNE"/>
    <s v="OIC/23-24/311"/>
    <s v="163900/48/2024/207"/>
    <n v="0"/>
    <s v="RIECO INDUSTRIES LTD."/>
    <d v="2023-04-01T00:00:00"/>
    <d v="2024-03-31T00:00:00"/>
    <s v="MIST-PRD-753"/>
    <s v="BURGLARY FLOATER"/>
    <n v="123518"/>
    <n v="12.500202399650254"/>
    <n v="15440"/>
    <s v="Delhi"/>
    <n v="423852"/>
    <n v="0"/>
    <s v="Sachin"/>
    <s v="Suspense"/>
    <s v="Vishal Sakharam Londhe"/>
    <x v="9"/>
    <n v="758"/>
    <s v="Yash"/>
    <s v="No"/>
    <m/>
    <m/>
    <s v="Done"/>
    <s v="Updation done"/>
  </r>
  <r>
    <x v="0"/>
    <m/>
    <n v="222105"/>
    <s v="KANPUR DEHAT"/>
    <s v="OIC/23-24/312"/>
    <s v="222105/48/2024/118"/>
    <n v="0"/>
    <s v="SURINDER MOHAN SACHDEVA"/>
    <d v="2023-04-29T00:00:00"/>
    <d v="2024-04-28T00:00:00"/>
    <s v="MIST-PRD-094"/>
    <s v="ORIENTAL MEDICLAIM INSURANCE POLICY(INDIVIDUAL)"/>
    <n v="26472"/>
    <n v="15.000755515261408"/>
    <n v="3971"/>
    <s v="Delhi"/>
    <n v="428931"/>
    <n v="0"/>
    <s v="Sachin"/>
    <s v="Suspense"/>
    <s v="Navneet Arora"/>
    <x v="10"/>
    <n v="919"/>
    <s v="Ravi Kant"/>
    <s v="No"/>
    <m/>
    <m/>
    <s v="Done"/>
    <s v="Updation done"/>
  </r>
  <r>
    <x v="0"/>
    <m/>
    <n v="112400"/>
    <s v="MRO 1 Aviation Cell"/>
    <s v="OIC/23-24/313"/>
    <s v="112400/43/2023/21"/>
    <n v="24"/>
    <s v="TATA SIA AIRLINES LIMITED (VISTARA)"/>
    <d v="2022-05-04T00:00:00"/>
    <d v="2023-05-03T00:00:00"/>
    <s v="AVI-PRD-027"/>
    <s v="AIRCREW LOSS OF LICENSE - GROUP"/>
    <n v="13425"/>
    <n v="12.499068901303538"/>
    <n v="1678"/>
    <s v="Delhi"/>
    <n v="387313"/>
    <s v="NE"/>
    <s v="Sachin"/>
    <s v="Suspense"/>
    <s v="Varun Malik"/>
    <x v="11"/>
    <n v="981"/>
    <s v="Yash"/>
    <m/>
    <m/>
    <m/>
    <m/>
    <s v="NE"/>
  </r>
  <r>
    <x v="0"/>
    <m/>
    <n v="212203"/>
    <s v="CBO 13 N-34 C.PLACE"/>
    <s v="OIC/23-24/314"/>
    <s v="212203/31/2024/133"/>
    <n v="0"/>
    <s v="THE DIRECTOR ANERT"/>
    <d v="2023-04-18T00:00:00"/>
    <d v="2024-04-17T00:00:00"/>
    <s v="MOT-PRD-015"/>
    <s v="STANDALONE OWN DAMAGE(OD)-PRIVATE CAR"/>
    <n v="8033"/>
    <n v="15.000622432466077"/>
    <n v="1205"/>
    <s v="Delhi"/>
    <n v="439389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15"/>
    <s v="212203/31/2024/134"/>
    <n v="0"/>
    <s v="THE DIRECTOR ANERT"/>
    <d v="2023-04-18T00:00:00"/>
    <d v="2024-04-17T00:00:00"/>
    <s v="MOT-PRD-015"/>
    <s v="STANDALONE OWN DAMAGE(OD)-PRIVATE CAR"/>
    <n v="8033"/>
    <n v="15.000622432466077"/>
    <n v="1205"/>
    <s v="Delhi"/>
    <n v="439390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16"/>
    <s v="212203/31/2024/175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n v="439404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17"/>
    <s v="212203/31/2024/176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n v="439405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18"/>
    <s v="212203/31/2024/181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n v="439410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19"/>
    <s v="212203/31/2024/182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n v="439411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20"/>
    <s v="212203/31/2024/183"/>
    <n v="0"/>
    <s v="THE DIRECTOR ANERT"/>
    <d v="2023-04-22T00:00:00"/>
    <d v="2024-04-21T00:00:00"/>
    <s v="MOT-PRD-015"/>
    <s v="STANDALONE OWN DAMAGE(OD)-PRIVATE CAR"/>
    <n v="8033"/>
    <n v="15.000622432466077"/>
    <n v="1205"/>
    <s v="Delhi"/>
    <n v="439412"/>
    <n v="0"/>
    <s v="Sachin"/>
    <s v="Suspense"/>
    <s v="Suspense"/>
    <x v="5"/>
    <n v="898"/>
    <s v="Ravi Kant"/>
    <s v="No"/>
    <m/>
    <m/>
    <m/>
    <s v="Updation done"/>
  </r>
  <r>
    <x v="0"/>
    <m/>
    <n v="212203"/>
    <s v="CBO 13 N-34 C.PLACE"/>
    <s v="OIC/23-24/321"/>
    <s v="212203/31/2024/207"/>
    <n v="0"/>
    <s v="THE DIRECTOR ANERT"/>
    <d v="2023-04-26T00:00:00"/>
    <d v="2024-04-25T00:00:00"/>
    <s v="MOT-PRD-015"/>
    <s v="STANDALONE OWN DAMAGE(OD)-PRIVATE CAR"/>
    <n v="8033"/>
    <n v="15.000622432466077"/>
    <n v="1205"/>
    <s v="Delhi"/>
    <n v="439414"/>
    <n v="0"/>
    <s v="Sachin"/>
    <s v="Suspense"/>
    <s v="Suspense"/>
    <x v="5"/>
    <n v="898"/>
    <s v="Ravi Kant"/>
    <s v="No"/>
    <m/>
    <m/>
    <m/>
    <s v="Updation done"/>
  </r>
  <r>
    <x v="0"/>
    <m/>
    <n v="215600"/>
    <s v="DO 4 NEW DELHI"/>
    <s v="OIC/23-24/322"/>
    <s v="215600/48/2023/2859"/>
    <n v="0"/>
    <s v="TIME MASTER WATCHES AND ACCESSORIES PRIVATE LIMITED"/>
    <d v="2023-03-20T00:00:00"/>
    <d v="2024-03-19T00:00:00"/>
    <s v="MIST-PRD-890"/>
    <s v="GROUP MEDICLAIM -TAILORMADE-RISK FLOATER"/>
    <n v="459000"/>
    <n v="0"/>
    <n v="0"/>
    <s v="Delhi"/>
    <n v="430718"/>
    <n v="0"/>
    <s v="Sachin"/>
    <s v="Suspense"/>
    <s v="Suspense"/>
    <x v="13"/>
    <n v="901"/>
    <s v="Ravi Kant"/>
    <s v="Yes"/>
    <n v="207011"/>
    <m/>
    <m/>
    <s v="Updation done"/>
  </r>
  <r>
    <x v="0"/>
    <m/>
    <n v="212203"/>
    <s v="CBO 13 N-34 C.PLACE"/>
    <s v="OIC/23-24/323"/>
    <s v="212203/31/2024/223"/>
    <n v="0"/>
    <s v="UNDER SECRETARY (ADMN II)"/>
    <d v="2023-04-29T00:00:00"/>
    <d v="2024-04-28T00:00:00"/>
    <s v="MOT-PRD-001"/>
    <s v="PRIVATE CAR"/>
    <n v="9047"/>
    <n v="12.202940201171659"/>
    <n v="1104"/>
    <s v="Delhi"/>
    <n v="439320"/>
    <n v="0"/>
    <s v="Sachin"/>
    <s v="Suspense"/>
    <s v="Suspense"/>
    <x v="5"/>
    <n v="898"/>
    <s v="Ravi Kant"/>
    <s v="No"/>
    <m/>
    <m/>
    <m/>
    <s v="Updation done"/>
  </r>
  <r>
    <x v="0"/>
    <m/>
    <n v="124600"/>
    <s v="MCDO 1"/>
    <s v="OIC/23-24/324"/>
    <s v="124600/48/2024/297"/>
    <n v="0"/>
    <s v="VISHAY SEMICONDUCTOR INDIA PRIVATE LIMITED"/>
    <d v="2023-04-01T00:00:00"/>
    <d v="2024-03-31T00:00:00"/>
    <s v="MIST-PRD-890"/>
    <s v="GROUP MEDICLAIM -TAILORMADE-RISK FLOATER"/>
    <n v="4650000"/>
    <n v="7.5"/>
    <n v="348750"/>
    <s v="Delhi"/>
    <s v="NE"/>
    <s v="NE"/>
    <s v="Sachin"/>
    <s v="Suspense"/>
    <s v="Suspense"/>
    <x v="30"/>
    <n v="984"/>
    <s v="Yash"/>
    <s v="No"/>
    <m/>
    <m/>
    <m/>
    <s v="NE"/>
  </r>
  <r>
    <x v="0"/>
    <m/>
    <n v="212203"/>
    <s v="CBO 13 N-34 C.PLACE"/>
    <s v="OIC/23-24/325"/>
    <s v="212203/31/2024/154"/>
    <n v="0"/>
    <s v="WEST BENGAL POLLUTION CONTROL BOARD"/>
    <d v="2023-04-19T00:00:00"/>
    <d v="2024-04-18T00:00:00"/>
    <s v="MOT-PRD-015"/>
    <s v="STANDALONE OWN DAMAGE(OD)-PRIVATE CAR"/>
    <n v="8914"/>
    <n v="15.010096477451201"/>
    <n v="1338"/>
    <s v="Delhi"/>
    <n v="439399"/>
    <n v="0"/>
    <s v="Sachin"/>
    <s v="Suspense"/>
    <s v="Suspense"/>
    <x v="5"/>
    <n v="898"/>
    <s v="Ravi Kant"/>
    <s v="No"/>
    <m/>
    <m/>
    <m/>
    <s v="Updation done"/>
  </r>
  <r>
    <x v="0"/>
    <m/>
    <n v="411400"/>
    <s v="DO 4 CHENNAI"/>
    <s v="OIC/23-24/326"/>
    <s v="411400/48/2024/98"/>
    <n v="0"/>
    <s v="AMRUTANJAN HEALTH CARE LIMITED"/>
    <d v="2023-04-24T00:00:00"/>
    <d v="2024-04-23T00:00:00"/>
    <s v="MIST-PRD-052"/>
    <s v="MONEY INSURANCE"/>
    <n v="1500"/>
    <n v="16.466666666666665"/>
    <n v="247"/>
    <s v="Chennai"/>
    <n v="431055"/>
    <n v="0"/>
    <s v="Yash"/>
    <s v="Suspense"/>
    <s v="Suspense"/>
    <x v="31"/>
    <n v="861"/>
    <s v="Dilish"/>
    <s v="Yes"/>
    <n v="208963"/>
    <m/>
    <m/>
    <s v="Updation done"/>
  </r>
  <r>
    <x v="0"/>
    <m/>
    <n v="412300"/>
    <s v="DO 13 CHENNAI"/>
    <s v="OIC/23-24/327"/>
    <s v="412300/48/2023/1096"/>
    <n v="9"/>
    <s v="FULCRUM CRES PVT. LTD."/>
    <d v="2022-10-01T00:00:00"/>
    <d v="2023-09-30T00:00:00"/>
    <s v="MIST-PRD-890"/>
    <s v="GROUP MEDICLAIM -TAILORMADE-RISK FLOATER"/>
    <n v="-10183"/>
    <n v="7.5000491014435822"/>
    <n v="-763.73"/>
    <s v="Chennai"/>
    <n v="405493"/>
    <s v="E5"/>
    <s v="Yash"/>
    <s v="Suspense"/>
    <s v="Sathyendra Chandra Bose N"/>
    <x v="32"/>
    <s v="874_x0009_"/>
    <s v="Dilish"/>
    <m/>
    <m/>
    <m/>
    <s v="Done"/>
    <s v="Updation done"/>
  </r>
  <r>
    <x v="0"/>
    <m/>
    <n v="412300"/>
    <s v="DO 13 CHENNAI"/>
    <s v="OIC/23-24/328"/>
    <s v="412300/48/2023/1096"/>
    <n v="10"/>
    <s v="FULCRUM CRES PVT. LTD."/>
    <d v="2022-10-01T00:00:00"/>
    <d v="2023-09-30T00:00:00"/>
    <s v="MIST-PRD-890"/>
    <s v="GROUP MEDICLAIM -TAILORMADE-RISK FLOATER"/>
    <n v="5608"/>
    <n v="7.5"/>
    <n v="420.6"/>
    <s v="Chennai"/>
    <n v="405493"/>
    <s v="E4"/>
    <s v="Yash"/>
    <s v="Suspense"/>
    <s v="Sathyendra Chandra Bose N"/>
    <x v="32"/>
    <s v="874_x0009_"/>
    <s v="Dilish"/>
    <m/>
    <m/>
    <m/>
    <s v="Done"/>
    <s v="Updation done"/>
  </r>
  <r>
    <x v="0"/>
    <m/>
    <n v="412300"/>
    <s v="DO 13 CHENNAI"/>
    <s v="OIC/23-24/329"/>
    <s v="412300/48/2023/1096"/>
    <n v="11"/>
    <s v="FULCRUM CRES PVT. LTD."/>
    <d v="2022-10-01T00:00:00"/>
    <d v="2023-09-30T00:00:00"/>
    <s v="MIST-PRD-890"/>
    <s v="GROUP MEDICLAIM -TAILORMADE-RISK FLOATER"/>
    <n v="-1149"/>
    <n v="7.5004351610095732"/>
    <n v="-86.18"/>
    <s v="Chennai"/>
    <n v="405493"/>
    <s v="E7"/>
    <s v="Yash"/>
    <s v="Suspense"/>
    <s v="Sathyendra Chandra Bose N"/>
    <x v="32"/>
    <s v="874_x0009_"/>
    <s v="Dilish"/>
    <m/>
    <m/>
    <m/>
    <s v="Done"/>
    <s v="Updation done"/>
  </r>
  <r>
    <x v="0"/>
    <m/>
    <n v="412300"/>
    <s v="DO 13 CHENNAI"/>
    <s v="OIC/23-24/330"/>
    <s v="412300/48/2023/1096"/>
    <n v="12"/>
    <s v="FULCRUM CRES PVT. LTD."/>
    <d v="2022-10-01T00:00:00"/>
    <d v="2023-09-30T00:00:00"/>
    <s v="MIST-PRD-890"/>
    <s v="GROUP MEDICLAIM -TAILORMADE-RISK FLOATER"/>
    <n v="21876"/>
    <n v="7.5"/>
    <n v="1640.7"/>
    <s v="Chennai"/>
    <n v="405493"/>
    <s v="E6"/>
    <s v="Yash"/>
    <s v="Suspense"/>
    <s v="Sathyendra Chandra Bose N"/>
    <x v="32"/>
    <s v="874_x0009_"/>
    <s v="Dilish"/>
    <m/>
    <m/>
    <m/>
    <s v="Done"/>
    <s v="Updation done"/>
  </r>
  <r>
    <x v="0"/>
    <m/>
    <n v="412300"/>
    <s v="DO 13 CHENNAI"/>
    <s v="OIC/23-24/331"/>
    <s v="412300/48/2023/1362"/>
    <n v="6"/>
    <s v="FULCRUM CRES PVT. LTD."/>
    <d v="2022-11-08T00:00:00"/>
    <d v="2023-11-07T00:00:00"/>
    <s v="MIST-PRD-001"/>
    <s v="GPA - NAMED"/>
    <n v="-346"/>
    <n v="7.5144508670520231"/>
    <n v="-26"/>
    <s v="Chennai"/>
    <n v="405492"/>
    <s v="E6"/>
    <s v="Yash"/>
    <s v="Suspense"/>
    <s v="Sathyendra Chandra Bose N"/>
    <x v="32"/>
    <s v="874_x0009_"/>
    <s v="Dilish"/>
    <m/>
    <m/>
    <m/>
    <s v="Done"/>
    <s v="Updation done"/>
  </r>
  <r>
    <x v="0"/>
    <m/>
    <n v="412300"/>
    <s v="DO 13 CHENNAI"/>
    <s v="OIC/23-24/332"/>
    <s v="412300/48/2023/1362"/>
    <n v="7"/>
    <s v="FULCRUM CRES PVT. LTD."/>
    <d v="2022-11-08T00:00:00"/>
    <d v="2023-11-07T00:00:00"/>
    <s v="MIST-PRD-001"/>
    <s v="GPA - NAMED"/>
    <n v="165"/>
    <n v="7.2727272727272725"/>
    <n v="12"/>
    <s v="Chennai"/>
    <n v="405492"/>
    <s v="E5"/>
    <s v="Yash"/>
    <s v="Suspense"/>
    <s v="Sathyendra Chandra Bose N"/>
    <x v="32"/>
    <s v="874_x0009_"/>
    <s v="Dilish"/>
    <m/>
    <m/>
    <m/>
    <s v="Done"/>
    <s v="Updation done"/>
  </r>
  <r>
    <x v="0"/>
    <m/>
    <n v="412300"/>
    <s v="DO 13 CHENNAI"/>
    <s v="OIC/23-24/333"/>
    <s v="412300/48/2023/1362"/>
    <n v="8"/>
    <s v="FULCRUM CRES PVT. LTD."/>
    <d v="2022-11-08T00:00:00"/>
    <d v="2023-11-07T00:00:00"/>
    <s v="MIST-PRD-001"/>
    <s v="GPA - NAMED"/>
    <n v="-77"/>
    <n v="7.7922077922077921"/>
    <n v="-6"/>
    <s v="Chennai"/>
    <n v="405492"/>
    <s v="E8"/>
    <s v="Yash"/>
    <s v="Suspense"/>
    <s v="Sathyendra Chandra Bose N"/>
    <x v="32"/>
    <s v="874_x0009_"/>
    <s v="Dilish"/>
    <m/>
    <m/>
    <m/>
    <s v="Done"/>
    <s v="Updation done"/>
  </r>
  <r>
    <x v="0"/>
    <m/>
    <n v="412300"/>
    <s v="DO 13 CHENNAI"/>
    <s v="OIC/23-24/334"/>
    <s v="412300/48/2023/1362"/>
    <n v="9"/>
    <s v="FULCRUM CRES PVT. LTD."/>
    <d v="2022-11-08T00:00:00"/>
    <d v="2023-11-07T00:00:00"/>
    <s v="MIST-PRD-001"/>
    <s v="GPA - NAMED"/>
    <n v="789"/>
    <n v="7.4778200253485423"/>
    <n v="59"/>
    <s v="Chennai"/>
    <n v="405492"/>
    <s v="E7"/>
    <s v="Yash"/>
    <s v="Suspense"/>
    <s v="Sathyendra Chandra Bose N"/>
    <x v="32"/>
    <s v="874_x0009_"/>
    <s v="Dilish"/>
    <m/>
    <m/>
    <m/>
    <s v="Done"/>
    <s v="Updation done"/>
  </r>
  <r>
    <x v="0"/>
    <m/>
    <n v="414890"/>
    <s v="BC  SINGAPERUMAL KOIL"/>
    <s v="OIC/23-24/335"/>
    <s v="414890/31/2024/60"/>
    <n v="0"/>
    <s v="HOLISTA TRANZWORLD PRIVATE LIMITED"/>
    <d v="2023-04-12T00:00:00"/>
    <d v="2024-04-11T00:00:00"/>
    <s v="MOT-PRD-001"/>
    <s v="PRIVATE CAR"/>
    <n v="15361"/>
    <n v="8.3262808410910747"/>
    <n v="1279"/>
    <s v="Chennai"/>
    <s v="NE"/>
    <s v="NE"/>
    <s v="Yash"/>
    <s v="Suspense"/>
    <s v="Suspense"/>
    <x v="33"/>
    <n v="877"/>
    <s v="Dilish"/>
    <s v="No"/>
    <m/>
    <m/>
    <m/>
    <s v="NE"/>
  </r>
  <r>
    <x v="0"/>
    <m/>
    <n v="414890"/>
    <s v="BC  SINGAPERUMAL KOIL"/>
    <s v="OIC/23-24/336"/>
    <s v="414890/31/2024/163"/>
    <n v="0"/>
    <s v="M/S DORMAKABA INDIA PRIVATE LTD"/>
    <d v="2023-04-26T00:00:00"/>
    <d v="2024-04-25T00:00:00"/>
    <s v="MOT-PRD-015"/>
    <s v="STANDALONE OWN DAMAGE(OD)-PRIVATE CAR"/>
    <n v="40866"/>
    <n v="15.000244702197426"/>
    <n v="6130"/>
    <s v="Chennai"/>
    <n v="428596"/>
    <n v="0"/>
    <s v="Yash"/>
    <s v="Suspense"/>
    <s v="Hemalatha Ravichandran"/>
    <x v="33"/>
    <n v="877"/>
    <s v="Dilish"/>
    <s v="No"/>
    <m/>
    <m/>
    <s v="Done"/>
    <s v="Updation done"/>
  </r>
  <r>
    <x v="0"/>
    <m/>
    <n v="414890"/>
    <s v="BC  SINGAPERUMAL KOIL"/>
    <s v="OIC/23-24/337"/>
    <s v="414890/31/2024/175"/>
    <n v="0"/>
    <s v="M/s.OBO BETTERMANN INDIA PVT LTD"/>
    <d v="2023-04-30T00:00:00"/>
    <d v="2024-04-29T00:00:00"/>
    <s v="MOT-PRD-001"/>
    <s v="PRIVATE CAR"/>
    <n v="5812"/>
    <n v="7.2436338609772886"/>
    <n v="421"/>
    <s v="Chennai"/>
    <n v="428774"/>
    <n v="0"/>
    <s v="Yash"/>
    <s v="Suspense"/>
    <s v="Vinoth Kumar E"/>
    <x v="33"/>
    <n v="877"/>
    <s v="Dilish"/>
    <s v="No"/>
    <m/>
    <m/>
    <s v="Done"/>
    <s v="Updation done"/>
  </r>
  <r>
    <x v="0"/>
    <m/>
    <n v="414890"/>
    <s v="BC  SINGAPERUMAL KOIL"/>
    <s v="OIC/23-24/338"/>
    <s v="414890/31/2024/176"/>
    <n v="0"/>
    <s v="M/s.OBO BETTERMANN INDIA PVT LTD"/>
    <d v="2023-04-29T00:00:00"/>
    <d v="2024-04-28T00:00:00"/>
    <s v="MOT-PRD-001"/>
    <s v="PRIVATE CAR"/>
    <n v="5576"/>
    <n v="6.9404591104734576"/>
    <n v="387"/>
    <s v="Chennai"/>
    <n v="428772"/>
    <n v="0"/>
    <s v="Yash"/>
    <s v="Suspense"/>
    <s v="Vinoth Kumar E"/>
    <x v="33"/>
    <n v="877"/>
    <s v="Dilish"/>
    <s v="No"/>
    <m/>
    <m/>
    <s v="Done"/>
    <s v="Updation done"/>
  </r>
  <r>
    <x v="0"/>
    <m/>
    <n v="411700"/>
    <s v="DO 7 CHENNAI"/>
    <s v="OIC/23-24/339"/>
    <s v="411700/48/2023/2049"/>
    <n v="5"/>
    <s v="SOLUS SECURITY SYSTEMS PRIVATE LIMITED"/>
    <d v="2022-10-03T00:00:00"/>
    <d v="2023-10-02T00:00:00"/>
    <s v="MIST-PRD-890"/>
    <s v="GROUP MEDICLAIM -TAILORMADE-RISK FLOATER"/>
    <n v="24287"/>
    <n v="7.5000205871453867"/>
    <n v="1821.53"/>
    <s v="Chennai"/>
    <n v="406242"/>
    <s v="E5"/>
    <s v="Yash"/>
    <s v="Suspense"/>
    <s v="Sudha.S"/>
    <x v="34"/>
    <s v="866_x0009_"/>
    <s v="Dilish"/>
    <m/>
    <m/>
    <m/>
    <m/>
    <s v="Updation done"/>
  </r>
  <r>
    <x v="0"/>
    <m/>
    <n v="411700"/>
    <s v="DO 7 CHENNAI"/>
    <s v="OIC/23-24/340"/>
    <s v="411700/48/2023/2061"/>
    <n v="5"/>
    <s v="SOLUS SECURITY SYSTEMS PRIVATE LIMITED"/>
    <d v="2022-10-13T00:00:00"/>
    <d v="2023-10-12T00:00:00"/>
    <s v="MIST-PRD-001"/>
    <s v="GPA - NAMED"/>
    <n v="511"/>
    <n v="7.6320939334637963"/>
    <n v="39"/>
    <s v="Chennai"/>
    <n v="406235"/>
    <s v="E4"/>
    <s v="Yash"/>
    <s v="Suspense"/>
    <s v="Sudha.S"/>
    <x v="34"/>
    <s v="866_x0009_"/>
    <s v="Dilish"/>
    <m/>
    <m/>
    <m/>
    <s v="Done"/>
    <s v="Updation done"/>
  </r>
  <r>
    <x v="0"/>
    <m/>
    <n v="510000"/>
    <s v="CBRO DELHI"/>
    <s v="OIC/23-24/341"/>
    <s v="510000/48/2023/640"/>
    <n v="7"/>
    <s v="Sutherland Global Services Private Limited"/>
    <d v="2022-04-30T00:00:00"/>
    <d v="2023-04-29T00:00:00"/>
    <s v="MIST-PRD-890"/>
    <s v="GROUP MEDICLAIM -TAILORMADE-RISK FLOATER"/>
    <n v="1853272"/>
    <n v="2.27057873857696"/>
    <n v="42080"/>
    <s v="Chennai"/>
    <n v="398764"/>
    <s v="NE"/>
    <s v="Yash"/>
    <s v="Suspense"/>
    <s v="Akshayah Manoharan"/>
    <x v="4"/>
    <n v="969"/>
    <s v="Ravi Kant"/>
    <m/>
    <m/>
    <m/>
    <m/>
    <s v="NE"/>
  </r>
  <r>
    <x v="0"/>
    <m/>
    <n v="510000"/>
    <s v="CBRO DELHI"/>
    <s v="OIC/23-24/342"/>
    <s v="510000/48/2023/640"/>
    <n v="8"/>
    <s v="Sutherland Global Services Private Limited"/>
    <d v="2022-04-30T00:00:00"/>
    <d v="2023-04-29T00:00:00"/>
    <s v="MIST-PRD-890"/>
    <s v="GROUP MEDICLAIM -TAILORMADE-RISK FLOATER"/>
    <n v="1853272"/>
    <n v="2.27057873857696"/>
    <n v="42080"/>
    <s v="Chennai"/>
    <n v="398764"/>
    <s v="NE"/>
    <s v="Yash"/>
    <s v="Suspense"/>
    <s v="Akshayah Manoharan"/>
    <x v="4"/>
    <n v="969"/>
    <s v="Ravi Kant"/>
    <m/>
    <m/>
    <m/>
    <m/>
    <s v="NE"/>
  </r>
  <r>
    <x v="0"/>
    <m/>
    <n v="510000"/>
    <s v="CBRO DELHI"/>
    <s v="OIC/23-24/343"/>
    <s v="510000/48/2023/640"/>
    <n v="9"/>
    <s v="Sutherland Global Services Private Limited"/>
    <d v="2022-04-30T00:00:00"/>
    <d v="2023-04-29T00:00:00"/>
    <s v="MIST-PRD-890"/>
    <s v="GROUP MEDICLAIM -TAILORMADE-RISK FLOATER"/>
    <n v="1853272"/>
    <n v="2.27057873857696"/>
    <n v="42080"/>
    <s v="Chennai"/>
    <n v="398764"/>
    <s v="NE"/>
    <s v="Yash"/>
    <s v="Suspense"/>
    <s v="Akshayah Manoharan"/>
    <x v="4"/>
    <n v="969"/>
    <s v="Ravi Kant"/>
    <m/>
    <m/>
    <m/>
    <m/>
    <s v="NE"/>
  </r>
  <r>
    <x v="0"/>
    <m/>
    <n v="510000"/>
    <s v="CBRO DELHI"/>
    <s v="OIC/23-24/344"/>
    <s v="510000/48/2023/641"/>
    <n v="12"/>
    <s v="SUTHERLAND GLOBAL SERVICES PRIVATE LIMITED"/>
    <d v="2022-07-08T00:00:00"/>
    <d v="2023-07-07T00:00:00"/>
    <s v="MIST-PRD-890"/>
    <s v="GROUP MEDICLAIM -TAILORMADE-RISK FLOATER"/>
    <n v="75555"/>
    <n v="2.5001654423929587"/>
    <n v="1889"/>
    <s v="Chennai"/>
    <n v="398818"/>
    <s v="E6"/>
    <s v="Yash"/>
    <s v="Suspense"/>
    <s v="Akshayah Manoharan"/>
    <x v="4"/>
    <n v="969"/>
    <s v="Ravi Kant"/>
    <m/>
    <m/>
    <m/>
    <m/>
    <s v="Updation done"/>
  </r>
  <r>
    <x v="0"/>
    <m/>
    <n v="510000"/>
    <s v="CBRO DELHI"/>
    <s v="OIC/23-24/345"/>
    <s v="510000/48/2023/765"/>
    <n v="5"/>
    <s v="Sutherland Global Services Private Limited"/>
    <d v="2022-06-01T00:00:00"/>
    <d v="2023-05-31T00:00:00"/>
    <s v="MIST-PRD-890"/>
    <s v="GROUP MEDICLAIM -TAILORMADE-RISK FLOATER"/>
    <n v="-5873"/>
    <n v="3"/>
    <n v="-176.19"/>
    <s v="Chennai"/>
    <n v="418715"/>
    <s v="E4"/>
    <s v="Yash"/>
    <s v="Suspense"/>
    <s v="Sathyendra Chandra Bose N"/>
    <x v="4"/>
    <n v="969"/>
    <s v="Ravi Kant"/>
    <m/>
    <m/>
    <m/>
    <m/>
    <s v="Updation done"/>
  </r>
  <r>
    <x v="0"/>
    <m/>
    <n v="510000"/>
    <s v="CBRO DELHI"/>
    <s v="OIC/23-24/346"/>
    <s v="510000/48/2023/766"/>
    <n v="6"/>
    <s v="Sutherland Global Services Private Limited"/>
    <d v="2022-06-12T00:00:00"/>
    <d v="2023-05-31T00:00:00"/>
    <s v="MIST-PRD-890"/>
    <s v="GROUP MEDICLAIM -TAILORMADE-RISK FLOATER"/>
    <n v="37707"/>
    <n v="3"/>
    <n v="1131.21"/>
    <s v="Chennai"/>
    <n v="418716"/>
    <s v="E4"/>
    <s v="Yash"/>
    <s v="Suspense"/>
    <s v="Sathyendra Chandra Bose N"/>
    <x v="4"/>
    <n v="969"/>
    <s v="Ravi Kant"/>
    <m/>
    <m/>
    <m/>
    <m/>
    <s v="Updation done"/>
  </r>
  <r>
    <x v="0"/>
    <m/>
    <n v="163600"/>
    <s v="DO IV PUNE"/>
    <s v="OIC/23-24/358"/>
    <s v="163600/11/2024/78"/>
    <n v="0"/>
    <s v="RATHI DYE CHEM (P) LTD."/>
    <d v="2023-05-01T00:00:00"/>
    <d v="2024-04-30T00:00:00"/>
    <s v="FIR-PRD-007"/>
    <s v="ORIENTAL INSURANCE BHARAT GRIHA RAKSHA POLICY"/>
    <n v="2255"/>
    <n v="14.501108647450112"/>
    <n v="327"/>
    <s v="Pune"/>
    <n v="444339"/>
    <n v="0"/>
    <s v="Yash"/>
    <s v="Suspense"/>
    <s v="Suspense"/>
    <x v="29"/>
    <n v="739"/>
    <s v="Yash"/>
    <s v="No"/>
    <m/>
    <m/>
    <m/>
    <s v="Updation done in saiba"/>
  </r>
  <r>
    <x v="0"/>
    <m/>
    <n v="510000"/>
    <s v="CBRO DELHI"/>
    <s v="OIC/23-24/348"/>
    <s v="510000/48/2023/767"/>
    <n v="6"/>
    <s v="SUTHERLAND HEALTHCARE SOLUTIONS PRIVATE LIMITED"/>
    <d v="2022-06-12T00:00:00"/>
    <d v="2023-05-30T00:00:00"/>
    <s v="MIST-PRD-890"/>
    <s v="GROUP MEDICLAIM -TAILORMADE-RISK FLOATER"/>
    <n v="-15512"/>
    <n v="3"/>
    <n v="-465.36"/>
    <s v="Chennai"/>
    <n v="418717"/>
    <s v="E4"/>
    <s v="Yash"/>
    <s v="Suspense"/>
    <s v="Sathyendra Chandra Bose N"/>
    <x v="4"/>
    <n v="969"/>
    <s v="Ravi Kant"/>
    <m/>
    <m/>
    <m/>
    <m/>
    <s v="Updation done"/>
  </r>
  <r>
    <x v="0"/>
    <m/>
    <n v="441202"/>
    <s v="BO NEYYATINKARA"/>
    <s v="OIC/23-24/349"/>
    <s v="441202/48/2023/727"/>
    <n v="11"/>
    <s v="TECHVERSANT INFOTECH PRIVATE LIMITED"/>
    <d v="2022-10-17T00:00:00"/>
    <d v="2023-10-16T00:00:00"/>
    <s v="MIST-PRD-890"/>
    <s v="GROUP MEDICLAIM -TAILORMADE-RISK FLOATER"/>
    <n v="13735"/>
    <n v="6.7200582453585733"/>
    <n v="923"/>
    <s v="Chennai"/>
    <n v="405682"/>
    <s v="E3"/>
    <s v="Yash"/>
    <s v="Suspense"/>
    <s v="Balakrishnan.G"/>
    <x v="35"/>
    <n v="882"/>
    <s v="Dilish"/>
    <m/>
    <m/>
    <m/>
    <s v="Done"/>
    <s v="Updation done"/>
  </r>
  <r>
    <x v="0"/>
    <m/>
    <n v="411500"/>
    <s v="DO 5 CHENNAI"/>
    <s v="OIC/23-24/350"/>
    <s v="411500/48/2023/1725"/>
    <n v="5"/>
    <s v="YOUNG BRAND APPAREL PVT LTD"/>
    <d v="2022-10-14T00:00:00"/>
    <d v="2023-10-13T00:00:00"/>
    <s v="MIST-PRD-890"/>
    <s v="GROUP MEDICLAIM -TAILORMADE-RISK FLOATER"/>
    <n v="-4357"/>
    <n v="7.5001147578609126"/>
    <n v="-326.77999999999997"/>
    <s v="Chennai"/>
    <n v="408565"/>
    <s v="E5"/>
    <s v="Yash"/>
    <s v="Suspense"/>
    <s v="Ramesh M"/>
    <x v="36"/>
    <n v="766"/>
    <s v="Dilish"/>
    <m/>
    <m/>
    <m/>
    <s v="Done"/>
    <s v="Updation done"/>
  </r>
  <r>
    <x v="0"/>
    <m/>
    <n v="124700"/>
    <s v="MCDO 19"/>
    <s v="OIC/23-24/351"/>
    <s v="124700/48/2023/546"/>
    <n v="14"/>
    <s v="CLSA INDIA PVT LTD"/>
    <d v="2022-04-13T00:00:00"/>
    <d v="2023-04-12T00:00:00"/>
    <s v="MIST-PRD-010"/>
    <s v="GROUP MEDICLAIM -TAILORMADE"/>
    <n v="35"/>
    <n v="5.7142857142857144"/>
    <n v="2"/>
    <s v="Pune"/>
    <n v="384849"/>
    <s v="E2"/>
    <s v="Yash"/>
    <s v="Suspense"/>
    <s v="Vinod Pulawale"/>
    <x v="37"/>
    <n v="986"/>
    <s v="Yash"/>
    <m/>
    <m/>
    <m/>
    <m/>
    <s v="Updation done"/>
  </r>
  <r>
    <x v="0"/>
    <m/>
    <n v="124700"/>
    <s v="MCDO 19"/>
    <s v="OIC/23-24/352"/>
    <s v="124700/48/2023/547"/>
    <n v="13"/>
    <s v="CLSA INDIA PVT LTD"/>
    <d v="2022-04-13T00:00:00"/>
    <d v="2023-04-12T00:00:00"/>
    <s v="MIST-PRD-010"/>
    <s v="GROUP MEDICLAIM -TAILORMADE"/>
    <n v="1135"/>
    <n v="5.0220264317180616"/>
    <n v="57"/>
    <s v="Pune"/>
    <n v="384850"/>
    <s v="E2"/>
    <s v="Yash"/>
    <s v="Suspense"/>
    <s v="Vinod Pulawale"/>
    <x v="37"/>
    <n v="986"/>
    <s v="Yash"/>
    <m/>
    <m/>
    <m/>
    <m/>
    <s v="Updation done"/>
  </r>
  <r>
    <x v="0"/>
    <m/>
    <n v="161800"/>
    <s v="DO CHINCHWAD"/>
    <s v="OIC/23-24/353"/>
    <s v="161800/48/2024/28"/>
    <n v="0"/>
    <s v="MRS. POONAM V. KABADI"/>
    <d v="2023-04-11T00:00:00"/>
    <d v="2024-04-10T00:00:00"/>
    <s v="MIST-PRD-943"/>
    <s v="HAPPY FAMILY FLOATER POLICY-2021"/>
    <n v="31316"/>
    <n v="14.998722697662537"/>
    <n v="4697"/>
    <s v="Pune"/>
    <s v="NE"/>
    <s v="NE"/>
    <s v="Yash"/>
    <s v="Suspense"/>
    <s v="Suspense"/>
    <x v="38"/>
    <n v="733"/>
    <s v="Yash"/>
    <s v="No"/>
    <m/>
    <m/>
    <m/>
    <s v="NE"/>
  </r>
  <r>
    <x v="0"/>
    <m/>
    <n v="163600"/>
    <s v="DO IV PUNE"/>
    <s v="OIC/23-24/354"/>
    <s v="163600/11/2024/73"/>
    <n v="0"/>
    <s v="RATHI DYE CHEM (P) LTD."/>
    <d v="2023-05-01T00:00:00"/>
    <d v="2024-04-30T00:00:00"/>
    <s v="FIR-PRD-010"/>
    <s v="ORIENTAL BHARAT SOOKSHMA UDYAM SURAKSHA POLICY"/>
    <n v="4131"/>
    <n v="13.217138707334787"/>
    <n v="546"/>
    <s v="Pune"/>
    <n v="429254"/>
    <n v="0"/>
    <s v="Yash"/>
    <s v="Suspense"/>
    <s v="Vishal Sakharam Londhe"/>
    <x v="29"/>
    <n v="739"/>
    <s v="Yash"/>
    <s v="No"/>
    <m/>
    <s v="Policy No not mentioned and excess comission received"/>
    <s v="Done"/>
    <s v="Updation done"/>
  </r>
  <r>
    <x v="0"/>
    <m/>
    <n v="163600"/>
    <s v="DO IV PUNE"/>
    <s v="OIC/23-24/355"/>
    <s v="163600/11/2024/74"/>
    <n v="0"/>
    <s v="RATHI DYE CHEM (P) LTD."/>
    <d v="2023-05-01T00:00:00"/>
    <d v="2024-04-30T00:00:00"/>
    <s v="FIR-PRD-006"/>
    <s v="STANDARD FIRE -- New Tariff"/>
    <n v="2131876"/>
    <n v="11.500012195831276"/>
    <n v="245166"/>
    <s v="Pune"/>
    <n v="429253"/>
    <n v="0"/>
    <s v="Yash"/>
    <s v="Suspense"/>
    <s v="Vishal Sakharam Londhe"/>
    <x v="29"/>
    <n v="739"/>
    <s v="Yash"/>
    <m/>
    <m/>
    <m/>
    <s v="Done"/>
    <s v="Updation done"/>
  </r>
  <r>
    <x v="0"/>
    <m/>
    <n v="163600"/>
    <s v="DO IV PUNE"/>
    <s v="OIC/23-24/359"/>
    <s v="163600/44/2024/3"/>
    <n v="0"/>
    <s v="RATHI DYE CHEM (P) LTD."/>
    <d v="2023-05-01T00:00:00"/>
    <d v="2024-04-30T00:00:00"/>
    <s v="ENG-PRD-006"/>
    <s v="ELECTRONIC EQUIPMENT INSURANCE"/>
    <n v="1200"/>
    <n v="16.5"/>
    <n v="198"/>
    <s v="Pune"/>
    <n v="444336"/>
    <n v="0"/>
    <s v="Yash"/>
    <s v="Suspense"/>
    <s v="Suspense"/>
    <x v="29"/>
    <n v="739"/>
    <s v="Yash"/>
    <s v="No"/>
    <m/>
    <m/>
    <m/>
    <s v="Updation done in saiba"/>
  </r>
  <r>
    <x v="0"/>
    <m/>
    <n v="163600"/>
    <s v="DO IV PUNE"/>
    <s v="OIC/23-24/360"/>
    <s v="163600/44/2024/4"/>
    <n v="0"/>
    <s v="RATHI DYE CHEM (P) LTD."/>
    <d v="2023-05-01T00:00:00"/>
    <d v="2024-04-30T00:00:00"/>
    <s v="ENG-PRD-006"/>
    <s v="ELECTRONIC EQUIPMENT INSURANCE"/>
    <n v="1200"/>
    <n v="16.5"/>
    <n v="198"/>
    <s v="Pune"/>
    <n v="444334"/>
    <n v="0"/>
    <s v="Yash"/>
    <s v="Suspense"/>
    <s v="Suspense"/>
    <x v="29"/>
    <n v="739"/>
    <s v="Yash"/>
    <s v="No"/>
    <m/>
    <m/>
    <m/>
    <s v="Updation done in saiba"/>
  </r>
  <r>
    <x v="0"/>
    <m/>
    <n v="163600"/>
    <s v="DO IV PUNE"/>
    <s v="OIC/23-24/408"/>
    <s v="163600/48/2024/379"/>
    <n v="0"/>
    <s v="RATHI DYE CHEM (P) LTD."/>
    <d v="2023-05-01T00:00:00"/>
    <d v="2024-04-30T00:00:00"/>
    <s v="MIST-PRD-060"/>
    <s v="EMPLOYERS LIABILITY"/>
    <n v="8461"/>
    <n v="16.499231769294411"/>
    <n v="1396"/>
    <s v="Pune"/>
    <n v="444330"/>
    <n v="0"/>
    <s v="Yash"/>
    <s v="Suspense"/>
    <s v="Suspense"/>
    <x v="29"/>
    <n v="739"/>
    <s v="Yash"/>
    <s v="No"/>
    <m/>
    <m/>
    <m/>
    <s v="Updation done in saiba"/>
  </r>
  <r>
    <x v="0"/>
    <m/>
    <n v="163600"/>
    <s v="DO IV PUNE"/>
    <s v="OIC/23-24/409"/>
    <s v="163600/48/2024/381"/>
    <n v="0"/>
    <s v="RATHI DYE CHEM (P) LTD."/>
    <d v="2023-05-01T00:00:00"/>
    <d v="2024-04-30T00:00:00"/>
    <s v="MIST-PRD-052"/>
    <s v="MONEY INSURANCE"/>
    <n v="1875"/>
    <n v="16.48"/>
    <n v="309"/>
    <s v="Pune"/>
    <n v="444321"/>
    <n v="0"/>
    <s v="Yash"/>
    <s v="Suspense"/>
    <s v="Suspense"/>
    <x v="29"/>
    <n v="739"/>
    <s v="Yash"/>
    <s v="No"/>
    <m/>
    <m/>
    <m/>
    <s v="Updation done in saiba"/>
  </r>
  <r>
    <x v="0"/>
    <m/>
    <n v="163900"/>
    <s v="DO 5 PUNE"/>
    <s v="OIC/23-24/123"/>
    <s v="163900/48/2024/53"/>
    <n v="0"/>
    <s v="KAVIN SABHARWAL"/>
    <d v="2023-04-01T00:00:00"/>
    <d v="2024-03-31T00:00:00"/>
    <s v="MIST-PRD-094"/>
    <s v="ORIENTAL MEDICLAIM INSURANCE POLICY(INDIVIDUAL)"/>
    <n v="5978"/>
    <n v="15.005018400802944"/>
    <n v="897"/>
    <s v="Delhi"/>
    <n v="433674"/>
    <n v="0"/>
    <s v="Ravi Kant"/>
    <s v="Suspense"/>
    <s v="Suspense"/>
    <x v="9"/>
    <n v="758"/>
    <s v="Yash"/>
    <s v="No"/>
    <m/>
    <m/>
    <m/>
    <s v="Updation done in saiba"/>
  </r>
  <r>
    <x v="0"/>
    <m/>
    <n v="163600"/>
    <s v="DO IV PUNE"/>
    <s v="OIC/23-24/361"/>
    <s v="163600/48/2024/312"/>
    <n v="0"/>
    <s v="RATHI DYE CHEM (P) LTD."/>
    <d v="2023-05-01T00:00:00"/>
    <d v="2024-04-30T00:00:00"/>
    <s v="MIST-PRD-943"/>
    <s v="HAPPY FAMILY FLOATER POLICY-2021"/>
    <n v="7966"/>
    <n v="15.001255335174491"/>
    <n v="1195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62"/>
    <s v="163600/48/2024/313"/>
    <n v="0"/>
    <s v="RATHI DYE CHEM (P) LTD."/>
    <d v="2023-05-01T00:00:00"/>
    <d v="2024-04-30T00:00:00"/>
    <s v="MIST-PRD-943"/>
    <s v="HAPPY FAMILY FLOATER POLICY-2021"/>
    <n v="11261"/>
    <n v="14.998667969096884"/>
    <n v="1689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63"/>
    <s v="163600/48/2024/314"/>
    <n v="0"/>
    <s v="RATHI DYE CHEM (P) LTD."/>
    <d v="2023-05-01T00:00:00"/>
    <d v="2024-04-30T00:00:00"/>
    <s v="MIST-PRD-943"/>
    <s v="HAPPY FAMILY FLOATER POLICY-2021"/>
    <n v="11280"/>
    <n v="15"/>
    <n v="1692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64"/>
    <s v="163600/48/2024/315"/>
    <n v="0"/>
    <s v="RATHI DYE CHEM (P) LTD."/>
    <d v="2023-05-07T00:00:00"/>
    <d v="2024-05-06T00:00:00"/>
    <s v="MIST-PRD-943"/>
    <s v="HAPPY FAMILY FLOATER POLICY-2021"/>
    <n v="10455"/>
    <n v="14.997608799617408"/>
    <n v="156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65"/>
    <s v="163600/48/2024/316"/>
    <n v="0"/>
    <s v="RATHI DYE CHEM (P) LTD."/>
    <d v="2023-04-27T00:00:00"/>
    <d v="2024-04-26T00:00:00"/>
    <s v="MIST-PRD-943"/>
    <s v="HAPPY FAMILY FLOATER POLICY-2021"/>
    <n v="7985"/>
    <n v="15.003130870381966"/>
    <n v="119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66"/>
    <s v="163600/48/2024/317"/>
    <n v="0"/>
    <s v="RATHI DYE CHEM (P) LTD."/>
    <d v="2023-05-01T00:00:00"/>
    <d v="2024-04-30T00:00:00"/>
    <s v="MIST-PRD-943"/>
    <s v="HAPPY FAMILY FLOATER POLICY-2021"/>
    <n v="10045"/>
    <n v="15.002488800398208"/>
    <n v="1507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67"/>
    <s v="163600/48/2024/318"/>
    <n v="0"/>
    <s v="RATHI DYE CHEM (P) LTD."/>
    <d v="2023-05-01T00:00:00"/>
    <d v="2024-04-30T00:00:00"/>
    <s v="MIST-PRD-943"/>
    <s v="HAPPY FAMILY FLOATER POLICY-2021"/>
    <n v="10593"/>
    <n v="15.000472009817804"/>
    <n v="1589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68"/>
    <s v="163600/48/2024/319"/>
    <n v="0"/>
    <s v="RATHI DYE CHEM (P) LTD."/>
    <d v="2023-04-30T00:00:00"/>
    <d v="2024-04-29T00:00:00"/>
    <s v="MIST-PRD-943"/>
    <s v="HAPPY FAMILY FLOATER POLICY-2021"/>
    <n v="7662"/>
    <n v="15.009135995823545"/>
    <n v="1150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69"/>
    <s v="163600/48/2024/320"/>
    <n v="0"/>
    <s v="RATHI DYE CHEM (P) LTD."/>
    <d v="2023-05-06T00:00:00"/>
    <d v="2024-05-05T00:00:00"/>
    <s v="MIST-PRD-943"/>
    <s v="HAPPY FAMILY FLOATER POLICY-2021"/>
    <n v="6651"/>
    <n v="15.00526236656142"/>
    <n v="99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0"/>
    <s v="163600/48/2024/321"/>
    <n v="0"/>
    <s v="RATHI DYE CHEM (P) LTD."/>
    <d v="2023-04-27T00:00:00"/>
    <d v="2024-04-26T00:00:00"/>
    <s v="MIST-PRD-943"/>
    <s v="HAPPY FAMILY FLOATER POLICY-2021"/>
    <n v="6651"/>
    <n v="15.00526236656142"/>
    <n v="99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1"/>
    <s v="163600/48/2024/322"/>
    <n v="0"/>
    <s v="RATHI DYE CHEM (P) LTD."/>
    <d v="2023-05-30T00:00:00"/>
    <d v="2024-05-29T00:00:00"/>
    <s v="MIST-PRD-943"/>
    <s v="HAPPY FAMILY FLOATER POLICY-2021"/>
    <n v="6651"/>
    <n v="15.00526236656142"/>
    <n v="99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2"/>
    <s v="163600/48/2024/323"/>
    <n v="0"/>
    <s v="RATHI DYE CHEM (P) LTD."/>
    <d v="2023-05-01T00:00:00"/>
    <d v="2024-04-30T00:00:00"/>
    <s v="MIST-PRD-943"/>
    <s v="HAPPY FAMILY FLOATER POLICY-2021"/>
    <n v="9220"/>
    <n v="15"/>
    <n v="1383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3"/>
    <s v="163600/48/2024/324"/>
    <n v="0"/>
    <s v="RATHI DYE CHEM (P) LTD."/>
    <d v="2023-05-06T00:00:00"/>
    <d v="2024-05-05T00:00:00"/>
    <s v="MIST-PRD-943"/>
    <s v="HAPPY FAMILY FLOATER POLICY-2021"/>
    <n v="7338"/>
    <n v="15.004088307440719"/>
    <n v="110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4"/>
    <s v="163600/48/2024/325"/>
    <n v="0"/>
    <s v="RATHI DYE CHEM (P) LTD."/>
    <d v="2023-05-27T00:00:00"/>
    <d v="2024-05-26T00:00:00"/>
    <s v="MIST-PRD-943"/>
    <s v="HAPPY FAMILY FLOATER POLICY-2021"/>
    <n v="9907"/>
    <n v="14.999495306349045"/>
    <n v="1486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5"/>
    <s v="163600/48/2024/326"/>
    <n v="0"/>
    <s v="RATHI DYE CHEM (P) LTD."/>
    <d v="2023-05-06T00:00:00"/>
    <d v="2024-05-05T00:00:00"/>
    <s v="MIST-PRD-943"/>
    <s v="HAPPY FAMILY FLOATER POLICY-2021"/>
    <n v="6651"/>
    <n v="15.00526236656142"/>
    <n v="99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6"/>
    <s v="163600/48/2024/327"/>
    <n v="0"/>
    <s v="RATHI DYE CHEM (P) LTD."/>
    <d v="2023-05-01T00:00:00"/>
    <d v="2024-04-30T00:00:00"/>
    <s v="MIST-PRD-943"/>
    <s v="HAPPY FAMILY FLOATER POLICY-2021"/>
    <n v="54761"/>
    <n v="14.999726082430927"/>
    <n v="8214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7"/>
    <s v="163600/48/2024/328"/>
    <n v="0"/>
    <s v="RATHI DYE CHEM (P) LTD."/>
    <d v="2023-05-01T00:00:00"/>
    <d v="2024-04-30T00:00:00"/>
    <s v="MIST-PRD-943"/>
    <s v="HAPPY FAMILY FLOATER POLICY-2021"/>
    <n v="16374"/>
    <n v="14.999389275680958"/>
    <n v="2456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8"/>
    <s v="163600/48/2024/329"/>
    <n v="0"/>
    <s v="RATHI DYE CHEM (P) LTD."/>
    <d v="2023-05-01T00:00:00"/>
    <d v="2024-04-30T00:00:00"/>
    <s v="MIST-PRD-943"/>
    <s v="HAPPY FAMILY FLOATER POLICY-2021"/>
    <n v="23717"/>
    <n v="15.001897373192225"/>
    <n v="355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79"/>
    <s v="163600/48/2024/330"/>
    <n v="0"/>
    <s v="RATHI DYE CHEM (P) LTD."/>
    <d v="2023-05-01T00:00:00"/>
    <d v="2024-04-30T00:00:00"/>
    <s v="MIST-PRD-943"/>
    <s v="HAPPY FAMILY FLOATER POLICY-2021"/>
    <n v="7642"/>
    <n v="14.996074326092646"/>
    <n v="1146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0"/>
    <s v="163600/48/2024/331"/>
    <n v="0"/>
    <s v="RATHI DYE CHEM (P) LTD."/>
    <d v="2023-05-01T00:00:00"/>
    <d v="2024-04-30T00:00:00"/>
    <s v="MIST-PRD-943"/>
    <s v="HAPPY FAMILY FLOATER POLICY-2021"/>
    <n v="11768"/>
    <n v="14.998300475866758"/>
    <n v="1765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1"/>
    <s v="163600/48/2024/332"/>
    <n v="0"/>
    <s v="RATHI DYE CHEM (P) LTD."/>
    <d v="2023-05-01T00:00:00"/>
    <d v="2024-04-30T00:00:00"/>
    <s v="MIST-PRD-943"/>
    <s v="HAPPY FAMILY FLOATER POLICY-2021"/>
    <n v="7463"/>
    <n v="15.007369690473"/>
    <n v="1120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2"/>
    <s v="163600/48/2024/333"/>
    <n v="0"/>
    <s v="RATHI DYE CHEM (P) LTD."/>
    <d v="2023-05-01T00:00:00"/>
    <d v="2024-04-30T00:00:00"/>
    <s v="MIST-PRD-943"/>
    <s v="HAPPY FAMILY FLOATER POLICY-2021"/>
    <n v="13614"/>
    <n v="14.999265462024386"/>
    <n v="2042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3"/>
    <s v="163600/48/2024/334"/>
    <n v="0"/>
    <s v="RATHI DYE CHEM (P) LTD."/>
    <d v="2023-05-01T00:00:00"/>
    <d v="2024-04-30T00:00:00"/>
    <s v="MIST-PRD-943"/>
    <s v="HAPPY FAMILY FLOATER POLICY-2021"/>
    <n v="13580"/>
    <n v="15"/>
    <n v="2037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4"/>
    <s v="163600/48/2024/335"/>
    <n v="0"/>
    <s v="RATHI DYE CHEM (P) LTD."/>
    <d v="2023-04-27T00:00:00"/>
    <d v="2024-04-26T00:00:00"/>
    <s v="MIST-PRD-943"/>
    <s v="HAPPY FAMILY FLOATER POLICY-2021"/>
    <n v="11044"/>
    <n v="15.003621876131836"/>
    <n v="1657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5"/>
    <s v="163600/48/2024/336"/>
    <n v="0"/>
    <s v="RATHI DYE CHEM (P) LTD."/>
    <d v="2023-05-01T00:00:00"/>
    <d v="2024-04-30T00:00:00"/>
    <s v="MIST-PRD-943"/>
    <s v="HAPPY FAMILY FLOATER POLICY-2021"/>
    <n v="7318"/>
    <n v="15.004099480732441"/>
    <n v="109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6"/>
    <s v="163600/48/2024/337"/>
    <n v="0"/>
    <s v="RATHI DYE CHEM (P) LTD."/>
    <d v="2023-05-01T00:00:00"/>
    <d v="2024-04-30T00:00:00"/>
    <s v="MIST-PRD-943"/>
    <s v="HAPPY FAMILY FLOATER POLICY-2021"/>
    <n v="8005"/>
    <n v="15.00312304809494"/>
    <n v="120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7"/>
    <s v="163600/48/2024/338"/>
    <n v="0"/>
    <s v="RATHI DYE CHEM (P) LTD."/>
    <d v="2023-05-01T00:00:00"/>
    <d v="2024-04-30T00:00:00"/>
    <s v="MIST-PRD-943"/>
    <s v="HAPPY FAMILY FLOATER POLICY-2021"/>
    <n v="7830"/>
    <n v="15.006385696040869"/>
    <n v="1175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8"/>
    <s v="163600/48/2024/339"/>
    <n v="0"/>
    <s v="RATHI DYE CHEM (P) LTD."/>
    <d v="2023-05-01T00:00:00"/>
    <d v="2024-04-30T00:00:00"/>
    <s v="MIST-PRD-094"/>
    <s v="ORIENTAL MEDICLAIM INSURANCE POLICY(INDIVIDUAL)"/>
    <n v="67396"/>
    <n v="15.000890260549587"/>
    <n v="10110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89"/>
    <s v="163600/48/2024/340"/>
    <n v="0"/>
    <s v="RATHI DYE CHEM (P) LTD."/>
    <d v="2023-05-01T00:00:00"/>
    <d v="2024-04-30T00:00:00"/>
    <s v="MIST-PRD-094"/>
    <s v="ORIENTAL MEDICLAIM INSURANCE POLICY(INDIVIDUAL)"/>
    <n v="6450"/>
    <n v="15.007751937984496"/>
    <n v="96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0"/>
    <s v="163600/48/2024/341"/>
    <n v="0"/>
    <s v="RATHI DYE CHEM (P) LTD."/>
    <d v="2023-05-01T00:00:00"/>
    <d v="2024-04-30T00:00:00"/>
    <s v="MIST-PRD-094"/>
    <s v="ORIENTAL MEDICLAIM INSURANCE POLICY(INDIVIDUAL)"/>
    <n v="24241"/>
    <n v="14.999381213646302"/>
    <n v="3636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1"/>
    <s v="163600/48/2024/342"/>
    <n v="0"/>
    <s v="RATHI DYE CHEM (P) LTD."/>
    <d v="2023-05-25T00:00:00"/>
    <d v="2024-05-24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2"/>
    <s v="163600/48/2024/343"/>
    <n v="0"/>
    <s v="RATHI DYE CHEM (P) LTD."/>
    <d v="2023-05-26T00:00:00"/>
    <d v="2024-05-25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3"/>
    <s v="163600/48/2024/344"/>
    <n v="0"/>
    <s v="RATHI DYE CHEM (P) LTD."/>
    <d v="2023-04-30T00:00:00"/>
    <d v="2024-04-29T00:00:00"/>
    <s v="MIST-PRD-094"/>
    <s v="ORIENTAL MEDICLAIM INSURANCE POLICY(INDIVIDUAL)"/>
    <n v="5157"/>
    <n v="15.008726003490402"/>
    <n v="774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4"/>
    <s v="163600/48/2024/345"/>
    <n v="0"/>
    <s v="RATHI DYE CHEM (P) LTD."/>
    <d v="2023-05-01T00:00:00"/>
    <d v="2024-04-30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5"/>
    <s v="163600/48/2024/346"/>
    <n v="0"/>
    <s v="RATHI DYE CHEM (P) LTD."/>
    <d v="2023-04-27T00:00:00"/>
    <d v="2024-04-26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6"/>
    <s v="163600/48/2024/347"/>
    <n v="0"/>
    <s v="RATHI DYE CHEM (P) LTD."/>
    <d v="2023-05-01T00:00:00"/>
    <d v="2024-04-30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7"/>
    <s v="163600/48/2024/348"/>
    <n v="0"/>
    <s v="RATHI DYE CHEM (P) LTD."/>
    <d v="2023-04-27T00:00:00"/>
    <d v="2024-04-26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8"/>
    <s v="163600/48/2024/350"/>
    <n v="0"/>
    <s v="RATHI DYE CHEM (P) LTD."/>
    <d v="2023-05-01T00:00:00"/>
    <d v="2024-04-30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399"/>
    <s v="163600/48/2024/351"/>
    <n v="0"/>
    <s v="RATHI DYE CHEM (P) LTD."/>
    <d v="2023-05-01T00:00:00"/>
    <d v="2024-04-30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400"/>
    <s v="163600/48/2024/352"/>
    <n v="0"/>
    <s v="RATHI DYE CHEM (P) LTD."/>
    <d v="2023-05-01T00:00:00"/>
    <d v="2024-04-30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401"/>
    <s v="163600/48/2024/353"/>
    <n v="0"/>
    <s v="RATHI DYE CHEM (P) LTD."/>
    <d v="2023-05-01T00:00:00"/>
    <d v="2024-04-30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402"/>
    <s v="163600/48/2024/355"/>
    <n v="0"/>
    <s v="RATHI DYE CHEM (P) LTD."/>
    <d v="2023-05-01T00:00:00"/>
    <d v="2024-04-30T00:00:00"/>
    <s v="MIST-PRD-094"/>
    <s v="ORIENTAL MEDICLAIM INSURANCE POLICY(INDIVIDUAL)"/>
    <n v="4404"/>
    <n v="15.009082652134424"/>
    <n v="661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403"/>
    <s v="163600/48/2024/357"/>
    <n v="0"/>
    <s v="RATHI DYE CHEM (P) LTD."/>
    <d v="2023-05-01T00:00:00"/>
    <d v="2024-04-30T00:00:00"/>
    <s v="MIST-PRD-943"/>
    <s v="HAPPY FAMILY FLOATER POLICY-2021"/>
    <n v="6651"/>
    <n v="15.00526236656142"/>
    <n v="99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404"/>
    <s v="163600/48/2024/358"/>
    <n v="0"/>
    <s v="RATHI DYE CHEM (P) LTD."/>
    <d v="2023-04-28T00:00:00"/>
    <d v="2024-04-27T00:00:00"/>
    <s v="MIST-PRD-943"/>
    <s v="HAPPY FAMILY FLOATER POLICY-2021"/>
    <n v="6651"/>
    <n v="15.00526236656142"/>
    <n v="99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405"/>
    <s v="163600/48/2024/359"/>
    <n v="0"/>
    <s v="RATHI DYE CHEM (P) LTD."/>
    <d v="2023-05-01T00:00:00"/>
    <d v="2024-04-30T00:00:00"/>
    <s v="MIST-PRD-943"/>
    <s v="HAPPY FAMILY FLOATER POLICY-2021"/>
    <n v="6651"/>
    <n v="15.00526236656142"/>
    <n v="998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406"/>
    <s v="163600/48/2024/360"/>
    <n v="0"/>
    <s v="RATHI DYE CHEM (P) LTD."/>
    <d v="2023-05-01T00:00:00"/>
    <d v="2024-04-30T00:00:00"/>
    <s v="MIST-PRD-943"/>
    <s v="HAPPY FAMILY FLOATER POLICY-2021"/>
    <n v="5792"/>
    <n v="15.003453038674033"/>
    <n v="869"/>
    <s v="Pune"/>
    <s v="NE"/>
    <s v="NE"/>
    <s v="Yash"/>
    <s v="Suspense"/>
    <s v="Suspense"/>
    <x v="29"/>
    <n v="739"/>
    <s v="Yash"/>
    <s v="No"/>
    <m/>
    <m/>
    <m/>
    <s v="NE"/>
  </r>
  <r>
    <x v="0"/>
    <m/>
    <n v="163600"/>
    <s v="DO IV PUNE"/>
    <s v="OIC/23-24/407"/>
    <s v="163600/48/2024/378"/>
    <n v="0"/>
    <s v="RATHI DYE CHEM (P) LTD."/>
    <d v="2023-05-01T00:00:00"/>
    <d v="2024-04-30T00:00:00"/>
    <s v="MIST-PRD-030"/>
    <s v="PUBLIC LIABILITY-ACT"/>
    <n v="10290"/>
    <n v="12.497570456754131"/>
    <n v="1286"/>
    <s v="Pune"/>
    <n v="444327"/>
    <n v="0"/>
    <s v="Yash"/>
    <s v="Suspense"/>
    <s v="Suspense"/>
    <x v="29"/>
    <n v="739"/>
    <s v="Yash"/>
    <s v="No"/>
    <m/>
    <m/>
    <m/>
    <s v="Updation done"/>
  </r>
  <r>
    <x v="0"/>
    <m/>
    <n v="163900"/>
    <s v="DO 5 PUNE"/>
    <s v="OIC/23-24/138"/>
    <s v="163900/48/2024/265"/>
    <n v="0"/>
    <s v="MR. SANDEEP KHAIRHA"/>
    <d v="2023-04-18T00:00:00"/>
    <d v="2024-04-17T00:00:00"/>
    <s v="MIST-PRD-094"/>
    <s v="ORIENTAL MEDICLAIM INSURANCE POLICY(INDIVIDUAL)"/>
    <n v="6954"/>
    <n v="14.998561978717285"/>
    <n v="1043"/>
    <s v="Delhi"/>
    <n v="433892"/>
    <n v="0"/>
    <s v="Ravi Kant"/>
    <s v="Suspense"/>
    <s v="Suspense"/>
    <x v="9"/>
    <n v="758"/>
    <s v="Yash"/>
    <s v="No"/>
    <m/>
    <m/>
    <m/>
    <s v="Updation done in saiba"/>
  </r>
  <r>
    <x v="0"/>
    <m/>
    <n v="163900"/>
    <s v="DO 5 PUNE"/>
    <s v="OIC/23-24/308"/>
    <s v="163900/11/2024/6"/>
    <n v="0"/>
    <s v="RIECO INDUSTRIES LTD."/>
    <d v="2023-04-01T00:00:00"/>
    <d v="2024-03-31T00:00:00"/>
    <s v="FIR-PRD-006"/>
    <s v="STANDARD FIRE -- New Tariff"/>
    <n v="693000"/>
    <n v="11.500144300144299"/>
    <n v="79696"/>
    <s v="Delhi"/>
    <n v="423856"/>
    <n v="0"/>
    <s v="Sachin"/>
    <s v="Suspense"/>
    <s v="Suspense"/>
    <x v="9"/>
    <n v="758"/>
    <s v="Yash"/>
    <s v="No"/>
    <m/>
    <m/>
    <m/>
    <s v="Updation done in saiba"/>
  </r>
  <r>
    <x v="0"/>
    <m/>
    <n v="161800"/>
    <s v="DO CHINCHWAD"/>
    <s v="OIC/23-24/410"/>
    <s v="161800/48/2024/29"/>
    <n v="0"/>
    <s v="VIPUL VISHWANATH KABADI"/>
    <d v="2023-04-11T00:00:00"/>
    <d v="2024-04-10T00:00:00"/>
    <s v="MIST-PRD-094"/>
    <s v="ORIENTAL MEDICLAIM INSURANCE POLICY(INDIVIDUAL)"/>
    <n v="5274"/>
    <n v="14.998103905953736"/>
    <n v="791"/>
    <s v="Pune"/>
    <s v="NE"/>
    <s v="NE"/>
    <s v="Yash"/>
    <s v="Suspense"/>
    <s v="Suspense"/>
    <x v="38"/>
    <n v="733"/>
    <s v="Yash"/>
    <s v="No"/>
    <m/>
    <m/>
    <m/>
    <s v="NE"/>
  </r>
  <r>
    <x v="0"/>
    <s v="Apr'23_253200_Additional"/>
    <m/>
    <m/>
    <s v="OIC/23-24/1851"/>
    <s v="253200/11/2024/1"/>
    <m/>
    <s v=" M/S UJVN Ltd"/>
    <m/>
    <m/>
    <s v="FIR-PRD-002 - FIRE - LOSS OF PROFIT"/>
    <m/>
    <n v="37734"/>
    <n v="11.498913446758891"/>
    <n v="650.8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52"/>
    <s v="253200/11/2024/10"/>
    <m/>
    <s v=" M/S UJVN Ltd"/>
    <m/>
    <m/>
    <s v="FIR-PRD-009 - ORIENTAL BHARAT LAGHU UDYAM SURAKSHA POLICY"/>
    <m/>
    <n v="78236.649999999994"/>
    <n v="11.499725512275896"/>
    <n v="1349.5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53"/>
    <s v="253200/11/2024/10"/>
    <m/>
    <s v=" M/S UJVN Ltd"/>
    <m/>
    <m/>
    <s v="FIR-PRD-009 - ORIENTAL BHARAT LAGHU UDYAM SURAKSHA POLICY"/>
    <m/>
    <n v="15812.35"/>
    <n v="5.0024189952790064"/>
    <n v="118.64999999999999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54"/>
    <s v="253200/11/2024/11"/>
    <m/>
    <s v=" M/S UJVN Ltd"/>
    <m/>
    <m/>
    <s v="FIR-PRD-009 - ORIENTAL BHARAT LAGHU UDYAM SURAKSHA POLICY"/>
    <m/>
    <n v="74220"/>
    <n v="5"/>
    <n v="556.6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55"/>
    <s v="253200/11/2024/11"/>
    <m/>
    <s v=" M/S UJVN Ltd"/>
    <m/>
    <m/>
    <s v="FIR-PRD-009 - ORIENTAL BHARAT LAGHU UDYAM SURAKSHA POLICY"/>
    <m/>
    <n v="271150"/>
    <n v="11.499907800110639"/>
    <n v="4677.3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56"/>
    <s v="253200/11/2024/12"/>
    <m/>
    <s v=" M/S UJVN Ltd"/>
    <m/>
    <m/>
    <s v="FIR-PRD-009 - ORIENTAL BHARAT LAGHU UDYAM SURAKSHA POLICY"/>
    <m/>
    <n v="75518.92"/>
    <n v="11.50042929639354"/>
    <n v="1302.7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57"/>
    <s v="253200/11/2024/12"/>
    <m/>
    <s v=" M/S UJVN Ltd"/>
    <m/>
    <m/>
    <s v="FIR-PRD-009 - ORIENTAL BHARAT LAGHU UDYAM SURAKSHA POLICY"/>
    <m/>
    <n v="15263.08"/>
    <n v="4.9989910293335296"/>
    <n v="114.4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58"/>
    <s v="253200/11/2024/13"/>
    <m/>
    <s v=" M/S UJVN Ltd"/>
    <m/>
    <m/>
    <s v="FIR-PRD-003 - INDUSTRIAL ALL RISK POLICY"/>
    <m/>
    <n v="1090447"/>
    <n v="11.499962859267805"/>
    <n v="18810.149999999998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59"/>
    <s v="253200/11/2024/14"/>
    <m/>
    <s v=" M/S UJVN Ltd"/>
    <m/>
    <m/>
    <s v="FIR-PRD-003 - INDUSTRIAL ALL RISK POLICY"/>
    <m/>
    <n v="1662433"/>
    <n v="11.500012331324028"/>
    <n v="28677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0"/>
    <s v="253200/11/2024/15"/>
    <m/>
    <s v=" M/S UJVN Ltd"/>
    <m/>
    <m/>
    <s v="FIR-PRD-003 - INDUSTRIAL ALL RISK POLICY"/>
    <m/>
    <n v="25199307"/>
    <n v="11.499998789649254"/>
    <n v="434688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1"/>
    <s v="253200/11/2024/16"/>
    <m/>
    <s v=" M/S UJVN Ltd"/>
    <m/>
    <m/>
    <s v="FIR-PRD-003 - INDUSTRIAL ALL RISK POLICY"/>
    <m/>
    <n v="3606249"/>
    <n v="11.500010121319965"/>
    <n v="62207.8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2"/>
    <s v="253200/11/2024/17"/>
    <m/>
    <s v=" M/S UJVN Ltd"/>
    <m/>
    <m/>
    <s v="FIR-PRD-003 - INDUSTRIAL ALL RISK POLICY"/>
    <m/>
    <n v="3209253"/>
    <n v="11.499997039809577"/>
    <n v="55359.6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3"/>
    <s v="253200/11/2024/18"/>
    <m/>
    <s v=" M/S UJVN Ltd"/>
    <m/>
    <m/>
    <s v="FIR-PRD-003 - INDUSTRIAL ALL RISK POLICY"/>
    <m/>
    <n v="13523878"/>
    <n v="11.500000221829863"/>
    <n v="233286.9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4"/>
    <s v="253200/11/2024/19"/>
    <m/>
    <s v=" M/S UJVN Ltd"/>
    <m/>
    <m/>
    <s v="FIR-PRD-003 - INDUSTRIAL ALL RISK POLICY"/>
    <m/>
    <n v="20646929"/>
    <n v="11.500000799150323"/>
    <n v="356159.5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5"/>
    <s v="253200/11/2024/2"/>
    <m/>
    <s v=" M/S UJVN Ltd"/>
    <m/>
    <m/>
    <s v="FIR-PRD-002 - FIRE - LOSS OF PROFIT"/>
    <m/>
    <n v="17588"/>
    <n v="11.502160564020924"/>
    <n v="303.4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6"/>
    <s v="253200/11/2024/20"/>
    <m/>
    <s v=" M/S UJVN Ltd"/>
    <m/>
    <m/>
    <s v="FIR-PRD-003 - INDUSTRIAL ALL RISK POLICY"/>
    <m/>
    <n v="363135"/>
    <n v="11.499855425668141"/>
    <n v="6264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7"/>
    <s v="253200/11/2024/21"/>
    <m/>
    <s v=" M/S UJVN Ltd"/>
    <m/>
    <m/>
    <s v="FIR-PRD-003 - INDUSTRIAL ALL RISK POLICY"/>
    <m/>
    <n v="12644112"/>
    <n v="11.500000949058345"/>
    <n v="218110.94999999998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8"/>
    <s v="253200/11/2024/22"/>
    <m/>
    <s v=" M/S UJVN Ltd"/>
    <m/>
    <m/>
    <s v="FIR-PRD-003 - INDUSTRIAL ALL RISK POLICY"/>
    <m/>
    <n v="5450327"/>
    <n v="11.499988899748585"/>
    <n v="94018.0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69"/>
    <s v="253200/11/2024/23"/>
    <m/>
    <s v=" M/S UJVN Ltd"/>
    <m/>
    <m/>
    <s v="FIR-PRD-003 - INDUSTRIAL ALL RISK POLICY"/>
    <m/>
    <n v="46452364"/>
    <n v="11.499998148641046"/>
    <n v="801303.1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0"/>
    <s v="253200/11/2024/24"/>
    <m/>
    <s v=" M/S UJVN Ltd"/>
    <m/>
    <m/>
    <s v="FIR-PRD-003 - INDUSTRIAL ALL RISK POLICY"/>
    <m/>
    <n v="1288272"/>
    <n v="11.499978265459468"/>
    <n v="22222.649999999998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1"/>
    <s v="253200/11/2024/25"/>
    <m/>
    <s v=" M/S UJVN Ltd"/>
    <m/>
    <m/>
    <s v="FIR-PRD-003 - INDUSTRIAL ALL RISK POLICY"/>
    <m/>
    <n v="21180824"/>
    <n v="11.500001133100394"/>
    <n v="365369.2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2"/>
    <s v="253200/11/2024/26"/>
    <m/>
    <s v=" M/S UJVN Ltd"/>
    <m/>
    <m/>
    <s v="FIR-PRD-003 - INDUSTRIAL ALL RISK POLICY"/>
    <m/>
    <n v="2137576"/>
    <n v="11.500035554291404"/>
    <n v="36873.299999999996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3"/>
    <s v="253200/11/2024/27"/>
    <m/>
    <s v=" M/S UJVN Ltd"/>
    <m/>
    <m/>
    <s v="FIR-PRD-003 - INDUSTRIAL ALL RISK POLICY"/>
    <m/>
    <n v="25230411"/>
    <n v="11.500002913151118"/>
    <n v="435224.7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4"/>
    <s v="253200/11/2024/28"/>
    <m/>
    <s v=" M/S UJVN Ltd"/>
    <m/>
    <m/>
    <s v="FIR-PRD-003 - INDUSTRIAL ALL RISK POLICY"/>
    <m/>
    <n v="4412894"/>
    <n v="11.500004305564556"/>
    <n v="76122.4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5"/>
    <s v="253200/11/2024/3"/>
    <m/>
    <s v=" M/S UJVN Ltd"/>
    <m/>
    <m/>
    <s v="FIR-PRD-002 - FIRE - LOSS OF PROFIT"/>
    <m/>
    <n v="21328"/>
    <n v="11.501312828207052"/>
    <n v="367.9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6"/>
    <s v="253200/11/2024/4"/>
    <m/>
    <s v=" M/S UJVN Ltd"/>
    <m/>
    <m/>
    <s v="FIR-PRD-009 - ORIENTAL BHARAT LAGHU UDYAM SURAKSHA POLICY"/>
    <m/>
    <n v="112389.47"/>
    <n v="11.500187695519873"/>
    <n v="1938.7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7"/>
    <s v="253200/11/2024/4"/>
    <m/>
    <s v=" M/S UJVN Ltd"/>
    <m/>
    <m/>
    <s v="FIR-PRD-009 - ORIENTAL BHARAT LAGHU UDYAM SURAKSHA POLICY"/>
    <m/>
    <n v="22230.53"/>
    <n v="5.0021299537168034"/>
    <n v="166.79999999999998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8"/>
    <s v="253200/11/2024/5"/>
    <m/>
    <s v=" M/S UJVN Ltd"/>
    <m/>
    <m/>
    <s v="FIR-PRD-010 - ORIENTAL BHARAT SOOKSHMA UDYAM SURAKSHA POLICY"/>
    <m/>
    <n v="49206.28"/>
    <n v="11.500564562084353"/>
    <n v="848.8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79"/>
    <s v="253200/11/2024/5"/>
    <m/>
    <s v=" M/S UJVN Ltd"/>
    <m/>
    <m/>
    <s v="FIR-PRD-010 - ORIENTAL BHARAT SOOKSHMA UDYAM SURAKSHA POLICY"/>
    <m/>
    <n v="8364.7199999999993"/>
    <n v="4.9971786264214462"/>
    <n v="62.699999999999996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0"/>
    <s v="253200/11/2024/6"/>
    <m/>
    <s v=" M/S UJVN Ltd"/>
    <m/>
    <m/>
    <s v="FIR-PRD-009 - ORIENTAL BHARAT LAGHU UDYAM SURAKSHA POLICY"/>
    <m/>
    <n v="232987.5"/>
    <n v="11.499758570738773"/>
    <n v="4018.9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1"/>
    <s v="253200/11/2024/6"/>
    <m/>
    <s v=" M/S UJVN Ltd"/>
    <m/>
    <m/>
    <s v="FIR-PRD-009 - ORIENTAL BHARAT LAGHU UDYAM SURAKSHA POLICY"/>
    <m/>
    <n v="49162.5"/>
    <n v="4.9997457411645057"/>
    <n v="368.7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2"/>
    <s v="253200/11/2024/7"/>
    <m/>
    <s v=" M/S UJVN Ltd"/>
    <m/>
    <m/>
    <s v="FIR-PRD-009 - ORIENTAL BHARAT LAGHU UDYAM SURAKSHA POLICY"/>
    <m/>
    <n v="334659.02"/>
    <n v="11.500063557229087"/>
    <n v="5772.9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3"/>
    <s v="253200/11/2024/7"/>
    <m/>
    <s v=" M/S UJVN Ltd"/>
    <m/>
    <m/>
    <s v="FIR-PRD-009 - ORIENTAL BHARAT LAGHU UDYAM SURAKSHA POLICY"/>
    <m/>
    <n v="70615.98"/>
    <n v="5.0002846381229862"/>
    <n v="529.6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4"/>
    <s v="253200/11/2024/8"/>
    <m/>
    <s v=" M/S UJVN Ltd"/>
    <m/>
    <m/>
    <s v="FIR-PRD-002 - FIRE - LOSS OF PROFIT"/>
    <m/>
    <n v="5099"/>
    <n v="11.492449499901941"/>
    <n v="87.899999999999991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5"/>
    <s v="253200/11/2024/9"/>
    <m/>
    <s v=" M/S UJVN Ltd"/>
    <m/>
    <m/>
    <s v="FIR-PRD-009 - ORIENTAL BHARAT LAGHU UDYAM SURAKSHA POLICY"/>
    <m/>
    <n v="278867.37"/>
    <n v="11.499731933499428"/>
    <n v="4810.349999999999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6"/>
    <s v="253200/11/2024/9"/>
    <m/>
    <s v=" M/S UJVN Ltd"/>
    <m/>
    <m/>
    <s v="FIR-PRD-009 - ORIENTAL BHARAT LAGHU UDYAM SURAKSHA POLICY"/>
    <m/>
    <n v="58843.63"/>
    <n v="4.9996915553986048"/>
    <n v="441.3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7"/>
    <s v="253200/31/2024/213"/>
    <m/>
    <s v=" M/S UJVN Ltd"/>
    <m/>
    <m/>
    <s v="MOT-PRD-001 - PRIVATE CAR"/>
    <m/>
    <n v="8347"/>
    <n v="2.4919132622499101"/>
    <n v="31.2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8"/>
    <s v="253200/31/2024/213"/>
    <m/>
    <s v=" M/S UJVN Ltd"/>
    <m/>
    <m/>
    <s v="MOT-PRD-001 - PRIVATE CAR"/>
    <m/>
    <n v="466"/>
    <n v="15.02145922746781"/>
    <n v="10.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89"/>
    <s v="253200/31/2024/229"/>
    <m/>
    <s v=" M/S UJVN Ltd"/>
    <m/>
    <m/>
    <s v="MOT-PRD-001 - PRIVATE CAR"/>
    <m/>
    <n v="1024"/>
    <n v="15.0390625"/>
    <n v="23.099999999999998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0"/>
    <s v="253200/31/2024/229"/>
    <m/>
    <s v=" M/S UJVN Ltd"/>
    <m/>
    <m/>
    <s v="MOT-PRD-001 - PRIVATE CAR"/>
    <m/>
    <n v="8547"/>
    <n v="2.4921024921024921"/>
    <n v="31.9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1"/>
    <s v="253200/31/2024/230"/>
    <m/>
    <s v=" M/S UJVN Ltd"/>
    <m/>
    <m/>
    <s v="MOT-PRD-001 - PRIVATE CAR"/>
    <m/>
    <n v="524"/>
    <n v="15.076335877862595"/>
    <n v="11.8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2"/>
    <s v="253200/31/2024/230"/>
    <m/>
    <s v=" M/S UJVN Ltd"/>
    <m/>
    <m/>
    <s v="MOT-PRD-001 - PRIVATE CAR"/>
    <m/>
    <n v="8547"/>
    <n v="2.4921024921024921"/>
    <n v="31.9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3"/>
    <s v="253200/31/2024/231"/>
    <m/>
    <s v=" M/S UJVN Ltd"/>
    <m/>
    <m/>
    <s v="MOT-PRD-005 - PCCV"/>
    <m/>
    <n v="578"/>
    <n v="15.051903114186851"/>
    <n v="13.049999999999999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4"/>
    <s v="253200/31/2024/231"/>
    <m/>
    <s v=" M/S UJVN Ltd"/>
    <m/>
    <m/>
    <s v="MOT-PRD-005 - PCCV"/>
    <m/>
    <n v="37195"/>
    <n v="2.5003360666756285"/>
    <n v="139.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5"/>
    <s v="253200/31/2024/232"/>
    <m/>
    <s v=" M/S UJVN Ltd"/>
    <m/>
    <m/>
    <s v="MOT-PRD-001 - PRIVATE CAR"/>
    <m/>
    <n v="417"/>
    <n v="14.86810551558753"/>
    <n v="9.2999999999999989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6"/>
    <s v="253200/31/2024/232"/>
    <m/>
    <s v=" M/S UJVN Ltd"/>
    <m/>
    <m/>
    <s v="MOT-PRD-001 - PRIVATE CAR"/>
    <m/>
    <n v="8547"/>
    <n v="2.4921024921024921"/>
    <n v="31.9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7"/>
    <s v="253200/31/2024/233"/>
    <m/>
    <s v=" M/S UJVN Ltd"/>
    <m/>
    <m/>
    <s v="MOT-PRD-001 - PRIVATE CAR"/>
    <m/>
    <n v="8347"/>
    <n v="2.4919132622499101"/>
    <n v="31.2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8"/>
    <s v="253200/31/2024/233"/>
    <m/>
    <s v=" M/S UJVN Ltd"/>
    <m/>
    <m/>
    <s v="MOT-PRD-001 - PRIVATE CAR"/>
    <m/>
    <n v="582"/>
    <n v="14.948453608247421"/>
    <n v="13.049999999999999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899"/>
    <s v="253200/31/2024/239"/>
    <m/>
    <s v=" M/S UJVN Ltd"/>
    <m/>
    <m/>
    <s v="MOT-PRD-001 - PRIVATE CAR"/>
    <m/>
    <n v="524"/>
    <n v="15.076335877862595"/>
    <n v="11.8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0"/>
    <s v="253200/31/2024/239"/>
    <m/>
    <s v=" M/S UJVN Ltd"/>
    <m/>
    <m/>
    <s v="MOT-PRD-001 - PRIVATE CAR"/>
    <m/>
    <n v="8547"/>
    <n v="2.4921024921024921"/>
    <n v="31.9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1"/>
    <s v="253200/31/2024/240"/>
    <m/>
    <s v=" M/S UJVN Ltd"/>
    <m/>
    <m/>
    <s v="MOT-PRD-001 - PRIVATE CAR"/>
    <m/>
    <n v="8547"/>
    <n v="2.4921024921024921"/>
    <n v="31.9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2"/>
    <s v="253200/31/2024/240"/>
    <m/>
    <s v=" M/S UJVN Ltd"/>
    <m/>
    <m/>
    <s v="MOT-PRD-001 - PRIVATE CAR"/>
    <m/>
    <n v="417"/>
    <n v="14.86810551558753"/>
    <n v="9.2999999999999989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3"/>
    <s v="253200/48/2024/12"/>
    <m/>
    <s v=" M/S UJVN Ltd"/>
    <m/>
    <m/>
    <s v="MIST-PRD-751 - BURGLARY"/>
    <m/>
    <n v="6649"/>
    <n v="12.498120018047828"/>
    <n v="124.64999999999999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4"/>
    <s v="253200/48/2024/13"/>
    <m/>
    <s v=" M/S UJVN Ltd"/>
    <m/>
    <m/>
    <s v="MIST-PRD-751 - BURGLARY"/>
    <m/>
    <n v="6875"/>
    <n v="12.494545454545454"/>
    <n v="128.8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5"/>
    <s v="253200/48/2024/14"/>
    <m/>
    <s v=" M/S UJVN Ltd"/>
    <m/>
    <m/>
    <s v="MIST-PRD-753 - BURGLARY FLOATER"/>
    <m/>
    <n v="10749"/>
    <n v="12.503488696622941"/>
    <n v="201.6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6"/>
    <s v="253200/48/2024/15"/>
    <m/>
    <s v=" M/S UJVN Ltd"/>
    <m/>
    <m/>
    <s v="MIST-PRD-751 - BURGLARY"/>
    <m/>
    <n v="3637"/>
    <n v="12.510310695628267"/>
    <n v="68.2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7"/>
    <s v="253200/48/2024/16"/>
    <m/>
    <s v=" M/S UJVN Ltd"/>
    <m/>
    <m/>
    <s v="MIST-PRD-052 - MONEY INSURANCE"/>
    <m/>
    <n v="9000"/>
    <n v="12.5"/>
    <n v="168.7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8"/>
    <s v="253200/48/2024/17"/>
    <m/>
    <s v=" M/S UJVN Ltd"/>
    <m/>
    <m/>
    <s v="MIST-PRD-031 - PUBLIC LIABILITY INDUSTRIAL"/>
    <m/>
    <n v="137999"/>
    <n v="12.500090580366525"/>
    <n v="2587.5"/>
    <s v="Delhi"/>
    <s v="NE"/>
    <s v="NE"/>
    <m/>
    <s v="NA"/>
    <s v="NA"/>
    <x v="39"/>
    <n v="1018"/>
    <s v="Ravikant"/>
    <m/>
    <m/>
    <m/>
    <m/>
    <m/>
  </r>
  <r>
    <x v="0"/>
    <s v="Apr'23_253200_Additional"/>
    <m/>
    <m/>
    <s v="OIC/23-24/1909"/>
    <s v="253200/48/2024/18"/>
    <m/>
    <s v=" M/S UJVN Ltd"/>
    <m/>
    <m/>
    <s v="MIST-PRD-044 - DIRECTORS and OFFICERS LIABILITY"/>
    <m/>
    <n v="8694"/>
    <n v="12.502875546353808"/>
    <n v="163.04999999999998"/>
    <s v="Delhi"/>
    <s v="NE"/>
    <s v="NE"/>
    <m/>
    <s v="NA"/>
    <s v="NA"/>
    <x v="39"/>
    <n v="1018"/>
    <s v="Ravikant"/>
    <m/>
    <m/>
    <m/>
    <m/>
    <m/>
  </r>
  <r>
    <x v="1"/>
    <m/>
    <n v="212203"/>
    <s v="CBO 13 N-34 C.PLACE"/>
    <s v="OIC/23-24/411"/>
    <s v="212203/31/2024/401"/>
    <n v="0"/>
    <s v="COMMISSIONER OF POLICE"/>
    <d v="2023-05-20T00:00:00"/>
    <d v="2024-05-19T00:00:00"/>
    <s v="MOT-PRD-015"/>
    <s v="STANDALONE OWN DAMAGE(OD)-PRIVATE CAR"/>
    <n v="8111"/>
    <n v="14.991986191591666"/>
    <n v="1216"/>
    <s v="Delhi"/>
    <n v="439472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12"/>
    <s v="212203/31/2024/291"/>
    <n v="0"/>
    <s v="ENERGY EFFICIENCY SERVICES LIMITED"/>
    <d v="2023-05-07T00:00:00"/>
    <d v="2024-05-06T00:00:00"/>
    <s v="MOT-PRD-001"/>
    <s v="PRIVATE CAR"/>
    <n v="9268"/>
    <n v="12.26801899007337"/>
    <n v="1137"/>
    <s v="Delhi"/>
    <n v="439303"/>
    <s v="0"/>
    <m/>
    <s v="NA"/>
    <s v="NA"/>
    <x v="40"/>
    <n v="1074"/>
    <s v="Rushi"/>
    <m/>
    <m/>
    <s v="TP brok % need to update in saiba"/>
    <s v="Modification required"/>
    <m/>
  </r>
  <r>
    <x v="1"/>
    <m/>
    <n v="212203"/>
    <s v="CBO 13 N-34 C.PLACE"/>
    <s v="OIC/23-24/413"/>
    <s v="212203/31/2024/270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51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14"/>
    <s v="212203/11/2024/21"/>
    <n v="0"/>
    <s v="QRG ENTERPRISES LTD"/>
    <d v="2023-04-01T00:00:00"/>
    <d v="2024-03-31T00:00:00"/>
    <s v="FIR-PRD-006"/>
    <s v="STANDARD FIRE -- New Tariff"/>
    <n v="1332560"/>
    <n v="11.500045026115146"/>
    <n v="153245"/>
    <s v="Delhi"/>
    <s v="NE"/>
    <s v="NE"/>
    <m/>
    <s v="Rohit Kumar Mendiratta"/>
    <s v="Prince Tayal"/>
    <x v="40"/>
    <n v="1074"/>
    <s v="Rushi"/>
    <m/>
    <m/>
    <m/>
    <s v="NE"/>
    <m/>
  </r>
  <r>
    <x v="1"/>
    <m/>
    <n v="510000"/>
    <s v="CBRO DELHI"/>
    <s v="OIC/23-24/415"/>
    <s v="510000/48/2023/1559"/>
    <n v="2"/>
    <s v="DENTSU NETWORK ADVERTISING PRIVATE LIMITED"/>
    <d v="2023-02-07T00:00:00"/>
    <d v="2023-12-31T00:00:00"/>
    <s v="MIST-PRD-890"/>
    <s v="GROUP MEDICLAIM -TAILORMADE-RISK FLOATER"/>
    <n v="5366"/>
    <n v="5.0000000000000009"/>
    <n v="268.3"/>
    <s v="Delhi"/>
    <n v="430593"/>
    <s v="NE"/>
    <m/>
    <s v="Amit Pandey"/>
    <s v="Niladri Mangal Choudhury"/>
    <x v="41"/>
    <n v="2822"/>
    <s v="Rushi"/>
    <m/>
    <m/>
    <m/>
    <s v="NE"/>
    <m/>
  </r>
  <r>
    <x v="1"/>
    <m/>
    <n v="421300"/>
    <s v="DO 3 BANGALORE"/>
    <s v="OIC/23-24/416"/>
    <s v="421300/48/2024/396"/>
    <n v="0"/>
    <s v="WAFER SPACE SEMICONDUCTOR TECHNOLOGIES PVT. LTD."/>
    <d v="2023-04-17T00:00:00"/>
    <d v="2024-04-16T00:00:00"/>
    <s v="MIST-PRD-890"/>
    <s v="GROUP MEDICLAIM -TAILORMADE-RISK FLOATER"/>
    <n v="1375000"/>
    <n v="7.5"/>
    <n v="103125"/>
    <s v="Bangalore"/>
    <n v="441188"/>
    <n v="0"/>
    <m/>
    <s v="Jaya Chitra.M"/>
    <s v="Deep Shikha"/>
    <x v="42"/>
    <n v="1052"/>
    <s v="Rushi"/>
    <m/>
    <m/>
    <m/>
    <s v="Updation done in saiba"/>
    <m/>
  </r>
  <r>
    <x v="1"/>
    <m/>
    <n v="163900"/>
    <s v="DO 5 PUNE"/>
    <s v="OIC/23-24/417"/>
    <s v="163900/48/2023/2307"/>
    <n v="6"/>
    <s v="AVALARA TECHNOLOGIES PRIVATE LIMITED"/>
    <d v="2022-08-24T00:00:00"/>
    <d v="2023-08-23T00:00:00"/>
    <s v="MIST-PRD-890"/>
    <s v="GROUP MEDICLAIM -TAILORMADE-RISK FLOATER"/>
    <n v="151644"/>
    <n v="7.4999999999999991"/>
    <n v="11373.3"/>
    <s v="Pune"/>
    <n v="404474"/>
    <s v="NE"/>
    <m/>
    <s v="Atul Chordiya"/>
    <s v="Sachin Kumar"/>
    <x v="43"/>
    <n v="1156"/>
    <s v="Rushi"/>
    <m/>
    <m/>
    <m/>
    <s v="NE"/>
    <m/>
  </r>
  <r>
    <x v="1"/>
    <m/>
    <n v="215600"/>
    <s v="DO 4 NEW DELHI"/>
    <s v="OIC/23-24/418"/>
    <s v="215600/48/2024/429"/>
    <n v="0"/>
    <s v="LUMAX ANCILLARY LIMITED"/>
    <d v="2023-04-01T00:00:00"/>
    <d v="2024-03-31T00:00:00"/>
    <s v="MIST-PRD-751"/>
    <s v="BURGLARY"/>
    <n v="3750"/>
    <n v="12.506666666666666"/>
    <n v="469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419"/>
    <s v="215600/44/2024/4"/>
    <n v="0"/>
    <s v="Lumax Industries Ltd."/>
    <d v="2023-04-01T00:00:00"/>
    <d v="2024-03-31T00:00:00"/>
    <s v="ENG-PRD-006"/>
    <s v="ELECTRONIC EQUIPMENT INSURANCE"/>
    <n v="3336"/>
    <n v="11.750599520383693"/>
    <n v="392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420"/>
    <s v="212203/31/2024/326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41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21"/>
    <s v="212203/31/2024/277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58"/>
    <s v="0"/>
    <m/>
    <s v="NA"/>
    <s v="NA"/>
    <x v="40"/>
    <n v="1074"/>
    <s v="Rushi"/>
    <m/>
    <m/>
    <m/>
    <s v="Updation done in saiba"/>
    <m/>
  </r>
  <r>
    <x v="1"/>
    <m/>
    <n v="272200"/>
    <s v="DO 3 NEW DELHI"/>
    <s v="OIC/23-24/422"/>
    <s v="272200/31/2024/234"/>
    <n v="0"/>
    <s v="NEW SWAN AUTOCOMP PRIVATE LTD"/>
    <d v="2023-05-19T00:00:00"/>
    <d v="2024-05-18T00:00:00"/>
    <s v="MOT-PRD-006"/>
    <s v="MISCELANEOUS CLASS D VEHICLES"/>
    <n v="10939"/>
    <n v="4.8267666148642467"/>
    <n v="528"/>
    <s v="Ludhiana"/>
    <n v="434592"/>
    <s v="0"/>
    <m/>
    <s v="Prem Parkash"/>
    <s v="HImanshu Arora"/>
    <x v="45"/>
    <n v="1088"/>
    <s v="Rushi"/>
    <m/>
    <m/>
    <m/>
    <s v="Updation done in saiba"/>
    <m/>
  </r>
  <r>
    <x v="1"/>
    <m/>
    <n v="222104"/>
    <s v="CBO 1 KANPUR"/>
    <s v="OIC/23-24/423"/>
    <s v="222104/48/2023/902"/>
    <n v="4"/>
    <s v="CONSCIENT SPORTS LLP"/>
    <d v="2022-10-29T00:00:00"/>
    <d v="2023-10-28T00:00:00"/>
    <s v="MIST-PRD-890"/>
    <s v="GROUP MEDICLAIM -TAILORMADE-RISK FLOATER"/>
    <n v="27479"/>
    <n v="5"/>
    <n v="1373.95"/>
    <s v="Delhi"/>
    <n v="407879"/>
    <s v="NE"/>
    <m/>
    <s v="Rakesh Kumar Singh"/>
    <s v="Pranav Das Piyush"/>
    <x v="46"/>
    <n v="1091"/>
    <s v="Rushi"/>
    <m/>
    <m/>
    <m/>
    <s v="NE"/>
    <m/>
  </r>
  <r>
    <x v="1"/>
    <m/>
    <n v="212203"/>
    <s v="CBO 13 N-34 C.PLACE"/>
    <s v="OIC/23-24/424"/>
    <s v="212203/31/2024/443"/>
    <n v="0"/>
    <s v="SOUTH DELHI MUNICIPAL CORPORATION"/>
    <d v="2023-05-24T00:00:00"/>
    <d v="2024-05-23T00:00:00"/>
    <s v="MOT-PRD-001"/>
    <s v="PRIVATE CAR"/>
    <n v="3665"/>
    <n v="8.076398362892224"/>
    <n v="296"/>
    <s v="Delhi"/>
    <s v="NE"/>
    <s v="NE"/>
    <m/>
    <s v="Suspense"/>
    <s v="Suspense"/>
    <x v="40"/>
    <n v="1074"/>
    <s v="Rushi"/>
    <m/>
    <m/>
    <m/>
    <s v="NE"/>
    <m/>
  </r>
  <r>
    <x v="1"/>
    <m/>
    <n v="212203"/>
    <s v="CBO 13 N-34 C.PLACE"/>
    <s v="OIC/23-24/425"/>
    <s v="212203/31/2024/446"/>
    <n v="0"/>
    <s v="SOUTH DELHI MUNICIPAL CORPORATION"/>
    <d v="2023-05-24T00:00:00"/>
    <d v="2024-05-23T00:00:00"/>
    <s v="MOT-PRD-001"/>
    <s v="PRIVATE CAR"/>
    <n v="3665"/>
    <n v="8.076398362892224"/>
    <n v="296"/>
    <s v="Delhi"/>
    <s v="NE"/>
    <s v="NE"/>
    <m/>
    <s v="Suspense"/>
    <s v="Suspense"/>
    <x v="40"/>
    <n v="1074"/>
    <s v="Rushi"/>
    <m/>
    <m/>
    <m/>
    <s v="NE"/>
    <m/>
  </r>
  <r>
    <x v="1"/>
    <m/>
    <n v="421700"/>
    <s v="DO VII BANGALORE"/>
    <s v="OIC/23-24/426"/>
    <s v="421700/48/2024/463"/>
    <n v="0"/>
    <s v="UD TRUCKS INDIA PRIVATE LIMITED"/>
    <d v="2023-04-01T00:00:00"/>
    <d v="2024-03-31T00:00:00"/>
    <s v="MIST-PRD-001"/>
    <s v="GPA - NAMED"/>
    <n v="560335"/>
    <n v="7.5021192679379292"/>
    <n v="42037"/>
    <s v="Bangalore"/>
    <n v="440372"/>
    <n v="0"/>
    <m/>
    <s v="Jaya Chitra.M"/>
    <s v="Sandeep Ambaji Navale"/>
    <x v="47"/>
    <n v="1055"/>
    <s v="Rushi"/>
    <m/>
    <m/>
    <s v="Premium Mismatched"/>
    <s v="Modification required"/>
    <m/>
  </r>
  <r>
    <x v="1"/>
    <m/>
    <n v="212203"/>
    <s v="CBO 13 N-34 C.PLACE"/>
    <s v="OIC/23-24/427"/>
    <s v="212203/31/2024/409"/>
    <n v="0"/>
    <s v="THE DIRECTOR ANERT"/>
    <d v="2023-05-21T00:00:00"/>
    <d v="2024-05-20T00:00:00"/>
    <s v="MOT-PRD-015"/>
    <s v="STANDALONE OWN DAMAGE(OD)-PRIVATE CAR"/>
    <n v="8851"/>
    <n v="14.992656197039882"/>
    <n v="1327"/>
    <s v="Delhi"/>
    <n v="439477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428"/>
    <s v="510000/48/2023/1174"/>
    <n v="4"/>
    <s v="TRUEBLUE INDIA LLP"/>
    <d v="2022-11-01T00:00:00"/>
    <d v="2023-10-31T00:00:00"/>
    <s v="MIST-PRD-890"/>
    <s v="GROUP MEDICLAIM -TAILORMADE-RISK FLOATER"/>
    <n v="-114297"/>
    <n v="7.5000043745680118"/>
    <n v="-8572.2800000000007"/>
    <s v="Delhi"/>
    <n v="419473"/>
    <s v="NE"/>
    <m/>
    <s v="Amit Pandey"/>
    <s v="Rakesh Kumar Singh"/>
    <x v="41"/>
    <n v="2822"/>
    <s v="Rushi"/>
    <m/>
    <m/>
    <m/>
    <s v="NE"/>
    <m/>
  </r>
  <r>
    <x v="1"/>
    <m/>
    <n v="215600"/>
    <s v="DO 4 NEW DELHI"/>
    <s v="OIC/23-24/429"/>
    <s v="215600/44/2024/13"/>
    <n v="0"/>
    <s v="LUMAX MANNOH ALLIED TECHNOLOGIES LIMITED"/>
    <d v="2023-04-01T00:00:00"/>
    <d v="2024-03-31T00:00:00"/>
    <s v="ENG-PRD-006"/>
    <s v="ELECTRONIC EQUIPMENT INSURANCE"/>
    <n v="972"/>
    <n v="11.831275720164609"/>
    <n v="115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430"/>
    <s v="215600/48/2024/483"/>
    <n v="0"/>
    <s v="LUMAX CORNAGLIA AUTO TECHNOLOGIES PVT. LTD."/>
    <d v="2023-04-01T00:00:00"/>
    <d v="2024-03-31T00:00:00"/>
    <s v="MIST-PRD-751"/>
    <s v="BURGLARY"/>
    <n v="10000"/>
    <n v="12.5"/>
    <n v="1250"/>
    <s v="Delhi"/>
    <n v="431284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431"/>
    <s v="212203/48/2024/355"/>
    <n v="0"/>
    <s v="HAVELLS INDIA LTD"/>
    <d v="2023-04-01T00:00:00"/>
    <d v="2024-03-31T00:00:00"/>
    <s v="MIST-PRD-751"/>
    <s v="BURGLARY"/>
    <n v="1148"/>
    <n v="16.550522648083621"/>
    <n v="190"/>
    <s v="Delhi"/>
    <s v="NE"/>
    <s v="NE"/>
    <m/>
    <s v="Sumit Gupta"/>
    <s v="Saurabh Gupta"/>
    <x v="40"/>
    <n v="1074"/>
    <s v="Rushi"/>
    <m/>
    <m/>
    <m/>
    <s v="NE"/>
    <m/>
  </r>
  <r>
    <x v="1"/>
    <m/>
    <n v="442600"/>
    <s v="DO  THODUPUZHA"/>
    <s v="OIC/23-24/432"/>
    <s v="442600/48/2024/188"/>
    <n v="0"/>
    <s v="Polyflor India Pvt Ltd"/>
    <d v="2023-06-01T00:00:00"/>
    <d v="2024-05-31T00:00:00"/>
    <s v="MIST-PRD-751"/>
    <s v="BURGLARY"/>
    <n v="5000"/>
    <n v="16.5"/>
    <n v="825"/>
    <s v="Mumbai"/>
    <n v="434307"/>
    <s v="0"/>
    <m/>
    <s v="Inderjit singh Khurana"/>
    <s v="Nikita Jain"/>
    <x v="48"/>
    <n v="1072"/>
    <s v="Rushi"/>
    <m/>
    <m/>
    <m/>
    <s v="Updation done in saiba"/>
    <m/>
  </r>
  <r>
    <x v="1"/>
    <m/>
    <n v="271400"/>
    <s v="NEW DELHI DO 11"/>
    <s v="OIC/23-24/433"/>
    <s v="271400/48/2024/469"/>
    <n v="0"/>
    <s v="SH.NIRMALJIT SINGH"/>
    <d v="2023-05-22T00:00:00"/>
    <d v="2024-05-21T00:00:00"/>
    <s v="MIST-PRD-094"/>
    <s v="ORIENTAL MEDICLAIM INSURANCE POLICY(INDIVIDUAL)"/>
    <n v="9352"/>
    <n v="15.002138579982892"/>
    <n v="1403"/>
    <s v="Delhi"/>
    <n v="438355"/>
    <s v="0"/>
    <m/>
    <s v="Kushal Bhatia"/>
    <s v="Navneet Arora"/>
    <x v="49"/>
    <n v="1078"/>
    <s v="Rushi"/>
    <m/>
    <m/>
    <m/>
    <s v="Updation done in saiba"/>
    <m/>
  </r>
  <r>
    <x v="1"/>
    <m/>
    <n v="215600"/>
    <s v="DO 4 NEW DELHI"/>
    <s v="OIC/23-24/434"/>
    <s v="215600/48/2024/408"/>
    <n v="0"/>
    <s v="LUMAX JOPP ALLIED TECHNOLOGIES PVT LTD"/>
    <d v="2023-04-01T00:00:00"/>
    <d v="2024-03-31T00:00:00"/>
    <s v="MIST-PRD-751"/>
    <s v="BURGLARY"/>
    <n v="1500"/>
    <n v="12.533333333333333"/>
    <n v="188"/>
    <s v="Delhi"/>
    <n v="437677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435"/>
    <s v="215600/48/2023/1309"/>
    <n v="4"/>
    <s v="M/S TIMEX GROUP INDIA LIMITED"/>
    <d v="2022-08-04T00:00:00"/>
    <d v="2023-08-03T00:00:00"/>
    <s v="MIST-PRD-890"/>
    <s v="GROUP MEDICLAIM -TAILORMADE-RISK FLOATER"/>
    <n v="14074"/>
    <n v="6.4999999999999991"/>
    <n v="914.81"/>
    <s v="Delhi"/>
    <n v="397246"/>
    <s v="NE"/>
    <m/>
    <s v="Raju Kumar"/>
    <s v="Sarfuddin Ansari"/>
    <x v="44"/>
    <s v="Revised statement _not woking"/>
    <s v="Rushi"/>
    <m/>
    <m/>
    <m/>
    <s v="Bill ID not Generated"/>
    <m/>
  </r>
  <r>
    <x v="1"/>
    <m/>
    <n v="212203"/>
    <s v="CBO 13 N-34 C.PLACE"/>
    <s v="OIC/23-24/436"/>
    <s v="212203/31/2024/334"/>
    <n v="0"/>
    <s v="UNDER SECRETARY (ADMIN -IV)"/>
    <d v="2023-05-03T00:00:00"/>
    <d v="2024-05-02T00:00:00"/>
    <s v="MOT-PRD-012"/>
    <s v="PRIVATE CAR-(3 Years)"/>
    <n v="18665"/>
    <n v="7.1309938387356011"/>
    <n v="1331"/>
    <s v="Delhi"/>
    <s v="Contra"/>
    <s v="Contra"/>
    <m/>
    <s v="NA"/>
    <s v="NA"/>
    <x v="40"/>
    <n v="1074"/>
    <s v="Rushi"/>
    <m/>
    <m/>
    <m/>
    <s v="Contra"/>
    <m/>
  </r>
  <r>
    <x v="1"/>
    <m/>
    <n v="421100"/>
    <s v="CBU Bangalore"/>
    <s v="OIC/23-24/437"/>
    <s v="421100/48/2023/130"/>
    <n v="20"/>
    <s v="INFOSTRETCH CORPORATION INDIA PRIVATE LIMITED"/>
    <d v="2022-05-01T00:00:00"/>
    <d v="2023-04-30T00:00:00"/>
    <s v="MIST-PRD-890"/>
    <s v="GROUP MEDICLAIM -TAILORMADE-RISK FLOATER"/>
    <n v="-32486"/>
    <n v="5.5"/>
    <n v="-1786.73"/>
    <s v="Pune"/>
    <n v="399428"/>
    <s v="E14"/>
    <m/>
    <s v="Sheetal Gurav"/>
    <s v="Aatish Gaurav"/>
    <x v="50"/>
    <n v="1047"/>
    <s v="Rushi"/>
    <m/>
    <m/>
    <m/>
    <s v="Updation done in saiba"/>
    <m/>
  </r>
  <r>
    <x v="1"/>
    <m/>
    <n v="510000"/>
    <s v="CBRO DELHI"/>
    <s v="OIC/23-24/438"/>
    <s v="510000/48/2023/752"/>
    <n v="15"/>
    <s v="JCB INDIA LTD."/>
    <d v="2022-06-01T00:00:00"/>
    <d v="2023-05-31T00:00:00"/>
    <s v="MIST-PRD-890"/>
    <s v="GROUP MEDICLAIM -TAILORMADE-RISK FLOATER"/>
    <n v="124112"/>
    <n v="0"/>
    <n v="0"/>
    <s v="Pune"/>
    <n v="402796"/>
    <s v="E6"/>
    <m/>
    <s v="Atul Chordiya"/>
    <s v="Amit Rokade"/>
    <x v="41"/>
    <n v="2822"/>
    <s v="Rushi"/>
    <m/>
    <m/>
    <m/>
    <s v="Updation done in saiba"/>
    <m/>
  </r>
  <r>
    <x v="1"/>
    <m/>
    <n v="231202"/>
    <s v="BO PANCHKULA "/>
    <s v="OIC/23-24/439"/>
    <s v="231202/11/2024/67"/>
    <n v="0"/>
    <s v="WUDMASTER VENEERS INDIA PRIVATE LIMITED"/>
    <d v="2023-05-23T00:00:00"/>
    <d v="2024-05-22T00:00:00"/>
    <s v="FIR-PRD-012"/>
    <s v="ORIENTAL INSURANCE - FLEXI BHARAT LAGHU UDYAM SURAKSHA"/>
    <n v="149601"/>
    <n v="11.500591573585739"/>
    <n v="17205"/>
    <s v="Delhi"/>
    <n v="445056"/>
    <n v="0"/>
    <m/>
    <s v="Suspense"/>
    <s v="Suspense"/>
    <x v="51"/>
    <n v="1073"/>
    <s v="Rushi"/>
    <m/>
    <m/>
    <m/>
    <s v="Updation done in saiba"/>
    <m/>
  </r>
  <r>
    <x v="1"/>
    <m/>
    <n v="272200"/>
    <s v="DO 3 NEW DELHI"/>
    <s v="OIC/23-24/440"/>
    <s v="272200/31/2024/221"/>
    <n v="0"/>
    <s v="JCB INDIA LTD"/>
    <d v="2023-05-17T00:00:00"/>
    <d v="2024-05-16T00:00:00"/>
    <s v="MOT-PRD-006"/>
    <s v="MISCELANEOUS CLASS D VEHICLES"/>
    <n v="12981"/>
    <n v="6.5480317386950153"/>
    <n v="850"/>
    <s v="Delhi"/>
    <n v="438638"/>
    <s v="0"/>
    <m/>
    <s v="Tejinder Pal Singh"/>
    <s v="Pushpinder Kaur"/>
    <x v="45"/>
    <n v="1088"/>
    <s v="Rushi"/>
    <m/>
    <m/>
    <m/>
    <s v="Updation done in saiba"/>
    <m/>
  </r>
  <r>
    <x v="1"/>
    <m/>
    <n v="272200"/>
    <s v="DO 3 NEW DELHI"/>
    <s v="OIC/23-24/441"/>
    <s v="272200/31/2024/158"/>
    <n v="0"/>
    <s v="M/S ECOVEX INDUSTRIES"/>
    <d v="2023-05-05T00:00:00"/>
    <d v="2024-05-04T00:00:00"/>
    <s v="MOT-PRD-003"/>
    <s v="GCCV"/>
    <n v="28371"/>
    <n v="2.981918155863382"/>
    <n v="846"/>
    <s v="Ludhiana"/>
    <n v="429810"/>
    <s v="0"/>
    <m/>
    <s v="Prem Parkash"/>
    <s v="HImanshu Arora"/>
    <x v="45"/>
    <n v="1088"/>
    <s v="Rushi"/>
    <m/>
    <m/>
    <m/>
    <s v="Updation done in saiba"/>
    <m/>
  </r>
  <r>
    <x v="1"/>
    <m/>
    <n v="212203"/>
    <s v="CBO 13 N-34 C.PLACE"/>
    <s v="OIC/23-24/442"/>
    <s v="212203/31/2024/439"/>
    <n v="0"/>
    <s v="SOUTH DELHI MUNICIPAL CORPORATION"/>
    <d v="2023-05-24T00:00:00"/>
    <d v="2024-05-23T00:00:00"/>
    <s v="MOT-PRD-001"/>
    <s v="PRIVATE CAR"/>
    <n v="3338"/>
    <n v="7.3996405032953856"/>
    <n v="247"/>
    <s v="Delhi"/>
    <s v="NE"/>
    <s v="NE"/>
    <m/>
    <s v="Suspense"/>
    <s v="Suspense"/>
    <x v="40"/>
    <n v="1074"/>
    <s v="Rushi"/>
    <m/>
    <m/>
    <m/>
    <s v="NE"/>
    <m/>
  </r>
  <r>
    <x v="1"/>
    <m/>
    <n v="423001"/>
    <s v="CBO 13"/>
    <s v="OIC/23-24/443"/>
    <s v="423001/31/2024/346"/>
    <n v="0"/>
    <s v="M/s MAF CLOTHING PRIVATE LIMITED"/>
    <d v="2023-05-05T00:00:00"/>
    <d v="2024-05-04T00:00:00"/>
    <s v="MOT-PRD-003"/>
    <s v="GCCV"/>
    <n v="28314"/>
    <n v="2.9349438440347533"/>
    <n v="831"/>
    <s v="Delhi"/>
    <s v="NE"/>
    <s v="NE"/>
    <m/>
    <s v="Suspense"/>
    <s v="Suspense"/>
    <x v="52"/>
    <n v="1060"/>
    <s v="Rushi"/>
    <m/>
    <m/>
    <m/>
    <s v="NE"/>
    <m/>
  </r>
  <r>
    <x v="1"/>
    <m/>
    <n v="510000"/>
    <s v="CBRO DELHI"/>
    <s v="OIC/23-24/444"/>
    <s v="510000/48/2023/675"/>
    <n v="17"/>
    <s v="JCB INDIA LTD."/>
    <d v="2022-06-01T00:00:00"/>
    <d v="2023-05-31T00:00:00"/>
    <s v="MIST-PRD-890"/>
    <s v="GROUP MEDICLAIM -TAILORMADE-RISK FLOATER"/>
    <n v="59474"/>
    <n v="0"/>
    <n v="0"/>
    <s v="Delhi"/>
    <n v="387255"/>
    <s v="NE"/>
    <m/>
    <s v="Atul Chordiya"/>
    <s v="Amit Rokade"/>
    <x v="41"/>
    <n v="2822"/>
    <s v="Rushi"/>
    <m/>
    <m/>
    <m/>
    <s v="NE"/>
    <m/>
  </r>
  <r>
    <x v="1"/>
    <m/>
    <n v="212203"/>
    <s v="CBO 13 N-34 C.PLACE"/>
    <s v="OIC/23-24/445"/>
    <s v="212203/31/2024/314"/>
    <n v="0"/>
    <s v="THE DIRECTOR ANERT"/>
    <d v="2023-05-11T00:00:00"/>
    <d v="2024-05-10T00:00:00"/>
    <s v="MOT-PRD-015"/>
    <s v="STANDALONE OWN DAMAGE(OD)-PRIVATE CAR"/>
    <n v="8033"/>
    <n v="15.000622432466077"/>
    <n v="1205"/>
    <s v="Delhi"/>
    <n v="439468"/>
    <s v="0"/>
    <m/>
    <s v="NA"/>
    <s v="NA"/>
    <x v="40"/>
    <n v="1074"/>
    <s v="Rushi"/>
    <m/>
    <m/>
    <m/>
    <s v="Updation done in saiba"/>
    <m/>
  </r>
  <r>
    <x v="1"/>
    <m/>
    <n v="421100"/>
    <s v="CBU Bangalore"/>
    <s v="OIC/23-24/446"/>
    <s v="421100/48/2023/132"/>
    <n v="19"/>
    <s v="INFOSTRETCH CORPORATION INDIA PRIVATE LIMITED"/>
    <d v="2022-05-01T00:00:00"/>
    <d v="2023-04-30T00:00:00"/>
    <s v="MIST-PRD-890"/>
    <s v="GROUP MEDICLAIM -TAILORMADE-RISK FLOATER"/>
    <n v="27501"/>
    <n v="5.5000181811570492"/>
    <n v="1512.56"/>
    <s v="Pune"/>
    <n v="399427"/>
    <s v="E12"/>
    <m/>
    <s v="Sheetal Gurav"/>
    <s v="Aatish Gaurav"/>
    <x v="50"/>
    <n v="1047"/>
    <s v="Rushi"/>
    <m/>
    <m/>
    <m/>
    <s v="Updation done in saiba"/>
    <m/>
  </r>
  <r>
    <x v="1"/>
    <m/>
    <n v="212203"/>
    <s v="CBO 13 N-34 C.PLACE"/>
    <s v="OIC/23-24/447"/>
    <s v="212203/48/2024/375"/>
    <n v="0"/>
    <s v="QRG ENTERPRISES LTD"/>
    <d v="2023-04-01T00:00:00"/>
    <d v="2024-03-31T00:00:00"/>
    <s v="MIST-PRD-032"/>
    <s v="PUBLIC LIABILITY NON INDUSTRIAL"/>
    <n v="3000"/>
    <n v="16.5"/>
    <n v="495"/>
    <s v="Delhi"/>
    <s v="NE"/>
    <s v="NE"/>
    <m/>
    <s v="Suspense"/>
    <s v="Suspense"/>
    <x v="40"/>
    <n v="1074"/>
    <s v="Rushi"/>
    <m/>
    <m/>
    <m/>
    <s v="NE"/>
    <m/>
  </r>
  <r>
    <x v="1"/>
    <m/>
    <n v="510000"/>
    <s v="CBRO DELHI"/>
    <s v="OIC/23-24/448"/>
    <s v="510000/48/2024/227"/>
    <n v="0"/>
    <s v="NXP INDIA PRIVATE LIMITED"/>
    <d v="2023-04-01T00:00:00"/>
    <d v="2024-03-31T00:00:00"/>
    <s v="MIST-PRD-890"/>
    <s v="GROUP MEDICLAIM -TAILORMADE-RISK FLOATER"/>
    <n v="1159500"/>
    <n v="7.5000431220353603"/>
    <n v="86963"/>
    <s v="Delhi"/>
    <n v="431707"/>
    <s v="0"/>
    <m/>
    <s v="Sonia Schofield"/>
    <s v="Surender Banga"/>
    <x v="41"/>
    <n v="2822"/>
    <s v="Rushi"/>
    <m/>
    <m/>
    <s v="Premium Mismatched"/>
    <s v="Modification required"/>
    <m/>
  </r>
  <r>
    <x v="1"/>
    <m/>
    <n v="421300"/>
    <s v="DO 3 BANGALORE"/>
    <s v="OIC/23-24/449"/>
    <s v="421300/48/2023/649"/>
    <n v="16"/>
    <s v="MATRIMONY.COM LIMITED"/>
    <d v="2022-06-01T00:00:00"/>
    <d v="2023-05-31T00:00:00"/>
    <s v="MIST-PRD-890"/>
    <s v="GROUP MEDICLAIM -TAILORMADE-RISK FLOATER"/>
    <n v="-14746"/>
    <n v="6"/>
    <n v="-884.76"/>
    <s v="Chennai"/>
    <n v="397318"/>
    <s v="E13"/>
    <m/>
    <s v="Hemalatha Chrisbino"/>
    <s v="Ramesh M"/>
    <x v="42"/>
    <n v="1052"/>
    <s v="Rushi"/>
    <m/>
    <m/>
    <m/>
    <s v="Updation done in saiba"/>
    <m/>
  </r>
  <r>
    <x v="1"/>
    <m/>
    <n v="222105"/>
    <s v="KANPUR DEHAT"/>
    <s v="OIC/23-24/450"/>
    <s v="222105/48/2024/223"/>
    <n v="0"/>
    <s v="HARPREET S UBHI"/>
    <d v="2023-05-03T00:00:00"/>
    <d v="2024-05-02T00:00:00"/>
    <s v="MIST-PRD-943"/>
    <s v="HAPPY FAMILY FLOATER POLICY-2021"/>
    <n v="93168"/>
    <n v="14.999785334020265"/>
    <n v="13975"/>
    <s v="Delhi"/>
    <n v="431671"/>
    <s v="0"/>
    <m/>
    <s v="Kushal Bhatia"/>
    <s v="Navneet Arora"/>
    <x v="53"/>
    <n v="1092"/>
    <s v="Rushi"/>
    <m/>
    <m/>
    <m/>
    <s v="Updation done in saiba"/>
    <m/>
  </r>
  <r>
    <x v="1"/>
    <m/>
    <n v="272200"/>
    <s v="DO 3 NEW DELHI"/>
    <s v="OIC/23-24/451"/>
    <s v="272200/31/2024/255"/>
    <n v="0"/>
    <s v="GULSHAN VIG ."/>
    <d v="2023-05-24T00:00:00"/>
    <d v="2024-05-23T00:00:00"/>
    <s v="MOT-PRD-001"/>
    <s v="PRIVATE CAR"/>
    <n v="6002"/>
    <n v="7.0976341219593468"/>
    <n v="426"/>
    <s v="Ludhiana"/>
    <n v="433535"/>
    <s v="0"/>
    <m/>
    <s v="Prem Parkash"/>
    <s v="HImanshu Arora"/>
    <x v="45"/>
    <n v="1088"/>
    <s v="Rushi"/>
    <m/>
    <m/>
    <m/>
    <s v="Updation done in saiba"/>
    <m/>
  </r>
  <r>
    <x v="1"/>
    <m/>
    <n v="431500"/>
    <s v="DO IV HYDERABAD"/>
    <s v="OIC/23-24/452"/>
    <s v="431500/31/2024/220"/>
    <n v="0"/>
    <s v="LOHIYA EDIBLE OILS PRIVATE LIMITED"/>
    <d v="2023-05-06T00:00:00"/>
    <d v="2024-05-05T00:00:00"/>
    <s v="MOT-PRD-003"/>
    <s v="GCCV"/>
    <n v="28345"/>
    <n v="2.9917092961721643"/>
    <n v="848"/>
    <s v="Hyderabad"/>
    <n v="430264"/>
    <s v="0"/>
    <m/>
    <s v="Rani Sudhakar Ranipeta"/>
    <s v="Mukesh Srivastav"/>
    <x v="54"/>
    <n v="1103"/>
    <s v="Rushi"/>
    <m/>
    <m/>
    <m/>
    <s v="Updation done in saiba"/>
    <m/>
  </r>
  <r>
    <x v="1"/>
    <m/>
    <n v="212203"/>
    <s v="CBO 13 N-34 C.PLACE"/>
    <s v="OIC/23-24/453"/>
    <s v="212203/31/2024/335"/>
    <n v="0"/>
    <s v="UNDER SECRETARY (ADMIN -IV)"/>
    <d v="2023-05-03T00:00:00"/>
    <d v="2024-05-02T00:00:00"/>
    <s v="MOT-PRD-012"/>
    <s v="PRIVATE CAR-(3 Years)"/>
    <n v="18665"/>
    <n v="7.1309938387356011"/>
    <n v="1331"/>
    <s v="Delhi"/>
    <s v="Contra"/>
    <s v="Contra"/>
    <m/>
    <s v="NA"/>
    <s v="NA"/>
    <x v="40"/>
    <n v="1074"/>
    <s v="Rushi"/>
    <m/>
    <m/>
    <m/>
    <s v="Contra"/>
    <m/>
  </r>
  <r>
    <x v="1"/>
    <m/>
    <n v="212203"/>
    <s v="CBO 13 N-34 C.PLACE"/>
    <s v="OIC/23-24/454"/>
    <s v="212203/31/2024/498"/>
    <n v="0"/>
    <s v="THE DIRECTOR ANERT"/>
    <d v="2023-06-01T00:00:00"/>
    <d v="2024-05-31T00:00:00"/>
    <s v="MOT-PRD-015"/>
    <s v="STANDALONE OWN DAMAGE(OD)-PRIVATE CAR"/>
    <n v="8033"/>
    <n v="15.000622432466077"/>
    <n v="1205"/>
    <s v="Delhi"/>
    <n v="439486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55"/>
    <s v="212203/31/2024/500"/>
    <n v="0"/>
    <s v="THE DIRECTOR ANERT"/>
    <d v="2023-06-01T00:00:00"/>
    <d v="2024-05-31T00:00:00"/>
    <s v="MOT-PRD-015"/>
    <s v="STANDALONE OWN DAMAGE(OD)-PRIVATE CAR"/>
    <n v="8033"/>
    <n v="15.000622432466077"/>
    <n v="1205"/>
    <s v="Delhi"/>
    <n v="439488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456"/>
    <s v="510000/48/2023/392"/>
    <n v="11"/>
    <s v="NORTHERN MARINE MANAGEMENT (INDIA) PVT.LTD"/>
    <d v="2022-04-30T00:00:00"/>
    <d v="2023-04-29T00:00:00"/>
    <s v="MIST-PRD-890"/>
    <s v="GROUP MEDICLAIM -TAILORMADE-RISK FLOATER"/>
    <n v="-1286"/>
    <n v="5"/>
    <n v="-64.3"/>
    <s v="Mumbai"/>
    <n v="382317"/>
    <s v="E10"/>
    <m/>
    <s v="Ashita Lotia"/>
    <s v="Arpita R Kochrekar"/>
    <x v="41"/>
    <n v="2822"/>
    <s v="Rushi"/>
    <m/>
    <m/>
    <m/>
    <s v="Updation done in saiba"/>
    <m/>
  </r>
  <r>
    <x v="1"/>
    <m/>
    <n v="212203"/>
    <s v="CBO 13 N-34 C.PLACE"/>
    <s v="OIC/23-24/457"/>
    <s v="212203/31/2024/340"/>
    <n v="0"/>
    <s v="UNDER SECRETARY (ADMIN -IV)"/>
    <d v="2023-05-03T00:00:00"/>
    <d v="2024-05-02T00:00:00"/>
    <s v="MOT-PRD-012"/>
    <s v="PRIVATE CAR-(3 Years)"/>
    <n v="13789"/>
    <n v="8.1586772064689246"/>
    <n v="1125"/>
    <s v="Delhi"/>
    <s v="Contra"/>
    <s v="Contra"/>
    <m/>
    <s v="NA"/>
    <s v="NA"/>
    <x v="40"/>
    <n v="1074"/>
    <s v="Rushi"/>
    <m/>
    <m/>
    <m/>
    <s v="Contra"/>
    <m/>
  </r>
  <r>
    <x v="1"/>
    <m/>
    <n v="212203"/>
    <s v="CBO 13 N-34 C.PLACE"/>
    <s v="OIC/23-24/458"/>
    <s v="212203/31/2024/321"/>
    <n v="0"/>
    <s v="POWER GRID CORPORATION OF NDIA LTD"/>
    <d v="2023-05-03T00:00:00"/>
    <d v="2024-05-02T00:00:00"/>
    <s v="MOT-PRD-012"/>
    <s v="PRIVATE CAR-(3 Years)"/>
    <n v="18665"/>
    <n v="7.1309938387356011"/>
    <n v="1331"/>
    <s v="Delhi"/>
    <n v="439436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59"/>
    <s v="212203/31/2024/279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60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460"/>
    <s v="510000/48/2023/1568"/>
    <n v="2"/>
    <s v="WAT MEDIA PRIVATE LIMITED"/>
    <d v="2023-02-07T00:00:00"/>
    <d v="2023-12-31T00:00:00"/>
    <s v="MIST-PRD-890"/>
    <s v="GROUP MEDICLAIM -TAILORMADE-RISK FLOATER"/>
    <n v="-37855"/>
    <n v="5"/>
    <n v="-1892.75"/>
    <s v="Delhi"/>
    <n v="430615"/>
    <s v="NE"/>
    <m/>
    <s v="Amit Pandey"/>
    <s v="Niladri Mangal Choudhury"/>
    <x v="41"/>
    <n v="2822"/>
    <s v="Rushi"/>
    <m/>
    <m/>
    <m/>
    <s v="NE"/>
    <m/>
  </r>
  <r>
    <x v="1"/>
    <m/>
    <n v="212203"/>
    <s v="CBO 13 N-34 C.PLACE"/>
    <s v="OIC/23-24/461"/>
    <s v="212203/31/2024/478"/>
    <n v="0"/>
    <s v="JHARKHAND BIJLI VITRAN NIGAM LTD"/>
    <d v="2023-05-30T00:00:00"/>
    <d v="2024-05-29T00:00:00"/>
    <s v="MOT-PRD-001"/>
    <s v="PRIVATE CAR"/>
    <n v="9231"/>
    <n v="12.25219369515762"/>
    <n v="1131"/>
    <s v="Delhi"/>
    <n v="439311"/>
    <s v="0"/>
    <m/>
    <s v="NA"/>
    <s v="NA"/>
    <x v="40"/>
    <n v="1074"/>
    <s v="Rushi"/>
    <m/>
    <m/>
    <s v="TP brok % need to update in saiba"/>
    <s v="Modification required"/>
    <m/>
  </r>
  <r>
    <x v="1"/>
    <m/>
    <n v="215600"/>
    <s v="DO 4 NEW DELHI"/>
    <s v="OIC/23-24/462"/>
    <s v="215600/11/2024/64"/>
    <n v="0"/>
    <s v="M/S LUMAX MANNOH ALLIED TECHNOLOGIES LTD."/>
    <d v="2023-04-01T00:00:00"/>
    <d v="2024-03-31T00:00:00"/>
    <s v="FIR-PRD-006"/>
    <s v="STANDARD FIRE -- New Tariff"/>
    <n v="733692"/>
    <n v="11.499920947754644"/>
    <n v="84374"/>
    <s v="Delhi"/>
    <n v="429071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163900"/>
    <s v="DO 5 PUNE"/>
    <s v="OIC/23-24/463"/>
    <s v="163900/48/2024/434"/>
    <n v="0"/>
    <s v="M/S INDERDEEP CONSTRUCTION CO. &amp; NATIONAL HIGHWAYS AUTHORITY OF INDIA"/>
    <d v="2023-05-02T00:00:00"/>
    <d v="2024-05-01T00:00:00"/>
    <s v="MIST-PRD-049"/>
    <s v="SPECIAL CONTINGENCY - POLICY"/>
    <n v="43210"/>
    <n v="12.501735709326544"/>
    <n v="5402"/>
    <s v="Mumbai"/>
    <n v="438138"/>
    <s v="0"/>
    <m/>
    <s v="Susmeet Kaur"/>
    <s v="Rahul Singh"/>
    <x v="43"/>
    <n v="1156"/>
    <s v="Rushi"/>
    <m/>
    <m/>
    <m/>
    <s v="Updation done in saiba"/>
    <m/>
  </r>
  <r>
    <x v="1"/>
    <m/>
    <n v="222104"/>
    <s v="CBO 1 KANPUR"/>
    <s v="OIC/23-24/464"/>
    <s v="222104/48/2023/457"/>
    <n v="12"/>
    <s v="ONESHIELD INDIA PRIVATE LIMITED"/>
    <d v="2022-07-10T00:00:00"/>
    <d v="2023-07-09T00:00:00"/>
    <s v="MIST-PRD-890"/>
    <s v="GROUP MEDICLAIM -TAILORMADE-RISK FLOATER"/>
    <n v="-17898"/>
    <n v="7.5"/>
    <n v="-1342.35"/>
    <s v="Delhi"/>
    <n v="398940"/>
    <s v="NE"/>
    <m/>
    <s v="Abhishek Sharma"/>
    <s v="Ishita Sharma"/>
    <x v="46"/>
    <n v="1091"/>
    <s v="Rushi"/>
    <m/>
    <m/>
    <m/>
    <s v="NE"/>
    <m/>
  </r>
  <r>
    <x v="1"/>
    <m/>
    <n v="222105"/>
    <s v="KANPUR DEHAT"/>
    <s v="OIC/23-24/465"/>
    <s v="222105/48/2024/165"/>
    <n v="0"/>
    <s v="NIKHIL SHARMA"/>
    <d v="2023-05-01T00:00:00"/>
    <d v="2024-04-30T00:00:00"/>
    <s v="MIST-PRD-943"/>
    <s v="HAPPY FAMILY FLOATER POLICY-2021"/>
    <n v="81826"/>
    <n v="15.000122210544326"/>
    <n v="12274"/>
    <s v="Delhi"/>
    <n v="432667"/>
    <s v="0"/>
    <m/>
    <s v="Kushal Bhatia"/>
    <s v="Ankit Kumar Gangwar"/>
    <x v="53"/>
    <n v="1092"/>
    <s v="Rushi"/>
    <m/>
    <m/>
    <m/>
    <s v="Updation done in saiba"/>
    <m/>
  </r>
  <r>
    <x v="1"/>
    <m/>
    <n v="215600"/>
    <s v="DO 4 NEW DELHI"/>
    <s v="OIC/23-24/466"/>
    <s v="215600/11/2024/48"/>
    <n v="0"/>
    <s v="Lumax Ancillary Ltd"/>
    <d v="2023-04-01T00:00:00"/>
    <d v="2024-03-31T00:00:00"/>
    <s v="FIR-PRD-011"/>
    <s v="ORIENTAL INSURANCE - FLEXI BHARAT GRIHA RAKSHA"/>
    <n v="13400"/>
    <n v="11.507462686567164"/>
    <n v="1542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421300"/>
    <s v="DO 3 BANGALORE"/>
    <s v="OIC/23-24/467"/>
    <s v="421300/48/2023/1317"/>
    <n v="4"/>
    <s v="CREATIVE SYNERGIES CONSULTING INDIA PVT LTD"/>
    <d v="2023-02-07T00:00:00"/>
    <d v="2024-02-06T00:00:00"/>
    <s v="MIST-PRD-001"/>
    <s v="GPA - NAMED"/>
    <n v="962"/>
    <n v="7.4844074844074848"/>
    <n v="72"/>
    <s v="Bangalore"/>
    <n v="418819"/>
    <s v="E1"/>
    <m/>
    <s v="Jaya Chitra.M"/>
    <s v="Aiyappa Parivaranayaka Mahadeva"/>
    <x v="42"/>
    <n v="1052"/>
    <s v="Rushi"/>
    <m/>
    <m/>
    <m/>
    <s v="Updation done in saiba"/>
    <m/>
  </r>
  <r>
    <x v="1"/>
    <m/>
    <n v="212203"/>
    <s v="CBO 13 N-34 C.PLACE"/>
    <s v="OIC/23-24/468"/>
    <s v="212203/31/2024/397"/>
    <n v="0"/>
    <s v="GARDENREACH SHIPBUILDERS &amp; ENGG LTD"/>
    <d v="2023-05-19T00:00:00"/>
    <d v="2024-05-18T00:00:00"/>
    <s v="MOT-PRD-015"/>
    <s v="STANDALONE OWN DAMAGE(OD)-PRIVATE CAR"/>
    <n v="5726"/>
    <n v="15.00174641983933"/>
    <n v="859"/>
    <s v="Delhi"/>
    <n v="439471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69"/>
    <s v="212203/31/2024/336"/>
    <n v="0"/>
    <s v="UNDER SECRETARY (ADMIN -IV)"/>
    <d v="2023-05-03T00:00:00"/>
    <d v="2024-05-02T00:00:00"/>
    <s v="MOT-PRD-012"/>
    <s v="PRIVATE CAR-(3 Years)"/>
    <n v="18665"/>
    <n v="7.1309938387356011"/>
    <n v="1331"/>
    <s v="Delhi"/>
    <s v="Contra"/>
    <s v="Contra"/>
    <m/>
    <s v="NA"/>
    <s v="NA"/>
    <x v="40"/>
    <n v="1074"/>
    <s v="Rushi"/>
    <m/>
    <m/>
    <m/>
    <s v="Contra"/>
    <m/>
  </r>
  <r>
    <x v="1"/>
    <m/>
    <n v="212203"/>
    <s v="CBO 13 N-34 C.PLACE"/>
    <s v="OIC/23-24/470"/>
    <s v="212203/31/2024/298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4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71"/>
    <s v="212203/31/2024/333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48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72"/>
    <s v="212203/31/2024/272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53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73"/>
    <s v="212203/11/2024/20"/>
    <n v="0"/>
    <s v="QRG FOUNDATION"/>
    <d v="2023-04-01T00:00:00"/>
    <d v="2024-03-31T00:00:00"/>
    <s v="FIR-PRD-009"/>
    <s v="ORIENTAL BHARAT LAGHU UDYAM SURAKSHA POLICY"/>
    <n v="97500"/>
    <n v="10.001025641025642"/>
    <n v="9751"/>
    <s v="Delhi"/>
    <s v="NE"/>
    <s v="NE"/>
    <m/>
    <s v="Suspense"/>
    <s v="Suspense"/>
    <x v="40"/>
    <n v="1074"/>
    <s v="Rushi"/>
    <m/>
    <m/>
    <m/>
    <s v="NE"/>
    <m/>
  </r>
  <r>
    <x v="1"/>
    <m/>
    <n v="431500"/>
    <s v="DO IV HYDERABAD"/>
    <s v="OIC/23-24/474"/>
    <s v="431500/48/2024/649"/>
    <n v="0"/>
    <s v="SILABS INDIA PRIVATE LIMITED"/>
    <d v="2023-04-29T00:00:00"/>
    <d v="2024-04-28T00:00:00"/>
    <s v="MIST-PRD-890"/>
    <s v="GROUP MEDICLAIM -TAILORMADE-RISK FLOATER"/>
    <n v="9000000"/>
    <n v="7.5"/>
    <n v="675000"/>
    <s v="Hyderabad"/>
    <n v="429580"/>
    <s v="0"/>
    <m/>
    <s v="Rani Sudhakar Ranipeta"/>
    <s v="Prasanna Vadhana"/>
    <x v="54"/>
    <n v="1103"/>
    <s v="Rushi"/>
    <m/>
    <m/>
    <s v="Premium Mismatched"/>
    <s v="Modification"/>
    <m/>
  </r>
  <r>
    <x v="1"/>
    <m/>
    <n v="510000"/>
    <s v="CBRO DELHI"/>
    <s v="OIC/23-24/475"/>
    <s v="510000/48/2024/202"/>
    <n v="1"/>
    <s v="NXP INDIA PRIVATE LIMITED"/>
    <d v="2023-04-01T00:00:00"/>
    <d v="2024-03-31T00:00:00"/>
    <s v="MIST-PRD-890"/>
    <s v="GROUP MEDICLAIM -TAILORMADE-RISK FLOATER"/>
    <n v="471419"/>
    <n v="2"/>
    <n v="9428.3799999999992"/>
    <s v="Delhi"/>
    <n v="427740"/>
    <s v="E1"/>
    <m/>
    <s v="Sonia Schofield"/>
    <s v="Surender Banga"/>
    <x v="41"/>
    <n v="2822"/>
    <s v="Rushi"/>
    <m/>
    <m/>
    <m/>
    <s v="Updation done in saiba"/>
    <m/>
  </r>
  <r>
    <x v="1"/>
    <m/>
    <n v="215600"/>
    <s v="DO 4 NEW DELHI"/>
    <s v="OIC/23-24/476"/>
    <s v="215600/44/2024/18"/>
    <n v="0"/>
    <s v="LUMAX ANCILLARY LIMITED"/>
    <d v="2023-04-01T00:00:00"/>
    <d v="2024-03-31T00:00:00"/>
    <s v="ENG-PRD-004"/>
    <s v="MACHINERY BREAKDOWN INSURANCE"/>
    <n v="999"/>
    <n v="12.512512512512512"/>
    <n v="125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22104"/>
    <s v="CBO 1 KANPUR"/>
    <s v="OIC/23-24/477"/>
    <s v="222104/48/2023/926"/>
    <n v="6"/>
    <s v="CONSCIENT INFRASTRUCTURE PRIVATE LIMITED"/>
    <d v="2022-11-03T00:00:00"/>
    <d v="2023-11-02T00:00:00"/>
    <s v="MIST-PRD-890"/>
    <s v="GROUP MEDICLAIM -TAILORMADE-RISK FLOATER"/>
    <n v="19593"/>
    <n v="5"/>
    <n v="979.65"/>
    <s v="Delhi"/>
    <n v="407875"/>
    <s v="NE"/>
    <m/>
    <s v="Rakesh Kumar Singh"/>
    <s v="Pranav Das Piyush"/>
    <x v="46"/>
    <n v="1091"/>
    <s v="Rushi"/>
    <m/>
    <m/>
    <m/>
    <s v="NE"/>
    <m/>
  </r>
  <r>
    <x v="1"/>
    <m/>
    <n v="212203"/>
    <s v="CBO 13 N-34 C.PLACE"/>
    <s v="OIC/23-24/478"/>
    <s v="212203/31/2024/440"/>
    <n v="0"/>
    <s v="SOUTH DELHI MUNICIPAL CORPORATION"/>
    <d v="2023-05-24T00:00:00"/>
    <d v="2024-05-23T00:00:00"/>
    <s v="MOT-PRD-001"/>
    <s v="PRIVATE CAR"/>
    <n v="8608"/>
    <n v="12.058550185873607"/>
    <n v="1038"/>
    <s v="Delhi"/>
    <s v="NE"/>
    <s v="NE"/>
    <m/>
    <s v="Suspense"/>
    <s v="Suspense"/>
    <x v="40"/>
    <n v="1074"/>
    <s v="Rushi"/>
    <m/>
    <m/>
    <m/>
    <s v="NE"/>
    <m/>
  </r>
  <r>
    <x v="1"/>
    <m/>
    <n v="212203"/>
    <s v="CBO 13 N-34 C.PLACE"/>
    <s v="OIC/23-24/479"/>
    <s v="212203/31/2024/410"/>
    <n v="0"/>
    <s v="THE DIRECTOR ANERT"/>
    <d v="2023-05-21T00:00:00"/>
    <d v="2024-05-20T00:00:00"/>
    <s v="MOT-PRD-015"/>
    <s v="STANDALONE OWN DAMAGE(OD)-PRIVATE CAR"/>
    <n v="9589"/>
    <n v="14.996349984357076"/>
    <n v="1438"/>
    <s v="Delhi"/>
    <n v="439478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480"/>
    <s v="212203/31/2024/343"/>
    <n v="1"/>
    <s v="UNDER SECRETARY (ADMIN -IV)"/>
    <d v="2023-05-03T00:00:00"/>
    <d v="2023-05-15T00:00:00"/>
    <s v="MOT-PRD-012"/>
    <s v="PRIVATE CAR-(3 Years)"/>
    <n v="-13789"/>
    <n v="8.1586772064689246"/>
    <n v="-1125"/>
    <s v="Delhi"/>
    <s v="Contra"/>
    <s v="Contra"/>
    <m/>
    <s v="NA"/>
    <s v="NA"/>
    <x v="40"/>
    <n v="1074"/>
    <s v="Rushi"/>
    <m/>
    <m/>
    <m/>
    <s v="Contra"/>
    <m/>
  </r>
  <r>
    <x v="1"/>
    <m/>
    <n v="421100"/>
    <s v="CBU Bangalore"/>
    <s v="OIC/23-24/481"/>
    <s v="421100/48/2024/142"/>
    <n v="0"/>
    <s v="PRECISION PRECAST SOLUTIONS PRIVATE LIMITED"/>
    <d v="2023-05-01T00:00:00"/>
    <d v="2024-04-30T00:00:00"/>
    <s v="MIST-PRD-890"/>
    <s v="GROUP MEDICLAIM -TAILORMADE-RISK FLOATER"/>
    <n v="1257311"/>
    <n v="7.499974151184551"/>
    <n v="94298"/>
    <s v="Pune"/>
    <n v="431895"/>
    <s v="0"/>
    <m/>
    <s v="Shraddha Verma"/>
    <s v="Sanket Surve"/>
    <x v="50"/>
    <n v="1047"/>
    <s v="Rushi"/>
    <m/>
    <m/>
    <m/>
    <s v="Updation done in saiba"/>
    <m/>
  </r>
  <r>
    <x v="1"/>
    <m/>
    <n v="212203"/>
    <s v="CBO 13 N-34 C.PLACE"/>
    <s v="OIC/23-24/482"/>
    <s v="212203/31/2024/328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43"/>
    <s v="0"/>
    <m/>
    <s v="NA"/>
    <s v="NA"/>
    <x v="40"/>
    <n v="1074"/>
    <s v="Rushi"/>
    <m/>
    <m/>
    <m/>
    <s v="Updation done in saiba"/>
    <m/>
  </r>
  <r>
    <x v="1"/>
    <m/>
    <n v="431500"/>
    <s v="DO IV HYDERABAD"/>
    <s v="OIC/23-24/483"/>
    <s v="431500/31/2024/495"/>
    <n v="0"/>
    <s v="LOHIYA EDIBLE OILS PRIVATE LIMITED"/>
    <d v="2023-05-26T00:00:00"/>
    <d v="2024-05-25T00:00:00"/>
    <s v="MOT-PRD-015"/>
    <s v="STANDALONE OWN DAMAGE(OD)-PRIVATE CAR"/>
    <n v="238383"/>
    <n v="14.999811228149659"/>
    <n v="35757"/>
    <s v="Hyderabad"/>
    <n v="434388"/>
    <s v="0"/>
    <m/>
    <s v="Rani Sudhakar Ranipeta"/>
    <s v="Mukesh Srivastav"/>
    <x v="54"/>
    <n v="1103"/>
    <s v="Rushi"/>
    <m/>
    <m/>
    <m/>
    <s v="Updation done in saiba"/>
    <m/>
  </r>
  <r>
    <x v="1"/>
    <m/>
    <n v="212203"/>
    <s v="CBO 13 N-34 C.PLACE"/>
    <s v="OIC/23-24/484"/>
    <s v="212203/31/2024/497"/>
    <n v="0"/>
    <s v="THE DIRECTOR ANERT"/>
    <d v="2023-06-01T00:00:00"/>
    <d v="2024-05-31T00:00:00"/>
    <s v="MOT-PRD-015"/>
    <s v="STANDALONE OWN DAMAGE(OD)-PRIVATE CAR"/>
    <n v="8708"/>
    <n v="14.997703261368857"/>
    <n v="1306"/>
    <s v="Delhi"/>
    <n v="439485"/>
    <s v="0"/>
    <m/>
    <s v="NA"/>
    <s v="NA"/>
    <x v="40"/>
    <n v="1074"/>
    <s v="Rushi"/>
    <m/>
    <m/>
    <m/>
    <s v="Updation done in saiba"/>
    <m/>
  </r>
  <r>
    <x v="1"/>
    <m/>
    <n v="421100"/>
    <s v="CBU Bangalore"/>
    <s v="OIC/23-24/485"/>
    <s v="421100/48/2023/132"/>
    <n v="20"/>
    <s v="INFOSTRETCH CORPORATION INDIA PRIVATE LIMITED"/>
    <d v="2022-05-01T00:00:00"/>
    <d v="2023-04-30T00:00:00"/>
    <s v="MIST-PRD-890"/>
    <s v="GROUP MEDICLAIM -TAILORMADE-RISK FLOATER"/>
    <n v="23416"/>
    <n v="5.5000000000000009"/>
    <n v="1287.8800000000001"/>
    <s v="Pune"/>
    <n v="399427"/>
    <s v="E11"/>
    <m/>
    <s v="Sheetal Gurav"/>
    <s v="Aatish Gaurav"/>
    <x v="50"/>
    <n v="1047"/>
    <s v="Rushi"/>
    <m/>
    <m/>
    <m/>
    <s v="Updation done in saiba"/>
    <m/>
  </r>
  <r>
    <x v="1"/>
    <m/>
    <n v="212203"/>
    <s v="CBO 13 N-34 C.PLACE"/>
    <s v="OIC/23-24/486"/>
    <s v="212203/31/2024/460"/>
    <n v="0"/>
    <s v="ENERGY EFFICIENCY SER LTD"/>
    <d v="2023-05-26T00:00:00"/>
    <d v="2024-05-25T00:00:00"/>
    <s v="MOT-PRD-001"/>
    <s v="PRIVATE CAR"/>
    <n v="8749"/>
    <n v="11.521316721911075"/>
    <n v="1008"/>
    <s v="Delhi"/>
    <n v="439308"/>
    <s v="0"/>
    <m/>
    <s v="NA"/>
    <s v="NA"/>
    <x v="40"/>
    <n v="1074"/>
    <s v="Rushi"/>
    <m/>
    <m/>
    <m/>
    <s v="Updation done in saiba"/>
    <m/>
  </r>
  <r>
    <x v="1"/>
    <m/>
    <n v="431500"/>
    <s v="DO IV HYDERABAD"/>
    <s v="OIC/23-24/487"/>
    <s v="431500/48/2023/3634"/>
    <n v="6"/>
    <s v="WAVEMAKER INDIA PRIVATE LIMITED"/>
    <d v="2023-03-15T00:00:00"/>
    <d v="2024-03-14T00:00:00"/>
    <s v="MIST-PRD-890"/>
    <s v="GROUP MEDICLAIM -TAILORMADE-RISK FLOATER"/>
    <n v="6811"/>
    <n v="2.5000734106592279"/>
    <n v="170.28"/>
    <s v="Hyderabad"/>
    <n v="424816"/>
    <s v="E5"/>
    <m/>
    <s v="M A Niranjan"/>
    <s v="Manisha Marda"/>
    <x v="54"/>
    <n v="1103"/>
    <s v="Rushi"/>
    <m/>
    <m/>
    <m/>
    <s v="Updation done in saiba"/>
    <m/>
  </r>
  <r>
    <x v="1"/>
    <m/>
    <n v="163900"/>
    <s v="DO 5 PUNE"/>
    <s v="OIC/23-24/488"/>
    <s v="163900/48/2023/2076"/>
    <n v="5"/>
    <s v="CLARION TECHNOLOGIES PVT. LTD."/>
    <d v="2022-08-02T00:00:00"/>
    <d v="2023-08-01T00:00:00"/>
    <s v="MIST-PRD-001"/>
    <s v="GPA - NAMED"/>
    <n v="11638"/>
    <n v="7.5000000000000009"/>
    <n v="872.85"/>
    <s v="Pune"/>
    <s v="NE"/>
    <s v="NE"/>
    <m/>
    <s v="Sheetal Gurav"/>
    <s v="Aatish Gaurav"/>
    <x v="43"/>
    <n v="1156"/>
    <s v="Rushi"/>
    <m/>
    <m/>
    <m/>
    <s v="NE"/>
    <m/>
  </r>
  <r>
    <x v="1"/>
    <m/>
    <n v="124600"/>
    <s v="MCDO 1"/>
    <s v="OIC/23-24/489"/>
    <s v="124600/48/2024/67"/>
    <n v="1"/>
    <s v="VISHAY SEMICONDUCTOR INDIA PRIVATE LIMITED"/>
    <d v="2023-04-01T00:00:00"/>
    <d v="2023-04-01T00:00:00"/>
    <s v="MIST-PRD-001"/>
    <s v="GPA - NAMED"/>
    <n v="-45545"/>
    <n v="7.5046657152266993"/>
    <n v="-3418"/>
    <s v="Pune"/>
    <s v="NE"/>
    <s v="NE"/>
    <m/>
    <s v="Amarjeet Sahu"/>
    <s v="Shahaji Dhage"/>
    <x v="55"/>
    <s v="Invoice not raise, 0 commission"/>
    <s v="Rushi"/>
    <m/>
    <m/>
    <m/>
    <s v="Bill ID not Generated"/>
    <m/>
  </r>
  <r>
    <x v="1"/>
    <m/>
    <n v="510000"/>
    <s v="CBRO DELHI"/>
    <s v="OIC/23-24/490"/>
    <s v="510000/48/2023/835"/>
    <n v="3"/>
    <s v="LADY BAMFORD FOUNDATION"/>
    <d v="2022-08-18T00:00:00"/>
    <d v="2023-08-17T00:00:00"/>
    <s v="MIST-PRD-001"/>
    <s v="GPA - NAMED"/>
    <n v="654"/>
    <n v="7.4923547400611623"/>
    <n v="49"/>
    <s v="Delhi"/>
    <n v="398383"/>
    <s v="NE"/>
    <m/>
    <s v="Sonia Schofield"/>
    <s v="Vikas Saxena"/>
    <x v="41"/>
    <n v="2822"/>
    <s v="Rushi"/>
    <m/>
    <m/>
    <m/>
    <s v="NE"/>
    <m/>
  </r>
  <r>
    <x v="1"/>
    <m/>
    <n v="414890"/>
    <s v="BC  SINGAPERUMAL KOIL"/>
    <s v="OIC/23-24/491"/>
    <s v="414890/31/2024/396"/>
    <n v="0"/>
    <s v="MR.JIMMY JOSEPH"/>
    <d v="2023-06-30T00:00:00"/>
    <d v="2024-06-29T00:00:00"/>
    <s v="MOT-PRD-001"/>
    <s v="PRIVATE CAR"/>
    <n v="5510"/>
    <n v="6.4065335753176038"/>
    <n v="353"/>
    <s v="Chennai"/>
    <n v="437375"/>
    <n v="0"/>
    <m/>
    <s v="Raghunathan S"/>
    <s v="Vinoth Kumar E"/>
    <x v="56"/>
    <n v="1071"/>
    <s v="Rushi"/>
    <m/>
    <m/>
    <m/>
    <s v="NE"/>
    <m/>
  </r>
  <r>
    <x v="1"/>
    <m/>
    <n v="112400"/>
    <s v="MRO 1 Aviation Cell"/>
    <s v="OIC/23-24/492"/>
    <s v="112400/43/2024/37"/>
    <n v="0"/>
    <s v="TATA SIA AIRLINES LIMITED (VISTARA)"/>
    <d v="2023-05-04T00:00:00"/>
    <d v="2024-05-03T00:00:00"/>
    <s v="AVI-PRD-027"/>
    <s v="AIRCREW LOSS OF LICENSE - GROUP"/>
    <n v="2640000"/>
    <n v="12.5"/>
    <n v="330000"/>
    <s v="Delhi"/>
    <n v="429866"/>
    <s v="0"/>
    <m/>
    <s v="Vineet Khattar"/>
    <s v="Varun Malik"/>
    <x v="57"/>
    <n v="1140"/>
    <s v="Rushi"/>
    <m/>
    <m/>
    <m/>
    <s v="Updation done in saiba"/>
    <m/>
  </r>
  <r>
    <x v="1"/>
    <m/>
    <n v="222104"/>
    <s v="CBO 1 KANPUR"/>
    <s v="OIC/23-24/493"/>
    <s v="222104/48/2023/926"/>
    <n v="7"/>
    <s v="CONSCIENT INFRASTRUCTURE PRIVATE LIMITED"/>
    <d v="2022-11-03T00:00:00"/>
    <d v="2023-11-02T00:00:00"/>
    <s v="MIST-PRD-890"/>
    <s v="GROUP MEDICLAIM -TAILORMADE-RISK FLOATER"/>
    <n v="-6120"/>
    <n v="5"/>
    <n v="-306"/>
    <s v="Delhi"/>
    <n v="407875"/>
    <s v="NE"/>
    <m/>
    <s v="Rakesh Kumar Singh"/>
    <s v="Pranav Das Piyush"/>
    <x v="46"/>
    <n v="1091"/>
    <s v="Rushi"/>
    <m/>
    <m/>
    <m/>
    <s v="NE"/>
    <m/>
  </r>
  <r>
    <x v="1"/>
    <m/>
    <n v="215600"/>
    <s v="DO 4 NEW DELHI"/>
    <s v="OIC/23-24/494"/>
    <s v="215600/48/2024/427"/>
    <n v="0"/>
    <s v="LUMAX ANCILLARY LIMITED"/>
    <d v="2023-04-01T00:00:00"/>
    <d v="2024-03-31T00:00:00"/>
    <s v="MIST-PRD-751"/>
    <s v="BURGLARY"/>
    <n v="1500"/>
    <n v="12.533333333333333"/>
    <n v="188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495"/>
    <s v="212203/31/2024/411"/>
    <n v="0"/>
    <s v="THE DIRECTOR ANERT"/>
    <d v="2023-05-21T00:00:00"/>
    <d v="2024-05-20T00:00:00"/>
    <s v="MOT-PRD-015"/>
    <s v="STANDALONE OWN DAMAGE(OD)-PRIVATE CAR"/>
    <n v="9589"/>
    <n v="14.996349984357076"/>
    <n v="1438"/>
    <s v="Delhi"/>
    <n v="439479"/>
    <s v="0"/>
    <m/>
    <s v="NA"/>
    <s v="NA"/>
    <x v="40"/>
    <n v="1074"/>
    <s v="Rushi"/>
    <m/>
    <m/>
    <m/>
    <s v="Updation done in saiba"/>
    <m/>
  </r>
  <r>
    <x v="1"/>
    <m/>
    <n v="272300"/>
    <s v="DO 21 NEW DELHI"/>
    <s v="OIC/23-24/496"/>
    <s v="272300/11/2024/36"/>
    <n v="0"/>
    <s v="PARK NON WOVEN PVT LTD"/>
    <d v="2023-05-03T00:00:00"/>
    <d v="2024-05-02T00:00:00"/>
    <s v="FIR-PRD-013"/>
    <s v="ORIENTAL INSURANCE - FLEXI BHARAT SOOKSHMA UDYAM SURAKSHA"/>
    <n v="50505"/>
    <n v="11.501831501831502"/>
    <n v="5809"/>
    <s v="Delhi"/>
    <s v="NE"/>
    <s v="NE"/>
    <m/>
    <s v="Vineet Khattar"/>
    <s v="Rajvansh Gusain"/>
    <x v="58"/>
    <n v="1089"/>
    <s v="Rushi"/>
    <m/>
    <m/>
    <m/>
    <s v="NE"/>
    <m/>
  </r>
  <r>
    <x v="1"/>
    <m/>
    <n v="421100"/>
    <s v="CBU Bangalore"/>
    <s v="OIC/23-24/497"/>
    <s v="421100/48/2023/129"/>
    <n v="17"/>
    <s v="INFOSTRETCH CORPORATION INDIA PRIVATE LIMITED"/>
    <d v="2022-05-01T00:00:00"/>
    <d v="2023-04-30T00:00:00"/>
    <s v="MIST-PRD-890"/>
    <s v="GROUP MEDICLAIM -TAILORMADE-RISK FLOATER"/>
    <n v="14152"/>
    <n v="5.5"/>
    <n v="778.36"/>
    <s v="Pune"/>
    <n v="399583"/>
    <s v="E15"/>
    <m/>
    <s v="Sheetal Gurav"/>
    <s v="Aatish Gaurav"/>
    <x v="50"/>
    <n v="1047"/>
    <s v="Rushi"/>
    <m/>
    <m/>
    <m/>
    <s v="Updation done in saiba"/>
    <m/>
  </r>
  <r>
    <x v="1"/>
    <m/>
    <n v="421300"/>
    <s v="DO 3 BANGALORE"/>
    <s v="OIC/23-24/498"/>
    <s v="421300/48/2023/518"/>
    <n v="15"/>
    <s v="WAFER SPACE SEMICONDUCTOR TECHNOLOGIES PVT. LTD."/>
    <d v="2022-04-17T00:00:00"/>
    <d v="2023-04-16T00:00:00"/>
    <s v="MIST-PRD-890"/>
    <s v="GROUP MEDICLAIM -TAILORMADE-RISK FLOATER"/>
    <n v="545"/>
    <n v="7.522935779816514"/>
    <n v="41"/>
    <s v="Bangalore"/>
    <n v="386404"/>
    <s v="E12"/>
    <m/>
    <s v="Jaya Chitra.M"/>
    <s v="Deep Shikha"/>
    <x v="42"/>
    <n v="1052"/>
    <s v="Rushi"/>
    <m/>
    <m/>
    <m/>
    <s v="Updation done in saiba"/>
    <m/>
  </r>
  <r>
    <x v="1"/>
    <m/>
    <n v="272200"/>
    <s v="DO 3 NEW DELHI"/>
    <s v="OIC/23-24/499"/>
    <s v="272200/31/2024/163"/>
    <n v="0"/>
    <s v="MEDANTA INSTITUTE OF EDUCATION &amp; RESEARCH"/>
    <d v="2023-05-05T00:00:00"/>
    <d v="2024-05-04T00:00:00"/>
    <s v="MOT-PRD-006"/>
    <s v="MISCELANEOUS CLASS D VEHICLES"/>
    <n v="128542"/>
    <n v="14.146349053227738"/>
    <n v="18184"/>
    <s v="Ludhiana"/>
    <n v="430180"/>
    <s v="0"/>
    <m/>
    <s v="Prem Parkash"/>
    <s v="HImanshu Arora"/>
    <x v="45"/>
    <n v="1088"/>
    <s v="Rushi"/>
    <m/>
    <m/>
    <m/>
    <s v="Updation done in saiba"/>
    <m/>
  </r>
  <r>
    <x v="1"/>
    <m/>
    <n v="215600"/>
    <s v="DO 4 NEW DELHI"/>
    <s v="OIC/23-24/500"/>
    <s v="215600/11/2024/40"/>
    <n v="0"/>
    <s v="M/S LUMAX ANCILLARY LIMITED."/>
    <d v="2023-04-01T00:00:00"/>
    <d v="2024-03-31T00:00:00"/>
    <s v="FIR-PRD-013"/>
    <s v="ORIENTAL INSURANCE - FLEXI BHARAT SOOKSHMA UDYAM SURAKSHA"/>
    <n v="53991"/>
    <n v="16.50089829786446"/>
    <n v="8909"/>
    <s v="Delhi"/>
    <n v="429650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431500"/>
    <s v="DO IV HYDERABAD"/>
    <s v="OIC/23-24/501"/>
    <s v="431500/31/2024/222"/>
    <n v="0"/>
    <s v="LOHIYA VEG OILS PRIVATE LIMITED"/>
    <d v="2023-05-04T00:00:00"/>
    <d v="2024-05-03T00:00:00"/>
    <s v="MOT-PRD-003"/>
    <s v="GCCV"/>
    <n v="37862"/>
    <n v="3.2935396967936188"/>
    <n v="1247"/>
    <s v="Hyderabad"/>
    <n v="430277"/>
    <s v="0"/>
    <m/>
    <s v="Rani Sudhakar Ranipeta"/>
    <s v="Mukesh Srivastav"/>
    <x v="54"/>
    <n v="1103"/>
    <s v="Rushi"/>
    <m/>
    <m/>
    <m/>
    <s v="Updation done in saiba"/>
    <m/>
  </r>
  <r>
    <x v="1"/>
    <m/>
    <n v="215600"/>
    <s v="DO 4 NEW DELHI"/>
    <s v="OIC/23-24/502"/>
    <s v="215600/48/2024/525"/>
    <n v="0"/>
    <s v="LUMAX INDUSTRIES LTD"/>
    <d v="2023-05-03T00:00:00"/>
    <d v="2024-05-02T00:00:00"/>
    <s v="MIST-PRD-052"/>
    <s v="MONEY INSURANCE"/>
    <n v="600"/>
    <n v="12.666666666666666"/>
    <n v="76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22105"/>
    <s v="KANPUR DEHAT"/>
    <s v="OIC/23-24/503"/>
    <s v="222105/48/2024/270"/>
    <n v="0"/>
    <s v="T. A. Hari Krishnan"/>
    <d v="2023-05-18T00:00:00"/>
    <d v="2024-05-17T00:00:00"/>
    <s v="MIST-PRD-094"/>
    <s v="ORIENTAL MEDICLAIM INSURANCE POLICY(INDIVIDUAL)"/>
    <n v="31282"/>
    <n v="14.999040982034398"/>
    <n v="4692"/>
    <s v="Mumbai"/>
    <n v="432724"/>
    <s v="0"/>
    <m/>
    <s v="Kushal Bhatia"/>
    <s v="Anju Shukla"/>
    <x v="53"/>
    <n v="1092"/>
    <s v="Rushi"/>
    <m/>
    <m/>
    <m/>
    <s v="Updation done in saiba"/>
    <m/>
  </r>
  <r>
    <x v="1"/>
    <m/>
    <n v="272200"/>
    <s v="DO 3 NEW DELHI"/>
    <s v="OIC/23-24/504"/>
    <s v="272200/31/2024/211"/>
    <n v="0"/>
    <s v="M/S AXIOM CONTROLS LTD"/>
    <d v="2023-05-15T00:00:00"/>
    <d v="2024-05-14T00:00:00"/>
    <s v="MOT-PRD-002"/>
    <s v="MOTORISED-TWO WHEELERS"/>
    <n v="814"/>
    <n v="4.4226044226044223"/>
    <n v="36"/>
    <s v="Ludhiana"/>
    <n v="431825"/>
    <s v="0"/>
    <m/>
    <s v="Prem Parkash"/>
    <s v="HImanshu Arora"/>
    <x v="45"/>
    <n v="1088"/>
    <s v="Rushi"/>
    <m/>
    <m/>
    <m/>
    <s v="Updation done in saiba"/>
    <m/>
  </r>
  <r>
    <x v="1"/>
    <m/>
    <n v="212203"/>
    <s v="CBO 13 N-34 C.PLACE"/>
    <s v="OIC/23-24/505"/>
    <s v="212203/11/2024/32"/>
    <n v="0"/>
    <s v="HAVELLS INDIA LTD"/>
    <d v="2023-04-01T00:00:00"/>
    <d v="2024-03-31T00:00:00"/>
    <s v="FIR-PRD-009"/>
    <s v="ORIENTAL BHARAT LAGHU UDYAM SURAKSHA POLICY"/>
    <n v="1192203"/>
    <n v="10.671840282233813"/>
    <n v="127230"/>
    <s v="Delhi"/>
    <n v="434354"/>
    <s v="0"/>
    <m/>
    <s v="Vineet Khattar"/>
    <s v="Sumit Gupta"/>
    <x v="40"/>
    <n v="1074"/>
    <s v="Rushi"/>
    <m/>
    <m/>
    <m/>
    <s v="Updation done in saiba"/>
    <m/>
  </r>
  <r>
    <x v="1"/>
    <m/>
    <n v="510000"/>
    <s v="CBRO DELHI"/>
    <s v="OIC/23-24/506"/>
    <s v="510000/48/2023/719"/>
    <n v="10"/>
    <s v="JCB INDIA LTD."/>
    <d v="2022-06-01T00:00:00"/>
    <d v="2023-05-31T00:00:00"/>
    <s v="MIST-PRD-001"/>
    <s v="GPA - NAMED"/>
    <n v="-1587"/>
    <n v="7.4984247006931319"/>
    <n v="-119"/>
    <s v="Pune"/>
    <n v="402805"/>
    <s v="NE"/>
    <m/>
    <s v="Atul Chordiya"/>
    <s v="Amit Rokade"/>
    <x v="41"/>
    <n v="2822"/>
    <s v="Rushi"/>
    <m/>
    <m/>
    <m/>
    <s v="NE"/>
    <m/>
  </r>
  <r>
    <x v="1"/>
    <m/>
    <n v="510000"/>
    <s v="CBRO DELHI"/>
    <s v="OIC/23-24/507"/>
    <s v="510000/48/2024/166"/>
    <n v="0"/>
    <s v="M/S MOHAN CLOTHING CO.PVT.LTD"/>
    <d v="2023-04-29T00:00:00"/>
    <d v="2024-04-28T00:00:00"/>
    <s v="MIST-PRD-751"/>
    <s v="BURGLARY"/>
    <n v="9198"/>
    <n v="12.502717982170036"/>
    <n v="1150"/>
    <s v="Delhi"/>
    <n v="431162"/>
    <s v="0"/>
    <m/>
    <s v="Sudhir Soni"/>
    <s v="Hemant Kumar Gupta"/>
    <x v="41"/>
    <n v="2822"/>
    <s v="Rushi"/>
    <m/>
    <m/>
    <s v="Brokerage % need to update"/>
    <s v="Modification required"/>
    <m/>
  </r>
  <r>
    <x v="1"/>
    <m/>
    <n v="212203"/>
    <s v="CBO 13 N-34 C.PLACE"/>
    <s v="OIC/23-24/508"/>
    <s v="212203/31/2024/403"/>
    <n v="0"/>
    <s v="COMMISSIONER OF POLICE"/>
    <d v="2023-05-20T00:00:00"/>
    <d v="2024-05-19T00:00:00"/>
    <s v="MOT-PRD-015"/>
    <s v="STANDALONE OWN DAMAGE(OD)-PRIVATE CAR"/>
    <n v="8111"/>
    <n v="14.991986191591666"/>
    <n v="1216"/>
    <s v="Delhi"/>
    <n v="439474"/>
    <s v="0"/>
    <m/>
    <s v="NA"/>
    <s v="NA"/>
    <x v="40"/>
    <n v="1074"/>
    <s v="Rushi"/>
    <m/>
    <m/>
    <m/>
    <s v="Updation done in saiba"/>
    <m/>
  </r>
  <r>
    <x v="1"/>
    <m/>
    <n v="215600"/>
    <s v="DO 4 NEW DELHI"/>
    <s v="OIC/23-24/509"/>
    <s v="215600/48/2024/382"/>
    <n v="0"/>
    <s v="M/S LUMAX MANNOH ALLIED TECHNOLOGIES LTD."/>
    <d v="2023-04-01T00:00:00"/>
    <d v="2024-03-31T00:00:00"/>
    <s v="MIST-PRD-751"/>
    <s v="BURGLARY"/>
    <n v="900"/>
    <n v="16.555555555555557"/>
    <n v="149"/>
    <s v="Delhi"/>
    <n v="429069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510"/>
    <s v="212203/31/2024/378"/>
    <n v="0"/>
    <s v="ENERGY EFFICIENCY SERVICES LTD"/>
    <d v="2023-05-15T00:00:00"/>
    <d v="2024-05-14T00:00:00"/>
    <s v="MOT-PRD-001"/>
    <s v="PRIVATE CAR"/>
    <n v="9216"/>
    <n v="12.250434027777779"/>
    <n v="1129"/>
    <s v="Delhi"/>
    <n v="439305"/>
    <s v="0"/>
    <m/>
    <s v="NA"/>
    <s v="NA"/>
    <x v="40"/>
    <n v="1074"/>
    <s v="Rushi"/>
    <m/>
    <m/>
    <s v="TP brok % need to update in saiba"/>
    <s v="Modification required"/>
    <m/>
  </r>
  <r>
    <x v="1"/>
    <m/>
    <n v="272300"/>
    <s v="DO 21 NEW DELHI"/>
    <s v="OIC/23-24/511"/>
    <s v="272300/48/2024/307"/>
    <n v="0"/>
    <s v="PARK NON WOVEN PVT LTD"/>
    <d v="2023-05-03T00:00:00"/>
    <d v="2024-05-02T00:00:00"/>
    <s v="MIST-PRD-751"/>
    <s v="BURGLARY"/>
    <n v="336"/>
    <n v="12.5"/>
    <n v="42"/>
    <s v="Delhi"/>
    <s v="NE"/>
    <s v="NE"/>
    <m/>
    <s v="Suspense"/>
    <s v="Suspense"/>
    <x v="58"/>
    <n v="1089"/>
    <s v="Rushi"/>
    <m/>
    <m/>
    <m/>
    <s v="NE"/>
    <m/>
  </r>
  <r>
    <x v="1"/>
    <m/>
    <n v="510000"/>
    <s v="CBRO DELHI"/>
    <s v="OIC/23-24/512"/>
    <s v="510000/48/2023/752"/>
    <n v="14"/>
    <s v="JCB INDIA LTD."/>
    <d v="2022-06-01T00:00:00"/>
    <d v="2023-05-31T00:00:00"/>
    <s v="MIST-PRD-890"/>
    <s v="GROUP MEDICLAIM -TAILORMADE-RISK FLOATER"/>
    <n v="-39180"/>
    <n v="0"/>
    <n v="0"/>
    <s v="Pune"/>
    <n v="402796"/>
    <s v="E7"/>
    <m/>
    <s v="Atul Chordiya"/>
    <s v="Amit Rokade"/>
    <x v="41"/>
    <n v="2822"/>
    <s v="Rushi"/>
    <m/>
    <m/>
    <m/>
    <s v="Updation done in saiba"/>
    <m/>
  </r>
  <r>
    <x v="1"/>
    <m/>
    <n v="510000"/>
    <s v="CBRO DELHI"/>
    <s v="OIC/23-24/513"/>
    <s v="510000/48/2023/1569"/>
    <n v="2"/>
    <s v="DWA MEDIA PRIVATE LIMITED"/>
    <d v="2023-02-07T00:00:00"/>
    <d v="2023-12-31T00:00:00"/>
    <s v="MIST-PRD-890"/>
    <s v="GROUP MEDICLAIM -TAILORMADE-RISK FLOATER"/>
    <n v="-4760"/>
    <n v="5"/>
    <n v="-238"/>
    <s v="Delhi"/>
    <n v="430687"/>
    <s v="NE"/>
    <m/>
    <s v="Amit Pandey"/>
    <s v="Niladri Mangal Choudhury"/>
    <x v="41"/>
    <n v="2822"/>
    <s v="Rushi"/>
    <m/>
    <m/>
    <m/>
    <s v="NE"/>
    <m/>
  </r>
  <r>
    <x v="1"/>
    <m/>
    <n v="421300"/>
    <s v="DO 3 BANGALORE"/>
    <s v="OIC/23-24/514"/>
    <s v="421300/48/2023/1353"/>
    <n v="5"/>
    <s v="CREATIVE SYNERGIES CONSULTING INDIA PVT LTD"/>
    <d v="2022-11-25T00:00:00"/>
    <d v="2023-11-24T00:00:00"/>
    <s v="MIST-PRD-890"/>
    <s v="GROUP MEDICLAIM -TAILORMADE-RISK FLOATER"/>
    <n v="20802"/>
    <n v="4"/>
    <n v="832.08"/>
    <s v="Bangalore"/>
    <n v="430778"/>
    <s v="E2"/>
    <m/>
    <s v="Jaya Chitra.M"/>
    <s v="Aiyappa Parivaranayaka Mahadeva"/>
    <x v="42"/>
    <n v="1052"/>
    <s v="Rushi"/>
    <m/>
    <m/>
    <m/>
    <s v="Updation done in saiba"/>
    <m/>
  </r>
  <r>
    <x v="1"/>
    <m/>
    <n v="233600"/>
    <s v="DO RAJPURA"/>
    <s v="OIC/23-24/515"/>
    <s v="233600/48/2023/1976"/>
    <n v="10"/>
    <s v="HUDL INDIA PRIVATE LIMITED"/>
    <d v="2023-02-25T00:00:00"/>
    <d v="2024-02-24T00:00:00"/>
    <s v="MIST-PRD-010"/>
    <s v="GROUP MEDICLAIM -TAILORMADE"/>
    <n v="1092973"/>
    <n v="8.3037732862568436"/>
    <n v="90758"/>
    <s v="Mumbai"/>
    <n v="421681"/>
    <s v="NE"/>
    <m/>
    <s v="Ashita Lotia"/>
    <s v="Manpreet Kaur Gill"/>
    <x v="59"/>
    <n v="1112"/>
    <s v="Rushi"/>
    <m/>
    <m/>
    <m/>
    <s v="NE"/>
    <m/>
  </r>
  <r>
    <x v="1"/>
    <m/>
    <n v="442600"/>
    <s v="DO  THODUPUZHA"/>
    <s v="OIC/23-24/516"/>
    <s v="442600/11/2024/19"/>
    <n v="0"/>
    <s v="MANASH LIFESTYLE PRIVATE LIMITED"/>
    <d v="2023-05-18T00:00:00"/>
    <d v="2024-05-17T00:00:00"/>
    <s v="FIR-PRD-006"/>
    <s v="STANDARD FIRE -- New Tariff"/>
    <n v="1013340"/>
    <n v="10.614798586851403"/>
    <n v="107564"/>
    <s v="Mumbai"/>
    <s v="NE"/>
    <s v="NE"/>
    <m/>
    <s v="Suspense"/>
    <s v="Suspense"/>
    <x v="48"/>
    <n v="1072"/>
    <s v="Rushi"/>
    <m/>
    <m/>
    <m/>
    <s v="NE"/>
    <m/>
  </r>
  <r>
    <x v="1"/>
    <m/>
    <n v="431500"/>
    <s v="DO IV HYDERABAD"/>
    <s v="OIC/23-24/517"/>
    <s v="431500/31/2024/482"/>
    <n v="0"/>
    <s v="LOHIYA INDUSTRIES"/>
    <d v="2023-05-29T00:00:00"/>
    <d v="2024-05-28T00:00:00"/>
    <s v="MOT-PRD-003"/>
    <s v="GCCV"/>
    <n v="16504"/>
    <n v="2.7690256907416386"/>
    <n v="457"/>
    <s v="Hyderabad"/>
    <n v="433906"/>
    <s v="0"/>
    <m/>
    <s v="Rani Sudhakar Ranipeta"/>
    <s v="Mukesh Srivastav"/>
    <x v="54"/>
    <n v="1103"/>
    <s v="Rushi"/>
    <m/>
    <m/>
    <m/>
    <s v="Updation done in saiba"/>
    <m/>
  </r>
  <r>
    <x v="1"/>
    <m/>
    <n v="431500"/>
    <s v="DO IV HYDERABAD"/>
    <s v="OIC/23-24/518"/>
    <s v="431500/31/2024/483"/>
    <n v="0"/>
    <s v="KISHAN LOHIYA"/>
    <d v="2023-05-25T00:00:00"/>
    <d v="2024-05-24T00:00:00"/>
    <s v="MOT-PRD-003"/>
    <s v="GCCV"/>
    <n v="16744"/>
    <n v="0"/>
    <n v="0"/>
    <s v="Hyderabad"/>
    <n v="435144"/>
    <s v="0"/>
    <m/>
    <s v="Rani Sudhakar Ranipeta"/>
    <s v="Mukesh Srivastav"/>
    <x v="54"/>
    <n v="1103"/>
    <s v="Rushi"/>
    <m/>
    <m/>
    <m/>
    <s v="Updation done in saiba"/>
    <m/>
  </r>
  <r>
    <x v="1"/>
    <m/>
    <n v="212203"/>
    <s v="CBO 13 N-34 C.PLACE"/>
    <s v="OIC/23-24/519"/>
    <s v="212203/31/2024/445"/>
    <n v="0"/>
    <s v="SOUTH DELHI MUNICIPAL CORPORATION"/>
    <d v="2023-05-24T00:00:00"/>
    <d v="2024-05-23T00:00:00"/>
    <s v="MOT-PRD-001"/>
    <s v="PRIVATE CAR"/>
    <n v="3256"/>
    <n v="7.2174447174447174"/>
    <n v="235"/>
    <s v="Delhi"/>
    <s v="NE"/>
    <s v="NE"/>
    <m/>
    <s v="Suspense"/>
    <s v="Suspense"/>
    <x v="40"/>
    <n v="1074"/>
    <s v="Rushi"/>
    <m/>
    <m/>
    <m/>
    <s v="NE"/>
    <m/>
  </r>
  <r>
    <x v="1"/>
    <m/>
    <n v="510000"/>
    <s v="CBRO DELHI"/>
    <s v="OIC/23-24/520"/>
    <s v="510000/48/2024/202"/>
    <n v="0"/>
    <s v="NXP INDIA PRIVATE LIMITED"/>
    <d v="2023-04-01T00:00:00"/>
    <d v="2024-03-31T00:00:00"/>
    <s v="MIST-PRD-890"/>
    <s v="GROUP MEDICLAIM -TAILORMADE-RISK FLOATER"/>
    <n v="5260875"/>
    <n v="2.0000095041224131"/>
    <n v="105218"/>
    <s v="Delhi"/>
    <n v="427740"/>
    <s v="E1"/>
    <m/>
    <s v="Sonia Schofield"/>
    <s v="Surender Banga"/>
    <x v="41"/>
    <n v="2822"/>
    <s v="Rushi"/>
    <m/>
    <m/>
    <s v="Premium Mismatched"/>
    <s v="Modification required"/>
    <m/>
  </r>
  <r>
    <x v="1"/>
    <m/>
    <n v="215600"/>
    <s v="DO 4 NEW DELHI"/>
    <s v="OIC/23-24/521"/>
    <s v="215600/48/2024/410"/>
    <n v="0"/>
    <s v="M/S LUMAX ANCILLARY LIMITED."/>
    <d v="2023-04-01T00:00:00"/>
    <d v="2024-03-31T00:00:00"/>
    <s v="MIST-PRD-052"/>
    <s v="MONEY INSURANCE"/>
    <n v="340"/>
    <n v="12.647058823529411"/>
    <n v="43"/>
    <s v="Delhi"/>
    <n v="429685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522"/>
    <s v="215600/11/2024/36"/>
    <n v="0"/>
    <s v="LUMAX INDUSTRIES LTD"/>
    <d v="2023-05-15T00:00:00"/>
    <d v="2024-05-14T00:00:00"/>
    <s v="FIR-PRD-013"/>
    <s v="ORIENTAL INSURANCE - FLEXI BHARAT SOOKSHMA UDYAM SURAKSHA"/>
    <n v="17520"/>
    <n v="11.506849315068495"/>
    <n v="2016"/>
    <s v="Delhi"/>
    <n v="436788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523"/>
    <s v="212203/31/2024/341"/>
    <n v="1"/>
    <s v="UNDER SECRETARY (ADMIN -IV)"/>
    <d v="2023-05-03T00:00:00"/>
    <d v="2023-05-15T00:00:00"/>
    <s v="MOT-PRD-012"/>
    <s v="PRIVATE CAR-(3 Years)"/>
    <n v="-13789"/>
    <n v="8.1586772064689246"/>
    <n v="-1125"/>
    <s v="Delhi"/>
    <s v="Contra"/>
    <s v="Contra"/>
    <m/>
    <s v="NA"/>
    <s v="NA"/>
    <x v="40"/>
    <n v="1074"/>
    <s v="Rushi"/>
    <m/>
    <m/>
    <m/>
    <s v="Contra"/>
    <m/>
  </r>
  <r>
    <x v="1"/>
    <m/>
    <n v="272300"/>
    <s v="DO 21 NEW DELHI"/>
    <s v="OIC/23-24/524"/>
    <s v="272300/48/2024/308"/>
    <n v="0"/>
    <s v="PARK NON WOVEN PVT LTD"/>
    <d v="2023-05-03T00:00:00"/>
    <d v="2024-05-02T00:00:00"/>
    <s v="MIST-PRD-753"/>
    <s v="BURGLARY FLOATER"/>
    <n v="550"/>
    <n v="12.545454545454545"/>
    <n v="69"/>
    <s v="Delhi"/>
    <s v="NE"/>
    <s v="NE"/>
    <m/>
    <s v="Suspense"/>
    <s v="Suspense"/>
    <x v="58"/>
    <n v="1089"/>
    <s v="Rushi"/>
    <m/>
    <m/>
    <m/>
    <s v="NE"/>
    <m/>
  </r>
  <r>
    <x v="1"/>
    <m/>
    <n v="510000"/>
    <s v="CBRO DELHI"/>
    <s v="OIC/23-24/525"/>
    <s v="510000/48/2023/1456"/>
    <n v="7"/>
    <s v="M/S R.SYSTEMS INTERNATIONAL LTD."/>
    <d v="2023-02-07T00:00:00"/>
    <d v="2024-01-26T00:00:00"/>
    <s v="MIST-PRD-050"/>
    <s v="OFFICE UMBRELLA"/>
    <n v="192"/>
    <n v="12.479166666666668"/>
    <n v="23.96"/>
    <s v="Delhi"/>
    <n v="423534"/>
    <s v="E2"/>
    <m/>
    <s v="Sumit Gupta"/>
    <s v="Sahil Wadhwa"/>
    <x v="41"/>
    <n v="2822"/>
    <s v="Rushi"/>
    <m/>
    <m/>
    <s v="Brokerage % need to update"/>
    <s v="Modification required"/>
    <m/>
  </r>
  <r>
    <x v="1"/>
    <m/>
    <n v="231202"/>
    <s v="BO PANCHKULA "/>
    <s v="OIC/23-24/526"/>
    <s v="231202/48/2024/222"/>
    <n v="0"/>
    <s v="WUDMASTER VENEERS INDIA PRIVATE LIMITED"/>
    <d v="2023-05-23T00:00:00"/>
    <d v="2024-05-22T00:00:00"/>
    <s v="MIST-PRD-751"/>
    <s v="BURGLARY"/>
    <n v="400"/>
    <n v="16.5"/>
    <n v="66"/>
    <s v="Delhi"/>
    <n v="445062"/>
    <n v="0"/>
    <m/>
    <s v="Suspense"/>
    <s v="Suspense"/>
    <x v="51"/>
    <n v="1073"/>
    <s v="Rushi"/>
    <m/>
    <m/>
    <m/>
    <s v="Updation done in saiba"/>
    <m/>
  </r>
  <r>
    <x v="1"/>
    <m/>
    <n v="124600"/>
    <s v="MCDO 1"/>
    <s v="OIC/23-24/527"/>
    <s v="124600/48/2024/297"/>
    <n v="1"/>
    <s v="VISHAY SEMICONDUCTOR INDIA PRIVATE LIMITED"/>
    <d v="2023-04-01T00:00:00"/>
    <d v="2023-05-18T00:00:00"/>
    <s v="MIST-PRD-890"/>
    <s v="GROUP MEDICLAIM -TAILORMADE-RISK FLOATER"/>
    <n v="-4650000"/>
    <n v="7.5"/>
    <n v="-348750"/>
    <s v="Pune"/>
    <s v="NE"/>
    <s v="NE"/>
    <m/>
    <s v="Amarjeet Sahu"/>
    <s v="Shahaji Dhage"/>
    <x v="55"/>
    <s v="Invoice not raise, 0 commission"/>
    <s v="Rushi"/>
    <m/>
    <m/>
    <m/>
    <s v="Bill ID not Generated"/>
    <m/>
  </r>
  <r>
    <x v="1"/>
    <m/>
    <n v="510000"/>
    <s v="CBRO DELHI"/>
    <s v="OIC/23-24/528"/>
    <s v="510000/48/2023/1582"/>
    <n v="1"/>
    <s v="DENTSU COMMUNICATIONS INDIA PRIVATE LIMITED"/>
    <d v="2023-02-07T00:00:00"/>
    <d v="2023-12-31T00:00:00"/>
    <s v="MIST-PRD-001"/>
    <s v="GPA - NAMED"/>
    <n v="-669"/>
    <n v="7.4738415545590433"/>
    <n v="-50"/>
    <s v="Delhi"/>
    <n v="429712"/>
    <s v="NE"/>
    <m/>
    <s v="Amit Pandey"/>
    <s v="Niladri Mangal Choudhury"/>
    <x v="41"/>
    <n v="2822"/>
    <s v="Rushi"/>
    <m/>
    <m/>
    <m/>
    <s v="NE"/>
    <m/>
  </r>
  <r>
    <x v="1"/>
    <m/>
    <n v="212203"/>
    <s v="CBO 13 N-34 C.PLACE"/>
    <s v="OIC/23-24/529"/>
    <s v="212203/31/2024/338"/>
    <n v="1"/>
    <s v="UNDER SECRETARY (ADMIN -IV)"/>
    <d v="2023-05-03T00:00:00"/>
    <d v="2023-05-15T00:00:00"/>
    <s v="MOT-PRD-012"/>
    <s v="PRIVATE CAR-(3 Years)"/>
    <n v="-18665"/>
    <n v="7.1309938387356011"/>
    <n v="-1331"/>
    <s v="Delhi"/>
    <s v="Contra"/>
    <s v="Contra"/>
    <m/>
    <s v="NA"/>
    <s v="NA"/>
    <x v="40"/>
    <n v="1074"/>
    <s v="Rushi"/>
    <m/>
    <m/>
    <m/>
    <s v="Contra"/>
    <m/>
  </r>
  <r>
    <x v="1"/>
    <m/>
    <n v="215600"/>
    <s v="DO 4 NEW DELHI"/>
    <s v="OIC/23-24/530"/>
    <s v="215600/44/2024/3"/>
    <n v="0"/>
    <s v="Lumax Industries Ltd."/>
    <d v="2023-04-01T00:00:00"/>
    <d v="2024-03-31T00:00:00"/>
    <s v="ENG-PRD-006"/>
    <s v="ELECTRONIC EQUIPMENT INSURANCE"/>
    <n v="849"/>
    <n v="11.778563015312132"/>
    <n v="100"/>
    <s v="Delhi"/>
    <n v="430973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510000"/>
    <s v="CBRO DELHI"/>
    <s v="OIC/23-24/531"/>
    <s v="510000/48/2023/1557"/>
    <n v="1"/>
    <s v="SOKRATI TECHNOLOGIES PRIVATE LIMITED"/>
    <d v="2023-01-12T00:00:00"/>
    <d v="2023-12-31T00:00:00"/>
    <s v="MIST-PRD-890"/>
    <s v="GROUP MEDICLAIM -TAILORMADE-RISK FLOATER"/>
    <n v="87242"/>
    <n v="5.0000000000000009"/>
    <n v="4362.1000000000004"/>
    <s v="Delhi"/>
    <n v="430690"/>
    <s v="NE"/>
    <m/>
    <s v="Amit Pandey"/>
    <s v="Niladri Mangal Choudhury"/>
    <x v="41"/>
    <n v="2822"/>
    <s v="Rushi"/>
    <m/>
    <m/>
    <m/>
    <s v="NE"/>
    <m/>
  </r>
  <r>
    <x v="1"/>
    <m/>
    <n v="212203"/>
    <s v="CBO 13 N-34 C.PLACE"/>
    <s v="OIC/23-24/532"/>
    <s v="212203/31/2024/473"/>
    <n v="0"/>
    <s v="THE DIRECTOR ANERT"/>
    <d v="2023-05-30T00:00:00"/>
    <d v="2024-05-29T00:00:00"/>
    <s v="MOT-PRD-015"/>
    <s v="STANDALONE OWN DAMAGE(OD)-PRIVATE CAR"/>
    <n v="8033"/>
    <n v="15.000622432466077"/>
    <n v="1205"/>
    <s v="Delhi"/>
    <n v="439483"/>
    <s v="0"/>
    <m/>
    <s v="NA"/>
    <s v="NA"/>
    <x v="40"/>
    <n v="1074"/>
    <s v="Rushi"/>
    <m/>
    <m/>
    <m/>
    <s v="Updation done in saiba"/>
    <m/>
  </r>
  <r>
    <x v="1"/>
    <m/>
    <n v="233900"/>
    <s v="DO II LUDHIANA"/>
    <s v="OIC/23-24/533"/>
    <s v="233900/11/2024/89"/>
    <n v="0"/>
    <s v="M/s Raj Industries"/>
    <d v="2023-05-19T00:00:00"/>
    <d v="2024-05-18T00:00:00"/>
    <s v="FIR-PRD-010"/>
    <s v="ORIENTAL BHARAT SOOKSHMA UDYAM SURAKSHA POLICY"/>
    <n v="22678"/>
    <n v="16.209542287679689"/>
    <n v="3676"/>
    <s v="Ludhiana"/>
    <n v="445702"/>
    <n v="0"/>
    <m/>
    <s v="Suspense"/>
    <s v="Suspense"/>
    <x v="60"/>
    <n v="1123"/>
    <s v="Rushi"/>
    <m/>
    <m/>
    <m/>
    <s v="Updation done in saiba"/>
    <m/>
  </r>
  <r>
    <x v="1"/>
    <m/>
    <n v="411700"/>
    <s v="DO 7 CHENNAI"/>
    <s v="OIC/23-24/534"/>
    <s v="411700/48/2023/2422"/>
    <n v="2"/>
    <s v="FINANCIAL SOFTWARE &amp; SYSTEMS (P) LTD."/>
    <d v="2022-10-01T00:00:00"/>
    <d v="2023-09-30T00:00:00"/>
    <s v="MIST-PRD-890"/>
    <s v="GROUP MEDICLAIM -TAILORMADE-RISK FLOATER"/>
    <n v="7419"/>
    <n v="1"/>
    <n v="74.19"/>
    <s v="Chennai"/>
    <n v="408017"/>
    <s v="E2"/>
    <m/>
    <s v="Meenakshi Menon"/>
    <s v="Sudha.S"/>
    <x v="61"/>
    <n v="1069"/>
    <s v="Rushi"/>
    <m/>
    <m/>
    <m/>
    <s v="Updation done in saiba"/>
    <m/>
  </r>
  <r>
    <x v="1"/>
    <m/>
    <n v="222105"/>
    <s v="KANPUR DEHAT"/>
    <s v="OIC/23-24/535"/>
    <s v="222105/48/2024/288"/>
    <n v="0"/>
    <s v="Gyanendra Pratap Singh"/>
    <d v="2023-06-01T00:00:00"/>
    <d v="2024-05-31T00:00:00"/>
    <s v="MIST-PRD-943"/>
    <s v="HAPPY FAMILY FLOATER POLICY-2021"/>
    <n v="88441"/>
    <n v="14.999830395404846"/>
    <n v="13266"/>
    <s v="Delhi"/>
    <n v="434272"/>
    <s v="0"/>
    <m/>
    <s v="Kushal Bhatia"/>
    <s v="Navneet Arora"/>
    <x v="53"/>
    <n v="1092"/>
    <s v="Rushi"/>
    <m/>
    <m/>
    <m/>
    <s v="Updation done in saiba"/>
    <m/>
  </r>
  <r>
    <x v="1"/>
    <m/>
    <n v="272200"/>
    <s v="DO 3 NEW DELHI"/>
    <s v="OIC/23-24/536"/>
    <s v="272200/31/2024/277"/>
    <n v="0"/>
    <s v="M/S TYNOR ORTHOTIC P LTD"/>
    <d v="2023-05-29T00:00:00"/>
    <d v="2024-05-28T00:00:00"/>
    <s v="MOT-PRD-001"/>
    <s v="PRIVATE CAR"/>
    <n v="72505"/>
    <n v="13.628025653403215"/>
    <n v="9881"/>
    <s v="Ludhiana"/>
    <n v="434303"/>
    <s v="0"/>
    <m/>
    <s v="Prem Parkash"/>
    <s v="HImanshu Arora"/>
    <x v="45"/>
    <n v="1088"/>
    <s v="Rushi"/>
    <m/>
    <m/>
    <m/>
    <s v="Updation done in saiba"/>
    <m/>
  </r>
  <r>
    <x v="1"/>
    <m/>
    <n v="215600"/>
    <s v="DO 4 NEW DELHI"/>
    <s v="OIC/23-24/537"/>
    <s v="215600/11/2024/46"/>
    <n v="0"/>
    <s v="LUMAX ANCILLARY LIMITED"/>
    <d v="2023-04-01T00:00:00"/>
    <d v="2024-03-31T00:00:00"/>
    <s v="FIR-PRD-012"/>
    <s v="ORIENTAL INSURANCE - FLEXI BHARAT LAGHU UDYAM SURAKSHA"/>
    <n v="105922"/>
    <n v="11.499027586337116"/>
    <n v="12180"/>
    <s v="Delhi"/>
    <n v="439761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538"/>
    <s v="212203/31/2024/426"/>
    <n v="0"/>
    <s v="SOUTH DELHI MUINCIPALCORPORATION"/>
    <d v="2023-05-22T00:00:00"/>
    <d v="2024-05-21T00:00:00"/>
    <s v="MOT-PRD-001"/>
    <s v="PRIVATE CAR"/>
    <n v="8801"/>
    <n v="12.112259970457902"/>
    <n v="1066"/>
    <s v="Delhi"/>
    <s v="NE"/>
    <s v="NE"/>
    <m/>
    <s v="Suspense"/>
    <s v="Suspense"/>
    <x v="40"/>
    <n v="1074"/>
    <s v="Rushi"/>
    <m/>
    <m/>
    <m/>
    <s v="NE"/>
    <m/>
  </r>
  <r>
    <x v="1"/>
    <m/>
    <n v="212203"/>
    <s v="CBO 13 N-34 C.PLACE"/>
    <s v="OIC/23-24/539"/>
    <s v="212203/31/2024/274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55"/>
    <s v="0"/>
    <m/>
    <s v="NA"/>
    <s v="NA"/>
    <x v="40"/>
    <n v="1074"/>
    <s v="Rushi"/>
    <m/>
    <m/>
    <m/>
    <s v="Updation done in saiba"/>
    <m/>
  </r>
  <r>
    <x v="1"/>
    <m/>
    <n v="215600"/>
    <s v="DO 4 NEW DELHI"/>
    <s v="OIC/23-24/540"/>
    <s v="215600/11/2024/63"/>
    <n v="0"/>
    <s v="M/S LUMAX MANNOH ALLIED TECHNOLOGIES LTD."/>
    <d v="2023-04-01T00:00:00"/>
    <d v="2024-03-31T00:00:00"/>
    <s v="FIR-PRD-012"/>
    <s v="ORIENTAL INSURANCE - FLEXI BHARAT LAGHU UDYAM SURAKSHA"/>
    <n v="66648"/>
    <n v="11.49921978153883"/>
    <n v="7664"/>
    <s v="Delhi"/>
    <n v="429086"/>
    <s v="0"/>
    <m/>
    <s v="Rohit Kumar Mendiratta"/>
    <s v="Prince Tayal"/>
    <x v="44"/>
    <s v="Revised statement _not woking"/>
    <s v="Rushi"/>
    <m/>
    <m/>
    <s v="Premium Mismatched"/>
    <s v="Bill ID not Generated"/>
    <m/>
  </r>
  <r>
    <x v="1"/>
    <m/>
    <n v="212203"/>
    <s v="CBO 13 N-34 C.PLACE"/>
    <s v="OIC/23-24/541"/>
    <s v="212203/31/2024/499"/>
    <n v="0"/>
    <s v="THE DIRECTOR ANERT"/>
    <d v="2023-06-01T00:00:00"/>
    <d v="2024-05-31T00:00:00"/>
    <s v="MOT-PRD-015"/>
    <s v="STANDALONE OWN DAMAGE(OD)-PRIVATE CAR"/>
    <n v="8033"/>
    <n v="15.000622432466077"/>
    <n v="1205"/>
    <s v="Delhi"/>
    <n v="439487"/>
    <s v="0"/>
    <m/>
    <s v="NA"/>
    <s v="NA"/>
    <x v="40"/>
    <n v="1074"/>
    <s v="Rushi"/>
    <m/>
    <m/>
    <m/>
    <s v="Updation done in saiba"/>
    <m/>
  </r>
  <r>
    <x v="1"/>
    <m/>
    <n v="215600"/>
    <s v="DO 4 NEW DELHI"/>
    <s v="OIC/23-24/542"/>
    <s v="215600/11/2024/53"/>
    <n v="0"/>
    <s v="M/S LUMAX TOURS &amp; TRAVELS LTD."/>
    <d v="2023-04-01T00:00:00"/>
    <d v="2024-03-31T00:00:00"/>
    <s v="FIR-PRD-013"/>
    <s v="ORIENTAL INSURANCE - FLEXI BHARAT SOOKSHMA UDYAM SURAKSHA"/>
    <n v="1292"/>
    <n v="11.532507739938081"/>
    <n v="149"/>
    <s v="Delhi"/>
    <s v="NE"/>
    <s v="NE"/>
    <m/>
    <s v="Darvesh Panchal"/>
    <s v="Rohit Kumar Mehndiratta"/>
    <x v="44"/>
    <s v="Revised statement _not woking"/>
    <s v="Rushi"/>
    <m/>
    <m/>
    <m/>
    <s v="Bill ID not Generated"/>
    <m/>
  </r>
  <r>
    <x v="1"/>
    <m/>
    <n v="222105"/>
    <s v="KANPUR DEHAT"/>
    <s v="OIC/23-24/543"/>
    <s v="222105/48/2024/335"/>
    <n v="0"/>
    <s v="MRS. MANISHA SINGH"/>
    <d v="2023-06-09T00:00:00"/>
    <d v="2024-06-08T00:00:00"/>
    <s v="MIST-PRD-094"/>
    <s v="ORIENTAL MEDICLAIM INSURANCE POLICY(INDIVIDUAL)"/>
    <n v="20533"/>
    <n v="15.000243510446598"/>
    <n v="3080"/>
    <s v="Delhi"/>
    <n v="434646"/>
    <s v="0"/>
    <m/>
    <s v="Kushal Bhatia"/>
    <s v="Navneet Arora"/>
    <x v="53"/>
    <n v="1092"/>
    <s v="Rushi"/>
    <m/>
    <m/>
    <m/>
    <s v="Updation done in saiba"/>
    <m/>
  </r>
  <r>
    <x v="1"/>
    <m/>
    <n v="510000"/>
    <s v="CBRO DELHI"/>
    <s v="OIC/23-24/544"/>
    <s v="510000/48/2023/677"/>
    <n v="13"/>
    <s v="JCB INDIA LTD."/>
    <d v="2022-06-01T00:00:00"/>
    <d v="2023-05-31T00:00:00"/>
    <s v="MIST-PRD-890"/>
    <s v="GROUP MEDICLAIM -TAILORMADE-RISK FLOATER"/>
    <n v="42020"/>
    <n v="0"/>
    <n v="0"/>
    <s v="Delhi"/>
    <n v="387256"/>
    <s v="NE"/>
    <m/>
    <s v="Atul Chordiya"/>
    <s v="Amit Rokade"/>
    <x v="41"/>
    <n v="2822"/>
    <s v="Rushi"/>
    <m/>
    <m/>
    <m/>
    <s v="NE"/>
    <m/>
  </r>
  <r>
    <x v="1"/>
    <m/>
    <n v="423100"/>
    <s v="DO 11 BANGALORE"/>
    <s v="OIC/23-24/545"/>
    <s v="423100/48/2024/260"/>
    <n v="0"/>
    <s v="NAKSHATRA ROY"/>
    <d v="2023-05-09T00:00:00"/>
    <d v="2024-05-08T00:00:00"/>
    <s v="MIST-PRD-943"/>
    <s v="HAPPY FAMILY FLOATER POLICY-2021"/>
    <n v="15750"/>
    <n v="14.996825396825397"/>
    <n v="2362"/>
    <s v="Bangalore"/>
    <n v="434954"/>
    <s v="0"/>
    <m/>
    <s v="Gurpal Singh Dhingra"/>
    <s v="Ayesha Sultana"/>
    <x v="62"/>
    <n v="1065"/>
    <s v="Rushi"/>
    <m/>
    <m/>
    <m/>
    <s v="Updation done in saiba"/>
    <m/>
  </r>
  <r>
    <x v="1"/>
    <m/>
    <n v="212203"/>
    <s v="CBO 13 N-34 C.PLACE"/>
    <s v="OIC/23-24/546"/>
    <s v="212203/31/2024/342"/>
    <n v="1"/>
    <s v="UNDER SECRETARY (ADMIN -IV)"/>
    <d v="2023-05-03T00:00:00"/>
    <d v="2023-05-15T00:00:00"/>
    <s v="MOT-PRD-012"/>
    <s v="PRIVATE CAR-(3 Years)"/>
    <n v="-13789"/>
    <n v="8.1586772064689246"/>
    <n v="-1125"/>
    <s v="Delhi"/>
    <s v="Contra"/>
    <s v="Contra"/>
    <m/>
    <s v="NA"/>
    <s v="NA"/>
    <x v="40"/>
    <n v="1074"/>
    <s v="Rushi"/>
    <m/>
    <m/>
    <m/>
    <s v="Contra"/>
    <m/>
  </r>
  <r>
    <x v="1"/>
    <m/>
    <n v="510000"/>
    <s v="CBRO DELHI"/>
    <s v="OIC/23-24/547"/>
    <s v="510000/11/2024/58"/>
    <n v="0"/>
    <s v="M/S MOHAN CLOTHING CO.PVT.LTD"/>
    <d v="2023-04-29T00:00:00"/>
    <d v="2024-04-28T00:00:00"/>
    <s v="FIR-PRD-009"/>
    <s v="ORIENTAL BHARAT LAGHU UDYAM SURAKSHA POLICY"/>
    <n v="33390"/>
    <n v="9.1644204851752029"/>
    <n v="3060"/>
    <s v="Delhi"/>
    <s v="NE"/>
    <s v="NE"/>
    <m/>
    <s v="Sudhir Soni"/>
    <s v="Hemant Kumar Gupta"/>
    <x v="41"/>
    <n v="2822"/>
    <s v="Rushi"/>
    <m/>
    <m/>
    <m/>
    <s v="NE"/>
    <m/>
  </r>
  <r>
    <x v="1"/>
    <m/>
    <n v="212203"/>
    <s v="CBO 13 N-34 C.PLACE"/>
    <s v="OIC/23-24/548"/>
    <s v="212203/31/2024/323"/>
    <n v="0"/>
    <s v="POWER GRID CORPORATION OF NDIA LTD"/>
    <d v="2023-05-03T00:00:00"/>
    <d v="2024-05-02T00:00:00"/>
    <s v="MOT-PRD-012"/>
    <s v="PRIVATE CAR-(3 Years)"/>
    <n v="18665"/>
    <n v="7.1309938387356011"/>
    <n v="1331"/>
    <s v="Delhi"/>
    <n v="439438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549"/>
    <s v="212203/31/2024/275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56"/>
    <s v="0"/>
    <m/>
    <s v="NA"/>
    <s v="NA"/>
    <x v="40"/>
    <n v="1074"/>
    <s v="Rushi"/>
    <m/>
    <m/>
    <m/>
    <s v="Updation done in saiba"/>
    <m/>
  </r>
  <r>
    <x v="1"/>
    <m/>
    <n v="215600"/>
    <s v="DO 4 NEW DELHI"/>
    <s v="OIC/23-24/550"/>
    <s v="215600/48/2023/1883"/>
    <n v="9"/>
    <s v="HCL INFOSYSTEMS LTD"/>
    <d v="2022-10-01T00:00:00"/>
    <d v="2023-09-30T00:00:00"/>
    <s v="MIST-PRD-890"/>
    <s v="GROUP MEDICLAIM -TAILORMADE-RISK FLOATER"/>
    <n v="26646"/>
    <n v="7.4983111911731601"/>
    <n v="1998"/>
    <s v="Delhi"/>
    <n v="405703"/>
    <s v="NE"/>
    <m/>
    <s v="Abhishek Sharma"/>
    <s v="Ishita Sharma"/>
    <x v="44"/>
    <s v="Revised statement _not woking"/>
    <s v="Rushi"/>
    <m/>
    <m/>
    <m/>
    <s v="Bill ID not Generated"/>
    <m/>
  </r>
  <r>
    <x v="1"/>
    <m/>
    <n v="212203"/>
    <s v="CBO 13 N-34 C.PLACE"/>
    <s v="OIC/23-24/551"/>
    <s v="212203/31/2024/495"/>
    <n v="0"/>
    <s v="LESSEE: MINISTRY OF HOME AFFAIRS"/>
    <d v="2023-06-01T00:00:00"/>
    <d v="2024-05-31T00:00:00"/>
    <s v="MOT-PRD-001"/>
    <s v="PRIVATE CAR"/>
    <n v="8214"/>
    <n v="11.297784270757244"/>
    <n v="928"/>
    <s v="Delhi"/>
    <s v="NE"/>
    <s v="NE"/>
    <m/>
    <s v="Saurabh Dwivedi"/>
    <s v="Mohit Mendiratta"/>
    <x v="40"/>
    <n v="1074"/>
    <s v="Rushi"/>
    <m/>
    <m/>
    <m/>
    <s v="NE"/>
    <m/>
  </r>
  <r>
    <x v="1"/>
    <m/>
    <n v="510000"/>
    <s v="CBRO DELHI"/>
    <s v="OIC/23-24/552"/>
    <s v="510000/11/2023/481"/>
    <n v="5"/>
    <s v="M/S R.SYSTEMS INTERNATIONAL LTD."/>
    <d v="2023-02-07T00:00:00"/>
    <d v="2024-01-26T00:00:00"/>
    <s v="FIR-PRD-006"/>
    <s v="STANDARD FIRE -- New Tariff"/>
    <n v="1114"/>
    <n v="9.784560143626571"/>
    <n v="109"/>
    <s v="Delhi"/>
    <n v="423526"/>
    <s v="E2"/>
    <m/>
    <s v="Sumit Gupta"/>
    <s v="Sahil Wadhwa"/>
    <x v="41"/>
    <n v="2822"/>
    <s v="Rushi"/>
    <m/>
    <m/>
    <s v="Brokerage % need to update"/>
    <s v="Modification required"/>
    <m/>
  </r>
  <r>
    <x v="1"/>
    <m/>
    <n v="510000"/>
    <s v="CBRO DELHI"/>
    <s v="OIC/23-24/553"/>
    <s v="510000/48/2023/543"/>
    <n v="5"/>
    <s v="Sutherland Mortgage Services Inc"/>
    <d v="2022-06-22T00:00:00"/>
    <d v="2023-04-11T00:00:00"/>
    <s v="MIST-PRD-001"/>
    <s v="GPA - NAMED"/>
    <n v="-60"/>
    <n v="6.666666666666667"/>
    <n v="-4"/>
    <s v="Chennai"/>
    <n v="401585"/>
    <s v="E5"/>
    <m/>
    <s v="Balakrishnan M"/>
    <s v="Akshayah Manoharan"/>
    <x v="41"/>
    <n v="2822"/>
    <s v="Rushi"/>
    <m/>
    <m/>
    <m/>
    <s v="Updation done in saiba"/>
    <m/>
  </r>
  <r>
    <x v="1"/>
    <m/>
    <n v="222104"/>
    <s v="CBO 1 KANPUR"/>
    <s v="OIC/23-24/554"/>
    <s v="222104/48/2023/942"/>
    <n v="5"/>
    <s v="CONSCIENT INFRASTRUCTURE PRIVATE LIMITED"/>
    <d v="2022-11-04T00:00:00"/>
    <d v="2023-11-03T00:00:00"/>
    <s v="MIST-PRD-001"/>
    <s v="GPA - NAMED"/>
    <n v="-2192"/>
    <n v="7.5"/>
    <n v="-164.4"/>
    <s v="Delhi"/>
    <n v="407873"/>
    <s v="E3"/>
    <m/>
    <s v="Rakesh Kumar Singh"/>
    <s v="Pranav Das Piyush"/>
    <x v="46"/>
    <n v="1091"/>
    <s v="Rushi"/>
    <m/>
    <m/>
    <m/>
    <s v="Updation done in saiba"/>
    <m/>
  </r>
  <r>
    <x v="1"/>
    <m/>
    <n v="215600"/>
    <s v="DO 4 NEW DELHI"/>
    <s v="OIC/23-24/555"/>
    <s v="215600/48/2024/427"/>
    <n v="1"/>
    <s v="LUMAX ANCILLARY LIMITED"/>
    <d v="2023-04-01T00:00:00"/>
    <d v="2024-03-31T00:00:00"/>
    <s v="MIST-PRD-751"/>
    <s v="BURGLARY"/>
    <n v="1113"/>
    <n v="12.499550763701707"/>
    <n v="139.12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556"/>
    <s v="212203/31/2024/334"/>
    <n v="1"/>
    <s v="UNDER SECRETARY (ADMIN -IV)"/>
    <d v="2023-05-03T00:00:00"/>
    <d v="2023-05-15T00:00:00"/>
    <s v="MOT-PRD-012"/>
    <s v="PRIVATE CAR-(3 Years)"/>
    <n v="-18665"/>
    <n v="7.1309938387356011"/>
    <n v="-1331"/>
    <s v="Delhi"/>
    <s v="Contra"/>
    <s v="Contra"/>
    <m/>
    <s v="NA"/>
    <s v="NA"/>
    <x v="40"/>
    <n v="1074"/>
    <s v="Rushi"/>
    <m/>
    <m/>
    <m/>
    <s v="Contra"/>
    <m/>
  </r>
  <r>
    <x v="1"/>
    <m/>
    <n v="510000"/>
    <s v="CBRO DELHI"/>
    <s v="OIC/23-24/557"/>
    <s v="510000/48/2024/167"/>
    <n v="0"/>
    <s v="M/S MOHAN CLOTHING CO.PVT.LTD"/>
    <d v="2023-04-29T00:00:00"/>
    <d v="2024-04-28T00:00:00"/>
    <s v="MIST-PRD-047"/>
    <s v="FIDELITY GUARANTEE"/>
    <n v="5000"/>
    <n v="12.5"/>
    <n v="625"/>
    <s v="Delhi"/>
    <n v="431165"/>
    <s v="0"/>
    <m/>
    <s v="Sudhir Soni"/>
    <s v="Hemant Kumar Gupta"/>
    <x v="41"/>
    <n v="2822"/>
    <s v="Rushi"/>
    <m/>
    <m/>
    <m/>
    <s v="Updation done in saiba"/>
    <m/>
  </r>
  <r>
    <x v="1"/>
    <m/>
    <n v="215600"/>
    <s v="DO 4 NEW DELHI"/>
    <s v="OIC/23-24/558"/>
    <s v="215600/11/2024/35"/>
    <n v="0"/>
    <s v="M/S LUMAX MANNOH ALLIED TECHNOLOGIES LTD."/>
    <d v="2023-04-01T00:00:00"/>
    <d v="2024-03-31T00:00:00"/>
    <s v="FIR-PRD-013"/>
    <s v="ORIENTAL INSURANCE - FLEXI BHARAT SOOKSHMA UDYAM SURAKSHA"/>
    <n v="23555"/>
    <n v="11.496497558904691"/>
    <n v="2708"/>
    <s v="Delhi"/>
    <n v="429067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411700"/>
    <s v="DO 7 CHENNAI"/>
    <s v="OIC/23-24/559"/>
    <s v="411700/48/2023/2426"/>
    <n v="7"/>
    <s v="FINANCIAL SOFTWARE &amp; SYSTEMS (P) LTD."/>
    <d v="2022-10-01T00:00:00"/>
    <d v="2023-09-30T00:00:00"/>
    <s v="MIST-PRD-890"/>
    <s v="GROUP MEDICLAIM -TAILORMADE-RISK FLOATER"/>
    <n v="-14633"/>
    <n v="1"/>
    <n v="-146.33000000000001"/>
    <s v="Chennai"/>
    <n v="408012"/>
    <s v="E6"/>
    <m/>
    <s v="Meenakshi Menon"/>
    <s v="Sudha.S"/>
    <x v="61"/>
    <n v="1069"/>
    <s v="Rushi"/>
    <m/>
    <m/>
    <m/>
    <s v="Updation done in saiba"/>
    <m/>
  </r>
  <r>
    <x v="1"/>
    <m/>
    <n v="212203"/>
    <s v="CBO 13 N-34 C.PLACE"/>
    <s v="OIC/23-24/560"/>
    <s v="212203/31/2024/324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39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561"/>
    <s v="212203/31/2024/332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47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562"/>
    <s v="212203/31/2024/502"/>
    <n v="0"/>
    <s v="THE DIRECTOR ANERT"/>
    <d v="2023-06-01T00:00:00"/>
    <d v="2024-05-31T00:00:00"/>
    <s v="MOT-PRD-015"/>
    <s v="STANDALONE OWN DAMAGE(OD)-PRIVATE CAR"/>
    <n v="8033"/>
    <n v="15.000622432466077"/>
    <n v="1205"/>
    <s v="Delhi"/>
    <n v="439490"/>
    <s v="0"/>
    <m/>
    <s v="NA"/>
    <s v="NA"/>
    <x v="40"/>
    <n v="1074"/>
    <s v="Rushi"/>
    <m/>
    <m/>
    <m/>
    <s v="Updation done in saiba"/>
    <m/>
  </r>
  <r>
    <x v="1"/>
    <m/>
    <n v="431500"/>
    <s v="DO IV HYDERABAD"/>
    <s v="OIC/23-24/563"/>
    <s v="431500/48/2024/619"/>
    <n v="0"/>
    <s v="SILABS INDIA PRIVATE LIMITED"/>
    <d v="2023-04-29T00:00:00"/>
    <d v="2024-04-28T00:00:00"/>
    <s v="MIST-PRD-890"/>
    <s v="GROUP MEDICLAIM -TAILORMADE-RISK FLOATER"/>
    <n v="11000000"/>
    <n v="7.5"/>
    <n v="825000"/>
    <s v="Hyderabad"/>
    <n v="429567"/>
    <s v="0"/>
    <m/>
    <s v="Rani Sudhakar Ranipeta"/>
    <s v="Prasanna Vadhana"/>
    <x v="54"/>
    <n v="1103"/>
    <s v="Rushi"/>
    <m/>
    <m/>
    <m/>
    <s v="Updation done in saiba"/>
    <m/>
  </r>
  <r>
    <x v="1"/>
    <m/>
    <n v="112400"/>
    <s v="MRO 1 Aviation Cell"/>
    <s v="OIC/23-24/564"/>
    <s v="112400/43/2024/37"/>
    <n v="1"/>
    <s v="TATA SIA AIRLINES LIMITED (VISTARA)"/>
    <d v="2023-05-04T00:00:00"/>
    <d v="2024-05-03T00:00:00"/>
    <s v="AVI-PRD-027"/>
    <s v="AIRCREW LOSS OF LICENSE - GROUP"/>
    <n v="2640000"/>
    <n v="-5.5"/>
    <n v="-145200"/>
    <s v="Delhi"/>
    <n v="429866"/>
    <s v="NE"/>
    <m/>
    <s v="Vineet Khattar"/>
    <s v="Varun Malik"/>
    <x v="57"/>
    <n v="1140"/>
    <s v="Rushi"/>
    <m/>
    <m/>
    <m/>
    <s v="NE"/>
    <m/>
  </r>
  <r>
    <x v="1"/>
    <m/>
    <n v="222105"/>
    <s v="KANPUR DEHAT"/>
    <s v="OIC/23-24/565"/>
    <s v="222105/48/2024/355"/>
    <n v="0"/>
    <s v="Mr. Shishir Sinha"/>
    <d v="2023-05-29T00:00:00"/>
    <d v="2024-05-28T00:00:00"/>
    <s v="MIST-PRD-094"/>
    <s v="ORIENTAL MEDICLAIM INSURANCE POLICY(INDIVIDUAL)"/>
    <n v="13812"/>
    <n v="15.001448016217781"/>
    <n v="2072"/>
    <s v="Delhi"/>
    <n v="437333"/>
    <s v="0"/>
    <m/>
    <s v="Kushal Bhatia"/>
    <s v="Ankit Kumar Gangwar"/>
    <x v="53"/>
    <n v="1092"/>
    <s v="Rushi"/>
    <m/>
    <m/>
    <m/>
    <s v="Updation done in saiba"/>
    <m/>
  </r>
  <r>
    <x v="1"/>
    <m/>
    <n v="215600"/>
    <s v="DO 4 NEW DELHI"/>
    <s v="OIC/23-24/566"/>
    <s v="215600/48/2024/411"/>
    <n v="0"/>
    <s v="M/S LUMAX ANCILLARY LIMITED."/>
    <d v="2023-04-01T00:00:00"/>
    <d v="2024-03-31T00:00:00"/>
    <s v="MIST-PRD-753"/>
    <s v="BURGLARY FLOATER"/>
    <n v="132"/>
    <n v="12.121212121212121"/>
    <n v="16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72300"/>
    <s v="DO 21 NEW DELHI"/>
    <s v="OIC/23-24/567"/>
    <s v="272300/11/2024/35"/>
    <n v="0"/>
    <s v="PARK NON WOVEN PVT LTD"/>
    <d v="2023-05-03T00:00:00"/>
    <d v="2024-05-02T00:00:00"/>
    <s v="FIR-PRD-012"/>
    <s v="ORIENTAL INSURANCE - FLEXI BHARAT LAGHU UDYAM SURAKSHA"/>
    <n v="235571"/>
    <n v="11.50014220765714"/>
    <n v="27091"/>
    <s v="Delhi"/>
    <s v="NE"/>
    <s v="NE"/>
    <m/>
    <s v="Vineet Khattar"/>
    <s v="Rajvansh Gusain"/>
    <x v="58"/>
    <n v="1089"/>
    <s v="Rushi"/>
    <m/>
    <m/>
    <m/>
    <s v="NE"/>
    <m/>
  </r>
  <r>
    <x v="1"/>
    <m/>
    <n v="510000"/>
    <s v="CBRO DELHI"/>
    <s v="OIC/23-24/568"/>
    <s v="510000/48/2023/1562"/>
    <n v="2"/>
    <s v="Fractal Ink Design Studio Private Limited"/>
    <d v="2023-02-07T00:00:00"/>
    <d v="2023-12-31T00:00:00"/>
    <s v="MIST-PRD-890"/>
    <s v="GROUP MEDICLAIM -TAILORMADE-RISK FLOATER"/>
    <n v="-9586"/>
    <n v="5"/>
    <n v="-479.3"/>
    <s v="Delhi"/>
    <n v="430684"/>
    <s v="NE"/>
    <m/>
    <s v="Amit Pandey"/>
    <s v="Niladri Mangal Choudhury"/>
    <x v="41"/>
    <n v="2822"/>
    <s v="Rushi"/>
    <m/>
    <m/>
    <m/>
    <s v="NE"/>
    <m/>
  </r>
  <r>
    <x v="1"/>
    <m/>
    <n v="421100"/>
    <s v="CBU Bangalore"/>
    <s v="OIC/23-24/569"/>
    <s v="421100/48/2023/129"/>
    <n v="18"/>
    <s v="INFOSTRETCH CORPORATION INDIA PRIVATE LIMITED"/>
    <d v="2022-05-01T00:00:00"/>
    <d v="2023-04-30T00:00:00"/>
    <s v="MIST-PRD-890"/>
    <s v="GROUP MEDICLAIM -TAILORMADE-RISK FLOATER"/>
    <n v="2401"/>
    <n v="5.5002082465639317"/>
    <n v="132.06"/>
    <s v="Pune"/>
    <n v="399583"/>
    <s v="E13"/>
    <m/>
    <s v="Sheetal Gurav"/>
    <s v="Aatish Gaurav"/>
    <x v="50"/>
    <n v="1047"/>
    <s v="Rushi"/>
    <m/>
    <m/>
    <m/>
    <s v="Updation done in saiba"/>
    <m/>
  </r>
  <r>
    <x v="1"/>
    <m/>
    <n v="212203"/>
    <s v="CBO 13 N-34 C.PLACE"/>
    <s v="OIC/23-24/570"/>
    <s v="212203/31/2024/494"/>
    <n v="0"/>
    <s v="LESSEE: MINISTRY OF HOME AFFAIRS"/>
    <d v="2023-06-01T00:00:00"/>
    <d v="2024-05-31T00:00:00"/>
    <s v="MOT-PRD-001"/>
    <s v="PRIVATE CAR"/>
    <n v="8214"/>
    <n v="11.297784270757244"/>
    <n v="928"/>
    <s v="Delhi"/>
    <s v="NE"/>
    <s v="NE"/>
    <m/>
    <s v="Saurabh Dwivedi"/>
    <s v="Mohit Mendiratta"/>
    <x v="40"/>
    <n v="1074"/>
    <s v="Rushi"/>
    <m/>
    <m/>
    <m/>
    <s v="NE"/>
    <m/>
  </r>
  <r>
    <x v="1"/>
    <m/>
    <n v="441202"/>
    <s v="BO NEYYATINKARA"/>
    <s v="OIC/23-24/571"/>
    <s v="441202/48/2023/726"/>
    <n v="10"/>
    <s v="TECHVERSANT INFOTECH PRIVATE LIMITED"/>
    <d v="2022-10-17T00:00:00"/>
    <d v="2023-10-16T00:00:00"/>
    <s v="MIST-PRD-890"/>
    <s v="GROUP MEDICLAIM -TAILORMADE-RISK FLOATER"/>
    <n v="-15682"/>
    <n v="6.7274582323683205"/>
    <n v="-1055"/>
    <s v="Chennai"/>
    <n v="413732"/>
    <s v="E3"/>
    <m/>
    <s v="Balakrishnan M"/>
    <s v="Balakrishnan.G"/>
    <x v="63"/>
    <n v="1217"/>
    <s v="Rushi"/>
    <m/>
    <m/>
    <m/>
    <s v="Updation done in saiba"/>
    <m/>
  </r>
  <r>
    <x v="1"/>
    <m/>
    <n v="442600"/>
    <s v="DO  THODUPUZHA"/>
    <s v="OIC/23-24/572"/>
    <s v="442600/48/2024/151"/>
    <n v="0"/>
    <s v="MANASH LIFESTYLE PRIVATE LIMITED"/>
    <d v="2023-05-18T00:00:00"/>
    <d v="2024-05-17T00:00:00"/>
    <s v="MIST-PRD-753"/>
    <s v="BURGLARY FLOATER"/>
    <n v="14301"/>
    <n v="16.495349975526189"/>
    <n v="2359"/>
    <s v="Mumbai"/>
    <s v="NE"/>
    <s v="NE"/>
    <m/>
    <s v="Suspense"/>
    <s v="Suspense"/>
    <x v="48"/>
    <n v="1072"/>
    <s v="Rushi"/>
    <m/>
    <m/>
    <m/>
    <s v="NE"/>
    <m/>
  </r>
  <r>
    <x v="1"/>
    <m/>
    <n v="510000"/>
    <s v="CBRO DELHI"/>
    <s v="OIC/23-24/573"/>
    <s v="510000/48/2024/203"/>
    <n v="0"/>
    <s v="NXP INDIA PRIVATE LIMITED"/>
    <d v="2023-04-01T00:00:00"/>
    <d v="2024-03-31T00:00:00"/>
    <s v="MIST-PRD-890"/>
    <s v="GROUP MEDICLAIM -TAILORMADE-RISK FLOATER"/>
    <n v="46806300"/>
    <n v="2"/>
    <n v="936126"/>
    <s v="Delhi"/>
    <n v="427733"/>
    <s v="E1"/>
    <m/>
    <s v="Sonia Schofield"/>
    <s v="Surender Banga"/>
    <x v="41"/>
    <n v="2822"/>
    <s v="Rushi"/>
    <m/>
    <m/>
    <s v="Premium Mismatched"/>
    <s v="Modification required"/>
    <m/>
  </r>
  <r>
    <x v="1"/>
    <m/>
    <n v="421700"/>
    <s v="DO VII BANGALORE"/>
    <s v="OIC/23-24/574"/>
    <s v="421700/48/2023/579"/>
    <n v="4"/>
    <s v="UD TRUCKS INDIA PRIVATE LIMITED"/>
    <d v="2022-04-01T00:00:00"/>
    <d v="2023-03-31T00:00:00"/>
    <s v="MIST-PRD-890"/>
    <s v="GROUP MEDICLAIM -TAILORMADE-RISK FLOATER"/>
    <n v="46264"/>
    <n v="7.5000000000000009"/>
    <n v="3469.8"/>
    <s v="Bangalore"/>
    <n v="380764"/>
    <s v="NE"/>
    <m/>
    <s v="Jaya Chitra.M"/>
    <s v="Sandeep Ambaji Navale"/>
    <x v="47"/>
    <n v="1055"/>
    <s v="Rushi"/>
    <m/>
    <m/>
    <m/>
    <s v="NE"/>
    <m/>
  </r>
  <r>
    <x v="1"/>
    <m/>
    <n v="132000"/>
    <s v="DO JOGESHWARI"/>
    <s v="OIC/23-24/575"/>
    <s v="132000/48/2024/393"/>
    <n v="0"/>
    <s v="PRESIDENT OF INDIA C/O A/C VIJAY CHEMICAL INDUSTRIES"/>
    <d v="2023-05-07T00:00:00"/>
    <d v="2024-05-06T00:00:00"/>
    <s v="MIST-PRD-049"/>
    <s v="SPECIAL CONTINGENCY - POLICY"/>
    <n v="50000"/>
    <n v="12.5"/>
    <n v="6250"/>
    <s v="Mumbai"/>
    <s v="NE"/>
    <s v="NE"/>
    <m/>
    <s v="Suspense"/>
    <s v="Suspense"/>
    <x v="64"/>
    <n v="1146"/>
    <s v="Rushi"/>
    <m/>
    <m/>
    <m/>
    <s v="NE"/>
    <m/>
  </r>
  <r>
    <x v="1"/>
    <m/>
    <n v="431500"/>
    <s v="DO IV HYDERABAD"/>
    <s v="OIC/23-24/576"/>
    <s v="431500/48/2023/3634"/>
    <n v="5"/>
    <s v="WAVEMAKER INDIA PRIVATE LIMITED"/>
    <d v="2023-03-15T00:00:00"/>
    <d v="2024-03-14T00:00:00"/>
    <s v="MIST-PRD-890"/>
    <s v="GROUP MEDICLAIM -TAILORMADE-RISK FLOATER"/>
    <n v="-40380"/>
    <n v="2.5"/>
    <n v="-1009.5"/>
    <s v="Hyderabad"/>
    <n v="424816"/>
    <s v="E4"/>
    <m/>
    <s v="M A Niranjan"/>
    <s v="Manisha Marda"/>
    <x v="54"/>
    <n v="1103"/>
    <s v="Rushi"/>
    <m/>
    <m/>
    <m/>
    <s v="Updation done in saiba"/>
    <m/>
  </r>
  <r>
    <x v="1"/>
    <m/>
    <n v="510000"/>
    <s v="CBRO DELHI"/>
    <s v="OIC/23-24/577"/>
    <s v="510000/48/2023/1611"/>
    <n v="1"/>
    <s v="Fractal Ink Design Studio Private Limited"/>
    <d v="2023-02-03T00:00:00"/>
    <d v="2024-02-02T00:00:00"/>
    <s v="MIST-PRD-890"/>
    <s v="GROUP MEDICLAIM -TAILORMADE-RISK FLOATER"/>
    <n v="1"/>
    <n v="1"/>
    <n v="0.01"/>
    <s v="Delhi"/>
    <s v="NE"/>
    <s v="NE"/>
    <m/>
    <s v="Amit Pandey"/>
    <s v="Niladri Mangal Choudhury"/>
    <x v="41"/>
    <n v="2822"/>
    <s v="Rushi"/>
    <m/>
    <m/>
    <m/>
    <s v="NE"/>
    <m/>
  </r>
  <r>
    <x v="1"/>
    <m/>
    <n v="215600"/>
    <s v="DO 4 NEW DELHI"/>
    <s v="OIC/23-24/578"/>
    <s v="215600/48/2024/439"/>
    <n v="0"/>
    <s v="LUMAX TOURS AND TRAVELS LTD"/>
    <d v="2023-04-01T00:00:00"/>
    <d v="2024-03-31T00:00:00"/>
    <s v="MIST-PRD-052"/>
    <s v="MONEY INSURANCE"/>
    <n v="450"/>
    <n v="12.666666666666666"/>
    <n v="57"/>
    <s v="Delhi"/>
    <s v="NE"/>
    <s v="NE"/>
    <m/>
    <s v="Darvesh Panchal"/>
    <s v="Rohit Kumar Mehndiratta"/>
    <x v="44"/>
    <s v="Revised statement _not woking"/>
    <s v="Rushi"/>
    <m/>
    <m/>
    <m/>
    <s v="Bill ID not Generated"/>
    <m/>
  </r>
  <r>
    <x v="1"/>
    <m/>
    <n v="431500"/>
    <s v="DO IV HYDERABAD"/>
    <s v="OIC/23-24/579"/>
    <s v="431500/31/2024/481"/>
    <n v="0"/>
    <s v="LOHIYA INDUSTRIES"/>
    <d v="2023-05-29T00:00:00"/>
    <d v="2024-05-28T00:00:00"/>
    <s v="MOT-PRD-003"/>
    <s v="GCCV"/>
    <n v="16504"/>
    <n v="2.7690256907416386"/>
    <n v="457"/>
    <s v="Hyderabad"/>
    <n v="433508"/>
    <s v="0"/>
    <m/>
    <s v="Rani Sudhakar Ranipeta"/>
    <s v="Mukesh Srivastav"/>
    <x v="54"/>
    <n v="1103"/>
    <s v="Rushi"/>
    <m/>
    <m/>
    <m/>
    <s v="Updation done in saiba"/>
    <m/>
  </r>
  <r>
    <x v="1"/>
    <m/>
    <n v="431500"/>
    <s v="DO IV HYDERABAD"/>
    <s v="OIC/23-24/580"/>
    <s v="431500/48/2023/3633"/>
    <n v="4"/>
    <s v="WAVEMAKER INDIA PRIVATE LIMITED"/>
    <d v="2023-03-12T00:00:00"/>
    <d v="2024-03-11T00:00:00"/>
    <s v="MIST-PRD-001"/>
    <s v="GPA - NAMED"/>
    <n v="-248"/>
    <n v="7.504032258064516"/>
    <n v="-18.61"/>
    <s v="Hyderabad"/>
    <n v="424818"/>
    <s v="NE"/>
    <m/>
    <s v="M A Niranjan"/>
    <s v="Manisha Marda"/>
    <x v="54"/>
    <n v="1103"/>
    <s v="Rushi"/>
    <m/>
    <m/>
    <m/>
    <s v="NE"/>
    <m/>
  </r>
  <r>
    <x v="1"/>
    <m/>
    <n v="510000"/>
    <s v="CBRO DELHI"/>
    <s v="OIC/23-24/581"/>
    <s v="510000/48/2023/1618"/>
    <n v="1"/>
    <s v="DENTSU AEGIS NETWORK INDIA PRIVATE LIMITED"/>
    <d v="2023-02-03T00:00:00"/>
    <d v="2024-02-02T00:00:00"/>
    <s v="MIST-PRD-890"/>
    <s v="GROUP MEDICLAIM -TAILORMADE-RISK FLOATER"/>
    <n v="1"/>
    <n v="1"/>
    <n v="0.01"/>
    <s v="Delhi"/>
    <s v="NE"/>
    <s v="NE"/>
    <m/>
    <s v="Rakesh Kumar Singh"/>
    <s v="Pranav Das Piyush"/>
    <x v="41"/>
    <n v="2822"/>
    <s v="Rushi"/>
    <m/>
    <m/>
    <m/>
    <s v="NE"/>
    <m/>
  </r>
  <r>
    <x v="1"/>
    <m/>
    <n v="212203"/>
    <s v="CBO 13 N-34 C.PLACE"/>
    <s v="OIC/23-24/582"/>
    <s v="212203/48/2024/319"/>
    <n v="0"/>
    <s v="HAVELLS INDIA LTD"/>
    <d v="2023-04-01T00:00:00"/>
    <d v="2024-03-31T00:00:00"/>
    <s v="MIST-PRD-751"/>
    <s v="BURGLARY"/>
    <n v="1016"/>
    <n v="16.437007874015748"/>
    <n v="167"/>
    <s v="Delhi"/>
    <s v="NE"/>
    <s v="NE"/>
    <m/>
    <s v="Sumit Gupta"/>
    <s v="Saurabh Gupta"/>
    <x v="40"/>
    <n v="1074"/>
    <s v="Rushi"/>
    <m/>
    <m/>
    <m/>
    <s v="NE"/>
    <m/>
  </r>
  <r>
    <x v="1"/>
    <m/>
    <n v="272200"/>
    <s v="DO 3 NEW DELHI"/>
    <s v="OIC/23-24/583"/>
    <s v="272200/31/2024/227"/>
    <n v="0"/>
    <s v="FERMENTA BIOTECH LTD"/>
    <d v="2023-05-20T00:00:00"/>
    <d v="2024-05-19T00:00:00"/>
    <s v="MOT-PRD-015"/>
    <s v="STANDALONE OWN DAMAGE(OD)-PRIVATE CAR"/>
    <n v="159990"/>
    <n v="14.999687480467529"/>
    <n v="23998"/>
    <s v="Mumbai"/>
    <n v="437550"/>
    <s v="0"/>
    <m/>
    <s v="Anil Patil"/>
    <s v="Manisha Kirdkude"/>
    <x v="45"/>
    <n v="1088"/>
    <s v="Rushi"/>
    <m/>
    <m/>
    <m/>
    <s v="Updation done in saiba"/>
    <m/>
  </r>
  <r>
    <x v="1"/>
    <m/>
    <n v="254003"/>
    <s v="DAB GHAZIABAD"/>
    <s v="OIC/23-24/584"/>
    <s v="254003/48/2024/201"/>
    <n v="0"/>
    <s v="SURYA KANT AGRAWAL"/>
    <d v="2023-05-16T00:00:00"/>
    <d v="2024-05-15T00:00:00"/>
    <s v="MIST-PRD-943"/>
    <s v="HAPPY FAMILY FLOATER POLICY-2021"/>
    <n v="48327"/>
    <n v="14.999896538167071"/>
    <n v="7249"/>
    <s v="Delhi"/>
    <n v="438351"/>
    <s v="0"/>
    <m/>
    <s v="Kushal Bhatia"/>
    <s v="Navneet Arora"/>
    <x v="65"/>
    <n v="1100"/>
    <s v="Rushi"/>
    <m/>
    <m/>
    <m/>
    <s v="Updation done in saiba"/>
    <m/>
  </r>
  <r>
    <x v="1"/>
    <m/>
    <n v="212203"/>
    <s v="CBO 13 N-34 C.PLACE"/>
    <s v="OIC/23-24/585"/>
    <s v="212203/31/2024/335"/>
    <n v="1"/>
    <s v="UNDER SECRETARY (ADMIN -IV)"/>
    <d v="2023-05-03T00:00:00"/>
    <d v="2023-05-15T00:00:00"/>
    <s v="MOT-PRD-012"/>
    <s v="PRIVATE CAR-(3 Years)"/>
    <n v="-18665"/>
    <n v="7.1309938387356011"/>
    <n v="-1331"/>
    <s v="Delhi"/>
    <s v="Contra"/>
    <s v="Contra"/>
    <m/>
    <s v="NA"/>
    <s v="NA"/>
    <x v="40"/>
    <n v="1074"/>
    <s v="Rushi"/>
    <m/>
    <m/>
    <m/>
    <s v="Contra"/>
    <m/>
  </r>
  <r>
    <x v="1"/>
    <m/>
    <n v="411700"/>
    <s v="DO 7 CHENNAI"/>
    <s v="OIC/23-24/586"/>
    <s v="411700/48/2023/2420"/>
    <n v="9"/>
    <s v="FINANCIAL SOFTWARE &amp; SYSTEMS (P) LTD."/>
    <d v="2022-10-01T00:00:00"/>
    <d v="2023-09-30T00:00:00"/>
    <s v="MIST-PRD-890"/>
    <s v="GROUP MEDICLAIM -TAILORMADE-RISK FLOATER"/>
    <n v="91317"/>
    <n v="0.99981383532091506"/>
    <n v="913"/>
    <s v="Chennai"/>
    <n v="407988"/>
    <s v="E6"/>
    <m/>
    <s v="Meenakshi Menon"/>
    <s v="Sudha.S"/>
    <x v="61"/>
    <n v="1069"/>
    <s v="Rushi"/>
    <m/>
    <m/>
    <m/>
    <s v="Updation done in saiba"/>
    <m/>
  </r>
  <r>
    <x v="1"/>
    <m/>
    <n v="212203"/>
    <s v="CBO 13 N-34 C.PLACE"/>
    <s v="OIC/23-24/587"/>
    <s v="212203/31/2024/402"/>
    <n v="0"/>
    <s v="COMMISSIONER OF POLICE"/>
    <d v="2023-05-20T00:00:00"/>
    <d v="2024-05-19T00:00:00"/>
    <s v="MOT-PRD-015"/>
    <s v="STANDALONE OWN DAMAGE(OD)-PRIVATE CAR"/>
    <n v="8111"/>
    <n v="14.991986191591666"/>
    <n v="1216"/>
    <s v="Delhi"/>
    <n v="439473"/>
    <s v="0"/>
    <m/>
    <s v="NA"/>
    <s v="NA"/>
    <x v="40"/>
    <n v="1074"/>
    <s v="Rushi"/>
    <m/>
    <m/>
    <m/>
    <s v="Updation done in saiba"/>
    <m/>
  </r>
  <r>
    <x v="1"/>
    <m/>
    <n v="421300"/>
    <s v="DO 3 BANGALORE"/>
    <s v="OIC/23-24/588"/>
    <s v="421300/48/2023/1352"/>
    <n v="3"/>
    <s v="CREATIVE SYNERGIES CONSULTING INDIA PVT LTD"/>
    <d v="2022-11-25T00:00:00"/>
    <d v="2023-11-24T00:00:00"/>
    <s v="MIST-PRD-890"/>
    <s v="GROUP MEDICLAIM -TAILORMADE-RISK FLOATER"/>
    <n v="221076"/>
    <n v="4"/>
    <n v="8843.0400000000009"/>
    <s v="Bangalore"/>
    <n v="430789"/>
    <s v="E1"/>
    <m/>
    <s v="Jaya Chitra.M"/>
    <s v="Aiyappa Parivaranayaka Mahadeva"/>
    <x v="42"/>
    <n v="1052"/>
    <s v="Rushi"/>
    <m/>
    <m/>
    <m/>
    <s v="Updation done in saiba"/>
    <m/>
  </r>
  <r>
    <x v="1"/>
    <m/>
    <n v="421100"/>
    <s v="CBU Bangalore"/>
    <s v="OIC/23-24/589"/>
    <s v="421100/48/2023/134"/>
    <n v="17"/>
    <s v="INFOSTRETCH CORPORATION INDIA PRIVATE LIMITED"/>
    <d v="2022-05-01T00:00:00"/>
    <d v="2023-04-30T00:00:00"/>
    <s v="MIST-PRD-890"/>
    <s v="GROUP MEDICLAIM -TAILORMADE-RISK FLOATER"/>
    <n v="-20789"/>
    <n v="5.5000240511809135"/>
    <n v="-1143.4000000000001"/>
    <s v="Pune"/>
    <n v="399429"/>
    <s v="NE"/>
    <m/>
    <s v="Sheetal Gurav"/>
    <s v="Aatish Gaurav"/>
    <x v="50"/>
    <n v="1047"/>
    <s v="Rushi"/>
    <m/>
    <m/>
    <m/>
    <s v="NE"/>
    <m/>
  </r>
  <r>
    <x v="1"/>
    <m/>
    <n v="212203"/>
    <s v="CBO 13 N-34 C.PLACE"/>
    <s v="OIC/23-24/590"/>
    <s v="212203/31/2024/284"/>
    <n v="0"/>
    <s v="Vijayawada Municipal Coropration(VMC)"/>
    <d v="2023-05-06T00:00:00"/>
    <d v="2024-05-05T00:00:00"/>
    <s v="MOT-PRD-001"/>
    <s v="PRIVATE CAR"/>
    <n v="9229"/>
    <n v="12.254848846028821"/>
    <n v="1131"/>
    <s v="Delhi"/>
    <n v="439302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591"/>
    <s v="510000/48/2023/676"/>
    <n v="17"/>
    <s v="JCB INDIA LIMITED"/>
    <d v="2022-06-01T00:00:00"/>
    <d v="2023-05-31T00:00:00"/>
    <s v="MIST-PRD-890"/>
    <s v="GROUP MEDICLAIM -TAILORMADE-RISK FLOATER"/>
    <n v="736"/>
    <n v="0"/>
    <n v="0"/>
    <s v="Pune"/>
    <n v="402797"/>
    <s v="E3"/>
    <m/>
    <s v="Atul Chordiya"/>
    <s v="Amit Rokade"/>
    <x v="41"/>
    <n v="2822"/>
    <s v="Rushi"/>
    <m/>
    <m/>
    <m/>
    <s v="Updation done in saiba"/>
    <m/>
  </r>
  <r>
    <x v="1"/>
    <m/>
    <n v="272200"/>
    <s v="DO 3 NEW DELHI"/>
    <s v="OIC/23-24/592"/>
    <s v="272200/31/2024/223"/>
    <n v="0"/>
    <s v="JCB INDIA LTD"/>
    <d v="2023-05-17T00:00:00"/>
    <d v="2024-05-16T00:00:00"/>
    <s v="MOT-PRD-006"/>
    <s v="MISCELANEOUS CLASS D VEHICLES"/>
    <n v="12981"/>
    <n v="6.5480317386950153"/>
    <n v="850"/>
    <s v="Delhi"/>
    <s v="NE"/>
    <s v="NE"/>
    <m/>
    <s v="Tejinder Pal Singh"/>
    <s v="Pushpinder Kaur"/>
    <x v="45"/>
    <n v="1088"/>
    <s v="Rushi"/>
    <m/>
    <m/>
    <m/>
    <s v="NE"/>
    <m/>
  </r>
  <r>
    <x v="1"/>
    <m/>
    <n v="311800"/>
    <s v="CBU Kolkata"/>
    <s v="OIC/23-24/593"/>
    <s v="311800/48/2024/234"/>
    <n v="0"/>
    <s v="ORISSA ALLOY STEEL PRIVATE LIMITED"/>
    <d v="2023-05-11T00:00:00"/>
    <d v="2024-05-07T00:00:00"/>
    <s v="MIST-PRD-049"/>
    <s v="SPECIAL CONTINGENCY - POLICY"/>
    <n v="555987"/>
    <n v="12.500112412700297"/>
    <n v="69499"/>
    <s v="Delhi"/>
    <s v="NE"/>
    <s v="NE"/>
    <m/>
    <s v="Suapense"/>
    <s v="Suapense"/>
    <x v="66"/>
    <n v="1151"/>
    <s v="Rushi"/>
    <m/>
    <m/>
    <m/>
    <s v="NE"/>
    <m/>
  </r>
  <r>
    <x v="1"/>
    <m/>
    <n v="510000"/>
    <s v="CBRO DELHI"/>
    <s v="OIC/23-24/594"/>
    <s v="510000/48/2024/155"/>
    <n v="0"/>
    <s v="NUCLEUS SOFTWARE EXPORT LIMITED"/>
    <d v="2023-04-01T00:00:00"/>
    <d v="2024-03-31T00:00:00"/>
    <s v="MIST-PRD-890"/>
    <s v="GROUP MEDICLAIM -TAILORMADE-RISK FLOATER"/>
    <n v="35700000"/>
    <n v="0"/>
    <n v="0"/>
    <s v="Delhi"/>
    <n v="435884"/>
    <s v="0"/>
    <m/>
    <s v="Abhishek Sharma"/>
    <s v="Ishita Sharma"/>
    <x v="41"/>
    <n v="2822"/>
    <s v="Rushi"/>
    <m/>
    <m/>
    <m/>
    <s v="Updation done in saiba"/>
    <m/>
  </r>
  <r>
    <x v="1"/>
    <m/>
    <n v="431500"/>
    <s v="DO IV HYDERABAD"/>
    <s v="OIC/23-24/595"/>
    <s v="431500/48/2023/3635"/>
    <n v="2"/>
    <s v="WAVEMAKER INDIA PRIVATE LIMITED"/>
    <d v="2023-03-15T00:00:00"/>
    <d v="2024-03-14T00:00:00"/>
    <s v="MIST-PRD-890"/>
    <s v="GROUP MEDICLAIM -TAILORMADE-RISK FLOATER"/>
    <n v="100870"/>
    <n v="7.5"/>
    <n v="7565.25"/>
    <s v="Hyderabad"/>
    <n v="424815"/>
    <s v="NE"/>
    <m/>
    <s v="M A Niranjan"/>
    <s v="Manisha Marda"/>
    <x v="54"/>
    <n v="1103"/>
    <s v="Rushi"/>
    <m/>
    <m/>
    <m/>
    <s v="NE"/>
    <m/>
  </r>
  <r>
    <x v="1"/>
    <m/>
    <n v="421100"/>
    <s v="CBU Bangalore"/>
    <s v="OIC/23-24/596"/>
    <s v="421100/48/2023/481"/>
    <n v="5"/>
    <s v="OPUS SOFTWARE SOLUTIONS PRIVATE LIMITED"/>
    <d v="2022-10-11T00:00:00"/>
    <d v="2023-10-10T00:00:00"/>
    <s v="MIST-PRD-890"/>
    <s v="GROUP MEDICLAIM -TAILORMADE-RISK FLOATER"/>
    <n v="379996"/>
    <n v="0"/>
    <n v="0"/>
    <s v="Pune"/>
    <s v="NE"/>
    <s v="NE"/>
    <m/>
    <s v="Suspense"/>
    <s v="Suspense"/>
    <x v="50"/>
    <n v="1047"/>
    <s v="Rushi"/>
    <m/>
    <m/>
    <m/>
    <s v="NE"/>
    <m/>
  </r>
  <r>
    <x v="1"/>
    <m/>
    <n v="431500"/>
    <s v="DO IV HYDERABAD"/>
    <s v="OIC/23-24/597"/>
    <s v="431500/48/2023/3633"/>
    <n v="3"/>
    <s v="WAVEMAKER INDIA PRIVATE LIMITED"/>
    <d v="2023-03-12T00:00:00"/>
    <d v="2024-03-11T00:00:00"/>
    <s v="MIST-PRD-001"/>
    <s v="GPA - NAMED"/>
    <n v="1248"/>
    <n v="7.5008012820512819"/>
    <n v="93.61"/>
    <s v="Hyderabad"/>
    <n v="424818"/>
    <s v="NE"/>
    <m/>
    <s v="M A Niranjan"/>
    <s v="Manisha Marda"/>
    <x v="54"/>
    <n v="1103"/>
    <s v="Rushi"/>
    <m/>
    <m/>
    <m/>
    <s v="NE"/>
    <m/>
  </r>
  <r>
    <x v="1"/>
    <m/>
    <n v="431500"/>
    <s v="DO IV HYDERABAD"/>
    <s v="OIC/23-24/598"/>
    <s v="431500/31/2024/219"/>
    <n v="0"/>
    <s v="LOHIYA EDIBLE OILS PRIVATE LIMITED"/>
    <d v="2023-05-06T00:00:00"/>
    <d v="2024-05-05T00:00:00"/>
    <s v="MOT-PRD-003"/>
    <s v="GCCV"/>
    <n v="28345"/>
    <n v="2.9917092961721643"/>
    <n v="848"/>
    <s v="Hyderabad"/>
    <n v="430266"/>
    <s v="0"/>
    <m/>
    <s v="Rani Sudhakar Ranipeta"/>
    <s v="Mukesh Srivastav"/>
    <x v="54"/>
    <n v="1103"/>
    <s v="Rushi"/>
    <m/>
    <m/>
    <m/>
    <s v="Updation done in saiba"/>
    <m/>
  </r>
  <r>
    <x v="1"/>
    <m/>
    <n v="215600"/>
    <s v="DO 4 NEW DELHI"/>
    <s v="OIC/23-24/599"/>
    <s v="215600/48/2024/481"/>
    <n v="0"/>
    <s v="LUMAX INDUSTRIES LTD."/>
    <d v="2023-04-07T00:00:00"/>
    <d v="2024-04-06T00:00:00"/>
    <s v="MIST-PRD-751"/>
    <s v="BURGLARY"/>
    <n v="6000"/>
    <n v="12.5"/>
    <n v="750"/>
    <s v="Delhi"/>
    <n v="438741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600"/>
    <s v="212203/31/2024/503"/>
    <n v="0"/>
    <s v="THE DIRECTOR ANERT"/>
    <d v="2023-06-01T00:00:00"/>
    <d v="2024-05-31T00:00:00"/>
    <s v="MOT-PRD-015"/>
    <s v="STANDALONE OWN DAMAGE(OD)-PRIVATE CAR"/>
    <n v="8033"/>
    <n v="15.000622432466077"/>
    <n v="1205"/>
    <s v="Delhi"/>
    <n v="439491"/>
    <s v="0"/>
    <m/>
    <s v="NA"/>
    <s v="NA"/>
    <x v="40"/>
    <n v="1074"/>
    <s v="Rushi"/>
    <m/>
    <m/>
    <m/>
    <s v="Updation done in saiba"/>
    <m/>
  </r>
  <r>
    <x v="1"/>
    <m/>
    <n v="233600"/>
    <s v="DO RAJPURA"/>
    <s v="OIC/23-24/601"/>
    <s v="233600/48/2023/1973"/>
    <n v="7"/>
    <s v="HUDL INDIA PRIVATE LIMITED"/>
    <d v="2023-02-25T00:00:00"/>
    <d v="2024-02-24T00:00:00"/>
    <s v="MIST-PRD-001"/>
    <s v="GPA - NAMED"/>
    <n v="-3384"/>
    <n v="7.5"/>
    <n v="-253.8"/>
    <s v="Mumbai"/>
    <n v="421676"/>
    <s v="NE"/>
    <m/>
    <s v="Ashita Lotia"/>
    <s v="Manpreet Kaur Gill"/>
    <x v="59"/>
    <n v="1112"/>
    <s v="Rushi"/>
    <m/>
    <m/>
    <m/>
    <s v="NE"/>
    <m/>
  </r>
  <r>
    <x v="1"/>
    <m/>
    <n v="421100"/>
    <s v="CBU Bangalore"/>
    <s v="OIC/23-24/602"/>
    <s v="421100/48/2024/187"/>
    <n v="0"/>
    <s v="INFOSTRETCH CORPORATION INDIA PRIVATE LIMITED"/>
    <d v="2023-05-01T00:00:00"/>
    <d v="2024-04-30T00:00:00"/>
    <s v="MIST-PRD-890"/>
    <s v="GROUP MEDICLAIM -TAILORMADE-RISK FLOATER"/>
    <n v="3736264"/>
    <n v="6.0000042823526387"/>
    <n v="224176"/>
    <s v="Pune"/>
    <n v="444224"/>
    <n v="0"/>
    <m/>
    <s v="Suspense"/>
    <s v="Suspense"/>
    <x v="50"/>
    <n v="1047"/>
    <s v="Rushi"/>
    <m/>
    <m/>
    <m/>
    <s v="Updation done in saiba"/>
    <m/>
  </r>
  <r>
    <x v="1"/>
    <m/>
    <n v="222105"/>
    <s v="KANPUR DEHAT"/>
    <s v="OIC/23-24/603"/>
    <s v="222105/48/2024/336"/>
    <n v="0"/>
    <s v="A VAIDYANATHAN"/>
    <d v="2023-05-22T00:00:00"/>
    <d v="2024-05-21T00:00:00"/>
    <s v="MIST-PRD-943"/>
    <s v="HAPPY FAMILY FLOATER POLICY-2021"/>
    <n v="43966"/>
    <n v="15.000227448482917"/>
    <n v="6595"/>
    <s v="Delhi"/>
    <n v="436640"/>
    <s v="0"/>
    <m/>
    <s v="Kushal Bhatia"/>
    <s v="Ankit Kumar Gangwar"/>
    <x v="53"/>
    <n v="1092"/>
    <s v="Rushi"/>
    <m/>
    <m/>
    <m/>
    <s v="Updation done in saiba"/>
    <m/>
  </r>
  <r>
    <x v="1"/>
    <m/>
    <n v="222105"/>
    <s v="KANPUR DEHAT"/>
    <s v="OIC/23-24/604"/>
    <s v="222105/48/2024/352"/>
    <n v="0"/>
    <s v="SUSHANT KAKAR"/>
    <d v="2023-06-01T00:00:00"/>
    <d v="2024-05-31T00:00:00"/>
    <s v="MIST-PRD-943"/>
    <s v="HAPPY FAMILY FLOATER POLICY-2021"/>
    <n v="16010"/>
    <n v="15.003123048094942"/>
    <n v="2402"/>
    <s v="Delhi"/>
    <n v="438381"/>
    <s v="0"/>
    <m/>
    <s v="Kushal Bhatia"/>
    <s v="Navneet Arora"/>
    <x v="53"/>
    <n v="1092"/>
    <s v="Rushi"/>
    <m/>
    <m/>
    <m/>
    <s v="Updation done in saiba"/>
    <m/>
  </r>
  <r>
    <x v="1"/>
    <m/>
    <n v="212203"/>
    <s v="CBO 13 N-34 C.PLACE"/>
    <s v="OIC/23-24/605"/>
    <s v="212203/31/2024/438"/>
    <n v="0"/>
    <s v="SOUTH DELHI MUNICIPAL CORPORATION"/>
    <d v="2023-05-24T00:00:00"/>
    <d v="2024-05-23T00:00:00"/>
    <s v="MOT-PRD-001"/>
    <s v="PRIVATE CAR"/>
    <n v="3338"/>
    <n v="7.3996405032953856"/>
    <n v="247"/>
    <s v="Delhi"/>
    <s v="NE"/>
    <s v="NE"/>
    <m/>
    <s v="Suspense"/>
    <s v="Suspense"/>
    <x v="40"/>
    <n v="1074"/>
    <s v="Rushi"/>
    <m/>
    <m/>
    <m/>
    <s v="NE"/>
    <m/>
  </r>
  <r>
    <x v="1"/>
    <m/>
    <n v="111900"/>
    <s v="MCDO 14"/>
    <s v="OIC/23-24/606"/>
    <s v="111900/22/2023/741"/>
    <n v="2"/>
    <s v="M/S. JAYDEEP ASSOCIATES PVT. LTD. VESSEL: Wainani. GRT:1451 YOB: 2008"/>
    <d v="2023-02-15T00:00:00"/>
    <d v="2024-02-14T00:00:00"/>
    <s v="MH-PRD-003"/>
    <s v="INLAND VESSELS"/>
    <n v="46250"/>
    <n v="11.500540540540541"/>
    <n v="5319"/>
    <s v="Mumbai"/>
    <n v="422479"/>
    <s v="E1"/>
    <m/>
    <s v="Lakshmanan Subramanian Iyer"/>
    <s v="Saikumar G Shirwatkar"/>
    <x v="67"/>
    <n v="1136"/>
    <s v="Rushi"/>
    <m/>
    <m/>
    <m/>
    <s v="Updation done in saiba"/>
    <m/>
  </r>
  <r>
    <x v="1"/>
    <m/>
    <n v="510000"/>
    <s v="CBRO DELHI"/>
    <s v="OIC/23-24/607"/>
    <s v="510000/48/2023/1406"/>
    <n v="3"/>
    <s v="Bharat Stars Services Private Limited"/>
    <d v="2023-01-30T00:00:00"/>
    <d v="2023-12-20T00:00:00"/>
    <s v="MIST-PRD-890"/>
    <s v="GROUP MEDICLAIM -TAILORMADE-RISK FLOATER"/>
    <n v="271527"/>
    <n v="2.1800005156025"/>
    <n v="5919.29"/>
    <s v="Delhi"/>
    <n v="423165"/>
    <s v="NE"/>
    <m/>
    <s v="Rajiv Choudhary"/>
    <s v="Kamal Bora"/>
    <x v="41"/>
    <n v="2822"/>
    <s v="Rushi"/>
    <m/>
    <m/>
    <m/>
    <s v="NE"/>
    <m/>
  </r>
  <r>
    <x v="1"/>
    <m/>
    <n v="510000"/>
    <s v="CBRO DELHI"/>
    <s v="OIC/23-24/608"/>
    <s v="510000/11/2024/60"/>
    <n v="0"/>
    <s v="M/S MOHAN CLOTHING CO.PVT.LTD"/>
    <d v="2023-04-29T00:00:00"/>
    <d v="2024-04-28T00:00:00"/>
    <s v="FIR-PRD-006"/>
    <s v="STANDARD FIRE -- New Tariff"/>
    <n v="1341878"/>
    <n v="11.500002235672691"/>
    <n v="154316"/>
    <s v="Delhi"/>
    <n v="431006"/>
    <s v="0"/>
    <m/>
    <s v="Sudhir Soni"/>
    <s v="Hemant Kumar Gupta"/>
    <x v="41"/>
    <n v="2822"/>
    <s v="Rushi"/>
    <m/>
    <m/>
    <s v="Brokerage % need to update"/>
    <s v="Modification required"/>
    <m/>
  </r>
  <r>
    <x v="1"/>
    <m/>
    <n v="212203"/>
    <s v="CBO 13 N-34 C.PLACE"/>
    <s v="OIC/23-24/609"/>
    <s v="212203/31/2024/301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7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610"/>
    <s v="212203/31/2024/329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44"/>
    <s v="0"/>
    <m/>
    <s v="NA"/>
    <s v="NA"/>
    <x v="40"/>
    <n v="1074"/>
    <s v="Rushi"/>
    <m/>
    <m/>
    <m/>
    <s v="Updation done in saiba"/>
    <m/>
  </r>
  <r>
    <x v="1"/>
    <m/>
    <n v="421300"/>
    <s v="DO 3 BANGALORE"/>
    <s v="OIC/23-24/611"/>
    <s v="421300/48/2023/1215"/>
    <n v="4"/>
    <s v="MOVIUS SOFTWARE PRIVATE LIMITED"/>
    <d v="2022-12-09T00:00:00"/>
    <d v="2023-12-08T00:00:00"/>
    <s v="MIST-PRD-890"/>
    <s v="GROUP MEDICLAIM -TAILORMADE-RISK FLOATER"/>
    <n v="-48049"/>
    <n v="7.5000104060438302"/>
    <n v="-3603.68"/>
    <s v="Bangalore"/>
    <n v="416160"/>
    <s v="E1"/>
    <m/>
    <s v="Jaya Chitra.M"/>
    <s v="Raghuram P S"/>
    <x v="42"/>
    <n v="1052"/>
    <s v="Rushi"/>
    <m/>
    <m/>
    <m/>
    <s v="Updation done in saiba"/>
    <m/>
  </r>
  <r>
    <x v="1"/>
    <m/>
    <n v="215600"/>
    <s v="DO 4 NEW DELHI"/>
    <s v="OIC/23-24/612"/>
    <s v="215600/48/2024/478"/>
    <n v="0"/>
    <s v="M/S LUMAX MANNOH ALLIED TECHNOLOGIES LTD."/>
    <d v="2023-04-01T00:00:00"/>
    <d v="2024-03-31T00:00:00"/>
    <s v="MIST-PRD-751"/>
    <s v="BURGLARY"/>
    <n v="251"/>
    <n v="12.350597609561754"/>
    <n v="31"/>
    <s v="Delhi"/>
    <n v="429075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613"/>
    <s v="215600/48/2024/532"/>
    <n v="0"/>
    <s v="LUMAX ANCILLARY LIMITED"/>
    <d v="2023-04-01T00:00:00"/>
    <d v="2024-03-31T00:00:00"/>
    <s v="MIST-PRD-052"/>
    <s v="MONEY INSURANCE"/>
    <n v="340"/>
    <n v="12.647058823529411"/>
    <n v="43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72200"/>
    <s v="DO 3 NEW DELHI"/>
    <s v="OIC/23-24/614"/>
    <s v="272200/31/2024/214"/>
    <n v="0"/>
    <s v="YOUTH HOSTELS ASSOCIATION OF INDIA"/>
    <d v="2023-05-16T00:00:00"/>
    <d v="2024-05-15T00:00:00"/>
    <s v="MOT-PRD-002"/>
    <s v="MOTORISED-TWO WHEELERS"/>
    <n v="870"/>
    <n v="4.2528735632183912"/>
    <n v="37"/>
    <s v="Delhi"/>
    <s v="NE"/>
    <s v="NE"/>
    <m/>
    <s v="Suspense"/>
    <s v="Suspense"/>
    <x v="45"/>
    <n v="1088"/>
    <s v="Rushi"/>
    <m/>
    <m/>
    <m/>
    <s v="NE"/>
    <m/>
  </r>
  <r>
    <x v="1"/>
    <m/>
    <n v="222104"/>
    <s v="CBO 1 KANPUR"/>
    <s v="OIC/23-24/615"/>
    <s v="222104/48/2023/1358"/>
    <n v="2"/>
    <s v="CONSCIENT SPORTS LLP"/>
    <d v="2023-02-28T00:00:00"/>
    <d v="2024-02-27T00:00:00"/>
    <s v="MIST-PRD-001"/>
    <s v="GPA - NAMED"/>
    <n v="1624"/>
    <n v="7.5000000000000009"/>
    <n v="121.8"/>
    <s v="Delhi"/>
    <s v="NE"/>
    <s v="NE"/>
    <m/>
    <s v="Rakesh Kumar Singh"/>
    <s v="Pranav Das Piyush"/>
    <x v="46"/>
    <n v="1091"/>
    <s v="Rushi"/>
    <m/>
    <m/>
    <m/>
    <s v="NE"/>
    <m/>
  </r>
  <r>
    <x v="1"/>
    <m/>
    <n v="212203"/>
    <s v="CBO 13 N-34 C.PLACE"/>
    <s v="OIC/23-24/616"/>
    <s v="212203/31/2024/336"/>
    <n v="1"/>
    <s v="UNDER SECRETARY (ADMIN -IV)"/>
    <d v="2023-05-03T00:00:00"/>
    <d v="2023-05-15T00:00:00"/>
    <s v="MOT-PRD-012"/>
    <s v="PRIVATE CAR-(3 Years)"/>
    <n v="-18665"/>
    <n v="7.1309938387356011"/>
    <n v="-1331"/>
    <s v="Delhi"/>
    <s v="Contra"/>
    <s v="Contra"/>
    <m/>
    <s v="NA"/>
    <s v="NA"/>
    <x v="40"/>
    <n v="1074"/>
    <s v="Rushi"/>
    <m/>
    <m/>
    <m/>
    <s v="Contra"/>
    <m/>
  </r>
  <r>
    <x v="1"/>
    <m/>
    <n v="215600"/>
    <s v="DO 4 NEW DELHI"/>
    <s v="OIC/23-24/617"/>
    <s v="215600/48/2024/378"/>
    <n v="0"/>
    <s v="LUMAX AUTO TECHNOLOGIES LIMITED"/>
    <d v="2023-04-01T00:00:00"/>
    <d v="2024-03-31T00:00:00"/>
    <s v="MIST-PRD-753"/>
    <s v="BURGLARY FLOATER"/>
    <n v="99"/>
    <n v="12.121212121212121"/>
    <n v="12"/>
    <s v="Delhi"/>
    <n v="429005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618"/>
    <s v="212203/31/2024/292"/>
    <n v="0"/>
    <s v="GARDENREACH SHIPBUILDERS &amp; ENGG LTD"/>
    <d v="2023-05-07T00:00:00"/>
    <d v="2024-05-06T00:00:00"/>
    <s v="MOT-PRD-015"/>
    <s v="STANDALONE OWN DAMAGE(OD)-PRIVATE CAR"/>
    <n v="5726"/>
    <n v="15.00174641983933"/>
    <n v="859"/>
    <s v="Delhi"/>
    <n v="439463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619"/>
    <s v="510000/48/2023/1561"/>
    <n v="2"/>
    <s v="DENTSU ADVERTISING AND MEDIA SERVICES INDIA PRIVATE LIMITED"/>
    <d v="2023-01-12T00:00:00"/>
    <d v="2023-12-31T00:00:00"/>
    <s v="MIST-PRD-890"/>
    <s v="GROUP MEDICLAIM -TAILORMADE-RISK FLOATER"/>
    <n v="10486"/>
    <n v="5"/>
    <n v="524.29999999999995"/>
    <s v="Delhi"/>
    <n v="430579"/>
    <s v="NE"/>
    <m/>
    <s v="Amit Pandey"/>
    <s v="Niladri Mangal Choudhury"/>
    <x v="41"/>
    <n v="2822"/>
    <s v="Rushi"/>
    <m/>
    <m/>
    <m/>
    <s v="NE"/>
    <m/>
  </r>
  <r>
    <x v="1"/>
    <m/>
    <n v="215600"/>
    <s v="DO 4 NEW DELHI"/>
    <s v="OIC/23-24/620"/>
    <s v="215600/48/2024/479"/>
    <n v="0"/>
    <s v="M/S LUMAX MANNOH ALLIED TECHNOLOGIES LTD."/>
    <d v="2023-04-01T00:00:00"/>
    <d v="2024-03-31T00:00:00"/>
    <s v="MIST-PRD-753"/>
    <s v="BURGLARY FLOATER"/>
    <n v="495"/>
    <n v="12.727272727272727"/>
    <n v="63"/>
    <s v="Delhi"/>
    <n v="429079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431500"/>
    <s v="DO IV HYDERABAD"/>
    <s v="OIC/23-24/621"/>
    <s v="431500/31/2024/484"/>
    <n v="0"/>
    <s v="LOHIYA EDIBLE OILS PRIVATE LIMITED"/>
    <d v="2023-05-23T00:00:00"/>
    <d v="2024-05-22T00:00:00"/>
    <s v="MOT-PRD-015"/>
    <s v="STANDALONE OWN DAMAGE(OD)-PRIVATE CAR"/>
    <n v="13287"/>
    <n v="14.992097538947844"/>
    <n v="1992"/>
    <s v="Hyderabad"/>
    <n v="434376"/>
    <s v="0"/>
    <m/>
    <s v="Rani Sudhakar Ranipeta"/>
    <s v="Mukesh Srivastav"/>
    <x v="54"/>
    <n v="1103"/>
    <s v="Rushi"/>
    <m/>
    <m/>
    <m/>
    <s v="Updation done in saiba"/>
    <m/>
  </r>
  <r>
    <x v="1"/>
    <m/>
    <n v="212203"/>
    <s v="CBO 13 N-34 C.PLACE"/>
    <s v="OIC/23-24/622"/>
    <s v="212203/31/2024/444"/>
    <n v="0"/>
    <s v="SOUTH DELHI MUNICIPAL CORPORATION"/>
    <d v="2023-05-24T00:00:00"/>
    <d v="2024-05-23T00:00:00"/>
    <s v="MOT-PRD-001"/>
    <s v="PRIVATE CAR"/>
    <n v="3256"/>
    <n v="7.2174447174447174"/>
    <n v="235"/>
    <s v="Delhi"/>
    <s v="NE"/>
    <s v="NE"/>
    <m/>
    <s v="Suspense"/>
    <s v="Suspense"/>
    <x v="40"/>
    <n v="1074"/>
    <s v="Rushi"/>
    <m/>
    <m/>
    <m/>
    <s v="NE"/>
    <m/>
  </r>
  <r>
    <x v="1"/>
    <m/>
    <n v="431500"/>
    <s v="DO IV HYDERABAD"/>
    <s v="OIC/23-24/623"/>
    <s v="431500/31/2024/398"/>
    <n v="0"/>
    <s v="AGI GREEN PAC LTD"/>
    <d v="2023-05-18T00:00:00"/>
    <d v="2024-05-17T00:00:00"/>
    <s v="MOT-PRD-001"/>
    <s v="PRIVATE CAR"/>
    <n v="3406"/>
    <n v="5.9307105108631823"/>
    <n v="202"/>
    <s v="Hyderabad"/>
    <n v="433088"/>
    <s v="0"/>
    <m/>
    <s v="Rani Sudhakar Ranipeta"/>
    <s v="Mukesh Srivastav"/>
    <x v="54"/>
    <n v="1103"/>
    <s v="Rushi"/>
    <m/>
    <m/>
    <m/>
    <s v="Updation done in saiba"/>
    <m/>
  </r>
  <r>
    <x v="1"/>
    <m/>
    <n v="431200"/>
    <s v="CBU Hyderabad"/>
    <s v="OIC/23-24/624"/>
    <s v="431200/44/2024/15"/>
    <n v="0"/>
    <s v="SANDVIK MINING AND ROCK TECHNOLOGY INDIA PRIVATE LIMITED"/>
    <d v="2023-05-08T00:00:00"/>
    <d v="2024-05-06T00:00:00"/>
    <s v="ENG-PRD-003"/>
    <s v="CONTRACTORS PLANT AND MACHINERY"/>
    <n v="2780000"/>
    <n v="12.5"/>
    <n v="347500"/>
    <s v="Pune"/>
    <n v="433433"/>
    <s v="0"/>
    <m/>
    <s v="Shuvajeet Chatterjee"/>
    <s v="Nimisha Menon"/>
    <x v="68"/>
    <n v="1106"/>
    <s v="Rushi"/>
    <m/>
    <m/>
    <m/>
    <s v="Updation done in saiba"/>
    <m/>
  </r>
  <r>
    <x v="1"/>
    <m/>
    <n v="212203"/>
    <s v="CBO 13 N-34 C.PLACE"/>
    <s v="OIC/23-24/625"/>
    <s v="212203/31/2024/310"/>
    <n v="0"/>
    <s v="THE DIRECTOR ANERT"/>
    <d v="2023-05-11T00:00:00"/>
    <d v="2024-05-10T00:00:00"/>
    <s v="MOT-PRD-015"/>
    <s v="STANDALONE OWN DAMAGE(OD)-PRIVATE CAR"/>
    <n v="8033"/>
    <n v="15.000622432466077"/>
    <n v="1205"/>
    <s v="Delhi"/>
    <n v="439464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626"/>
    <s v="510000/48/2023/1563"/>
    <n v="1"/>
    <s v="MILESTONE BRANDCOM PRIVATE LIMITED"/>
    <d v="2023-02-07T00:00:00"/>
    <d v="2023-12-31T00:00:00"/>
    <s v="MIST-PRD-890"/>
    <s v="GROUP MEDICLAIM -TAILORMADE-RISK FLOATER"/>
    <n v="-4760"/>
    <n v="5"/>
    <n v="-238"/>
    <s v="Delhi"/>
    <n v="430683"/>
    <s v="NE"/>
    <m/>
    <s v="Amit Pandey"/>
    <s v="Niladri Mangal Choudhury"/>
    <x v="41"/>
    <n v="2822"/>
    <s v="Rushi"/>
    <m/>
    <m/>
    <m/>
    <s v="NE"/>
    <m/>
  </r>
  <r>
    <x v="1"/>
    <m/>
    <n v="510000"/>
    <s v="CBRO DELHI"/>
    <s v="OIC/23-24/627"/>
    <s v="510000/11/2023/481"/>
    <n v="4"/>
    <s v="M/S R.SYSTEMS INTERNATIONAL LTD."/>
    <d v="2023-02-07T00:00:00"/>
    <d v="2024-01-26T00:00:00"/>
    <s v="FIR-PRD-006"/>
    <s v="STANDARD FIRE -- New Tariff"/>
    <n v="3634"/>
    <n v="9.8238855255916331"/>
    <n v="357"/>
    <s v="Delhi"/>
    <n v="423526"/>
    <s v="E1"/>
    <m/>
    <s v="Sumit Gupta"/>
    <s v="Sahil Wadhwa"/>
    <x v="41"/>
    <n v="2822"/>
    <s v="Rushi"/>
    <m/>
    <m/>
    <s v="Brokerage % need to update"/>
    <s v="Modification required"/>
    <m/>
  </r>
  <r>
    <x v="1"/>
    <m/>
    <n v="510000"/>
    <s v="CBRO DELHI"/>
    <s v="OIC/23-24/628"/>
    <s v="510000/48/2023/1560"/>
    <n v="2"/>
    <s v="DENTSU WEBCHUTNEY PRIVATE LIMITED"/>
    <d v="2023-02-07T00:00:00"/>
    <d v="2023-12-31T00:00:00"/>
    <s v="MIST-PRD-890"/>
    <s v="GROUP MEDICLAIM -TAILORMADE-RISK FLOATER"/>
    <n v="-41715"/>
    <n v="5"/>
    <n v="-2085.75"/>
    <s v="Delhi"/>
    <n v="430685"/>
    <s v="NE"/>
    <m/>
    <s v="Amit Pandey"/>
    <s v="Niladri Mangal Choudhury"/>
    <x v="41"/>
    <n v="2822"/>
    <s v="Rushi"/>
    <m/>
    <m/>
    <m/>
    <s v="NE"/>
    <m/>
  </r>
  <r>
    <x v="1"/>
    <m/>
    <n v="212203"/>
    <s v="CBO 13 N-34 C.PLACE"/>
    <s v="OIC/23-24/629"/>
    <s v="212203/31/2024/479"/>
    <n v="0"/>
    <s v="JHARKHAND BIJLI VITRAN NIGAM LTD"/>
    <d v="2023-05-30T00:00:00"/>
    <d v="2024-05-29T00:00:00"/>
    <s v="MOT-PRD-001"/>
    <s v="PRIVATE CAR"/>
    <n v="9686"/>
    <n v="12.378690894073921"/>
    <n v="1199"/>
    <s v="Delhi"/>
    <n v="439312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630"/>
    <s v="212203/48/2024/374"/>
    <n v="0"/>
    <s v="QRG ENTERPRISES LTD"/>
    <d v="2023-04-01T00:00:00"/>
    <d v="2024-03-31T00:00:00"/>
    <s v="MIST-PRD-753"/>
    <s v="BURGLARY FLOATER"/>
    <n v="472"/>
    <n v="16.525423728813561"/>
    <n v="78"/>
    <s v="Delhi"/>
    <s v="NE"/>
    <s v="NE"/>
    <m/>
    <s v="Suspense"/>
    <s v="Suspense"/>
    <x v="40"/>
    <n v="1074"/>
    <s v="Rushi"/>
    <m/>
    <m/>
    <m/>
    <s v="NE"/>
    <m/>
  </r>
  <r>
    <x v="1"/>
    <m/>
    <n v="212203"/>
    <s v="CBO 13 N-34 C.PLACE"/>
    <s v="OIC/23-24/631"/>
    <s v="212203/31/2024/396"/>
    <n v="0"/>
    <s v="ENERGY EFFICIENCY SERVICES LTD"/>
    <d v="2023-05-16T00:00:00"/>
    <d v="2024-05-15T00:00:00"/>
    <s v="MOT-PRD-001"/>
    <s v="PRIVATE CAR"/>
    <n v="3903"/>
    <n v="8.5062772226492438"/>
    <n v="332"/>
    <s v="Delhi"/>
    <n v="439307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632"/>
    <s v="212203/31/2024/349"/>
    <n v="0"/>
    <s v="MINISTRY OF HEALTH &amp; FAMILY WELFARE"/>
    <d v="2023-05-13T00:00:00"/>
    <d v="2024-05-12T00:00:00"/>
    <s v="MOT-PRD-001"/>
    <s v="PRIVATE CAR"/>
    <n v="9337"/>
    <n v="12.284459676555638"/>
    <n v="1147"/>
    <s v="Delhi"/>
    <s v="NE"/>
    <s v="NE"/>
    <m/>
    <s v="Suspense"/>
    <s v="Suspense"/>
    <x v="40"/>
    <n v="1074"/>
    <s v="Rushi"/>
    <m/>
    <m/>
    <m/>
    <s v="NE"/>
    <m/>
  </r>
  <r>
    <x v="1"/>
    <m/>
    <n v="132000"/>
    <s v="DO JOGESHWARI"/>
    <s v="OIC/23-24/633"/>
    <s v="132000/48/2024/455"/>
    <n v="0"/>
    <s v="SOFTCELL TECHNOLOGIES GLOBAL PRIVATE LIMITED"/>
    <d v="2023-05-18T00:00:00"/>
    <d v="2024-05-17T00:00:00"/>
    <s v="MIST-PRD-890"/>
    <s v="GROUP MEDICLAIM -TAILORMADE-RISK FLOATER"/>
    <n v="1125000"/>
    <n v="2.5"/>
    <n v="28125"/>
    <s v="Mumbai"/>
    <n v="438892"/>
    <n v="0"/>
    <m/>
    <s v="Ganesh Raorane"/>
    <s v="Ekta Dave"/>
    <x v="64"/>
    <n v="1146"/>
    <s v="Rushi"/>
    <m/>
    <m/>
    <m/>
    <s v="Updation done in saiba"/>
    <m/>
  </r>
  <r>
    <x v="1"/>
    <m/>
    <n v="212203"/>
    <s v="CBO 13 N-34 C.PLACE"/>
    <s v="OIC/23-24/634"/>
    <s v="212203/31/2024/427"/>
    <n v="0"/>
    <s v="PGIMER DR. R.M.L. HOSPITAL"/>
    <d v="2023-05-22T00:00:00"/>
    <d v="2024-05-21T00:00:00"/>
    <s v="MOT-PRD-001"/>
    <s v="PRIVATE CAR"/>
    <n v="9130"/>
    <n v="12.223439211391019"/>
    <n v="1116"/>
    <s v="Delhi"/>
    <s v="NE"/>
    <s v="NE"/>
    <m/>
    <s v="Suspense"/>
    <s v="Suspense"/>
    <x v="40"/>
    <n v="1074"/>
    <s v="Rushi"/>
    <m/>
    <m/>
    <m/>
    <s v="NE"/>
    <m/>
  </r>
  <r>
    <x v="1"/>
    <m/>
    <n v="111900"/>
    <s v="MCDO 14"/>
    <s v="OIC/23-24/635"/>
    <s v="111900/22/2023/743"/>
    <n v="1"/>
    <s v="M/S. JAYDEEP ASSOCIATES PVT. LTD. VESSEL: MV SIDDHIVINAYAK I. REGN.NO.GMB/NLK/96 GRT:1304 YOB: 2023"/>
    <d v="2023-02-16T00:00:00"/>
    <d v="2024-02-15T00:00:00"/>
    <s v="MH-PRD-003"/>
    <s v="INLAND VESSELS"/>
    <n v="83250"/>
    <n v="11.500300300300299"/>
    <n v="9574"/>
    <s v="Mumbai"/>
    <n v="422482"/>
    <s v="NE"/>
    <m/>
    <s v="Lakshmanan Subramanian Iyer"/>
    <s v="Saikumar G Shirwatkar"/>
    <x v="67"/>
    <n v="1136"/>
    <s v="Rushi"/>
    <m/>
    <m/>
    <m/>
    <s v="NE"/>
    <m/>
  </r>
  <r>
    <x v="1"/>
    <m/>
    <n v="212203"/>
    <s v="CBO 13 N-34 C.PLACE"/>
    <s v="OIC/23-24/636"/>
    <s v="212203/48/2024/262"/>
    <n v="0"/>
    <s v="HAVELLS INDIA LTD"/>
    <d v="2023-04-01T00:00:00"/>
    <d v="2024-03-31T00:00:00"/>
    <s v="MIST-PRD-032"/>
    <s v="PUBLIC LIABILITY NON INDUSTRIAL"/>
    <n v="9200"/>
    <n v="10"/>
    <n v="920"/>
    <s v="Delhi"/>
    <s v="NE"/>
    <s v="NE"/>
    <m/>
    <s v="Sumit Gupta"/>
    <s v="Saurabh Gupta"/>
    <x v="40"/>
    <n v="1074"/>
    <s v="Rushi"/>
    <m/>
    <m/>
    <m/>
    <s v="NE"/>
    <m/>
  </r>
  <r>
    <x v="1"/>
    <m/>
    <n v="215600"/>
    <s v="DO 4 NEW DELHI"/>
    <s v="OIC/23-24/637"/>
    <s v="215600/44/2024/8"/>
    <n v="0"/>
    <s v="Lumax Auto Technologies Ltd."/>
    <d v="2023-04-01T00:00:00"/>
    <d v="2024-03-31T00:00:00"/>
    <s v="ENG-PRD-006"/>
    <s v="ELECTRONIC EQUIPMENT INSURANCE"/>
    <n v="815"/>
    <n v="11.656441717791411"/>
    <n v="95"/>
    <s v="Delhi"/>
    <n v="430639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638"/>
    <s v="215600/44/2024/17"/>
    <n v="0"/>
    <s v="LUMAX AUTO TECHNOLOGIES LIMITED"/>
    <d v="2023-04-01T00:00:00"/>
    <d v="2024-03-31T00:00:00"/>
    <s v="ENG-PRD-006"/>
    <s v="ELECTRONIC EQUIPMENT INSURANCE"/>
    <n v="963"/>
    <n v="11.838006230529594"/>
    <n v="114"/>
    <s v="Delhi"/>
    <n v="430657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33900"/>
    <s v="DO II LUDHIANA"/>
    <s v="OIC/23-24/639"/>
    <s v="233900/48/2024/271"/>
    <n v="0"/>
    <s v="M/s Raj Industries"/>
    <d v="2023-05-19T00:00:00"/>
    <d v="2024-05-18T00:00:00"/>
    <s v="MIST-PRD-751"/>
    <s v="BURGLARY"/>
    <n v="2500"/>
    <n v="16.52"/>
    <n v="413"/>
    <s v="Ludhiana"/>
    <n v="445707"/>
    <n v="0"/>
    <m/>
    <s v="Suspense"/>
    <s v="Suspense"/>
    <x v="60"/>
    <n v="1123"/>
    <s v="Rushi"/>
    <m/>
    <m/>
    <m/>
    <s v="Updation done in saiba"/>
    <m/>
  </r>
  <r>
    <x v="1"/>
    <m/>
    <n v="212203"/>
    <s v="CBO 13 N-34 C.PLACE"/>
    <s v="OIC/23-24/640"/>
    <s v="212203/48/2024/325"/>
    <n v="0"/>
    <s v="HAVELLS INDIA LTD"/>
    <d v="2023-04-01T00:00:00"/>
    <d v="2024-03-31T00:00:00"/>
    <s v="MIST-PRD-751"/>
    <s v="BURGLARY"/>
    <n v="579"/>
    <n v="16.407599309153714"/>
    <n v="95"/>
    <s v="Delhi"/>
    <s v="NE"/>
    <s v="NE"/>
    <m/>
    <s v="Sumit Gupta"/>
    <s v="Saurabh Gupta"/>
    <x v="40"/>
    <n v="1074"/>
    <s v="Rushi"/>
    <m/>
    <m/>
    <m/>
    <s v="NE"/>
    <m/>
  </r>
  <r>
    <x v="1"/>
    <m/>
    <n v="442600"/>
    <s v="DO  THODUPUZHA"/>
    <s v="OIC/23-24/641"/>
    <s v="442600/11/2024/21"/>
    <n v="0"/>
    <s v="Polyflor India Pvt Ltd"/>
    <d v="2023-06-01T00:00:00"/>
    <d v="2024-05-31T00:00:00"/>
    <s v="FIR-PRD-010"/>
    <s v="ORIENTAL BHARAT SOOKSHMA UDYAM SURAKSHA POLICY"/>
    <n v="69900"/>
    <n v="14.609442060085836"/>
    <n v="10212"/>
    <s v="Mumbai"/>
    <n v="434308"/>
    <s v="0"/>
    <m/>
    <s v="NA"/>
    <s v="NA"/>
    <x v="48"/>
    <n v="1072"/>
    <s v="Rushi"/>
    <m/>
    <m/>
    <m/>
    <s v="Updation done in saiba"/>
    <m/>
  </r>
  <r>
    <x v="1"/>
    <m/>
    <n v="222105"/>
    <s v="KANPUR DEHAT"/>
    <s v="OIC/23-24/642"/>
    <s v="222105/48/2024/383"/>
    <n v="0"/>
    <s v="MR. ANKUR KUMAR"/>
    <d v="2023-06-01T00:00:00"/>
    <d v="2024-05-31T00:00:00"/>
    <s v="MIST-PRD-943"/>
    <s v="HAPPY FAMILY FLOATER POLICY-2021"/>
    <n v="16751"/>
    <n v="15.002089427496866"/>
    <n v="2513"/>
    <s v="Delhi"/>
    <n v="439524"/>
    <s v="0"/>
    <m/>
    <s v="NA"/>
    <s v="NA"/>
    <x v="53"/>
    <n v="1092"/>
    <s v="Rushi"/>
    <m/>
    <m/>
    <m/>
    <s v="Updation done in saiba"/>
    <m/>
  </r>
  <r>
    <x v="1"/>
    <m/>
    <n v="215600"/>
    <s v="DO 4 NEW DELHI"/>
    <s v="OIC/23-24/643"/>
    <s v="215600/48/2023/1309"/>
    <n v="5"/>
    <s v="M/S TIMEX GROUP INDIA LIMITED"/>
    <d v="2022-08-04T00:00:00"/>
    <d v="2023-08-03T00:00:00"/>
    <s v="MIST-PRD-890"/>
    <s v="GROUP MEDICLAIM -TAILORMADE-RISK FLOATER"/>
    <n v="40416"/>
    <n v="6.4999999999999991"/>
    <n v="2627.04"/>
    <s v="Delhi"/>
    <n v="397246"/>
    <s v="NE"/>
    <m/>
    <s v="Raju Kumar"/>
    <s v="Sarfuddin Ansari"/>
    <x v="44"/>
    <s v="Revised statement _not woking"/>
    <s v="Rushi"/>
    <m/>
    <m/>
    <m/>
    <s v="Bill ID not Generated"/>
    <m/>
  </r>
  <r>
    <x v="1"/>
    <m/>
    <n v="215600"/>
    <s v="DO 4 NEW DELHI"/>
    <s v="OIC/23-24/644"/>
    <s v="215600/11/2024/39"/>
    <n v="0"/>
    <s v="LUMAX JOPP ALLIED TECHNOLOGIES PVT LTD"/>
    <d v="2023-04-01T00:00:00"/>
    <d v="2024-03-31T00:00:00"/>
    <s v="FIR-PRD-012"/>
    <s v="ORIENTAL INSURANCE - FLEXI BHARAT LAGHU UDYAM SURAKSHA"/>
    <n v="59147"/>
    <n v="11.50016061676839"/>
    <n v="6802"/>
    <s v="Delhi"/>
    <n v="437676"/>
    <s v="0"/>
    <m/>
    <s v="Rohit Kumar Mendiratta"/>
    <s v="Prince Tayal"/>
    <x v="44"/>
    <s v="Revised statement _not woking"/>
    <s v="Rushi"/>
    <m/>
    <m/>
    <s v="Premium Mismatched"/>
    <s v="Bill ID not Generated"/>
    <m/>
  </r>
  <r>
    <x v="1"/>
    <m/>
    <n v="215600"/>
    <s v="DO 4 NEW DELHI"/>
    <s v="OIC/23-24/645"/>
    <s v="215600/44/2024/15"/>
    <n v="0"/>
    <s v="LUMAX JOPP ALLIED TECHNOLOGIES LIMITED"/>
    <d v="2023-04-01T00:00:00"/>
    <d v="2024-03-31T00:00:00"/>
    <s v="ENG-PRD-006"/>
    <s v="ELECTRONIC EQUIPMENT INSURANCE"/>
    <n v="101"/>
    <n v="10.891089108910892"/>
    <n v="11"/>
    <s v="Delhi"/>
    <n v="430971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646"/>
    <s v="212203/31/2024/269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50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647"/>
    <s v="510000/48/2023/616"/>
    <n v="6"/>
    <s v="Sutherland Healthcare Solutions Private Limited"/>
    <d v="2022-04-30T00:00:00"/>
    <d v="2023-04-11T00:00:00"/>
    <s v="MIST-PRD-001"/>
    <s v="GPA - NAMED"/>
    <n v="995"/>
    <n v="7.5376884422110555"/>
    <n v="75"/>
    <s v="Chennai"/>
    <n v="401588"/>
    <s v="E5"/>
    <m/>
    <s v="Balakrishnan M"/>
    <s v="Akshayah Manoharan"/>
    <x v="41"/>
    <n v="2822"/>
    <s v="Rushi"/>
    <m/>
    <m/>
    <m/>
    <s v="Updation done in saiba"/>
    <m/>
  </r>
  <r>
    <x v="1"/>
    <m/>
    <n v="212203"/>
    <s v="CBO 13 N-34 C.PLACE"/>
    <s v="OIC/23-24/648"/>
    <s v="212203/31/2024/491"/>
    <n v="0"/>
    <s v="LESSEE: MINISTRY OF HOME AFFAIRS"/>
    <d v="2023-06-01T00:00:00"/>
    <d v="2024-05-31T00:00:00"/>
    <s v="MOT-PRD-001"/>
    <s v="PRIVATE CAR"/>
    <n v="8214"/>
    <n v="11.297784270757244"/>
    <n v="928"/>
    <s v="Delhi"/>
    <s v="NE"/>
    <s v="NE"/>
    <m/>
    <s v="Saurabh Dwivedi"/>
    <s v="Mohit Mendiratta"/>
    <x v="40"/>
    <n v="1074"/>
    <s v="Rushi"/>
    <m/>
    <m/>
    <m/>
    <s v="NE"/>
    <m/>
  </r>
  <r>
    <x v="1"/>
    <m/>
    <n v="510000"/>
    <s v="CBRO DELHI"/>
    <s v="OIC/23-24/649"/>
    <s v="510000/48/2023/1049"/>
    <n v="3"/>
    <s v="HITACHI METALS INDIA PRIVATE LIMITED"/>
    <d v="2022-10-07T00:00:00"/>
    <d v="2023-10-06T00:00:00"/>
    <s v="MIST-PRD-001"/>
    <s v="GPA - NAMED"/>
    <n v="607"/>
    <n v="7.4135090609555183"/>
    <n v="45"/>
    <s v="Delhi"/>
    <n v="412930"/>
    <s v="NE"/>
    <m/>
    <s v="Rajiv Choudhary"/>
    <s v="Amit kumar Sharma"/>
    <x v="41"/>
    <n v="2822"/>
    <s v="Rushi"/>
    <m/>
    <m/>
    <m/>
    <s v="NE"/>
    <m/>
  </r>
  <r>
    <x v="1"/>
    <m/>
    <n v="215600"/>
    <s v="DO 4 NEW DELHI"/>
    <s v="OIC/23-24/650"/>
    <s v="215600/48/2024/437"/>
    <n v="0"/>
    <s v="LUMAX MANNOH ALLIED TECHNOLOGIES LIMITED"/>
    <d v="2023-04-01T00:00:00"/>
    <d v="2024-03-31T00:00:00"/>
    <s v="MIST-PRD-751"/>
    <s v="BURGLARY"/>
    <n v="3000"/>
    <n v="12.5"/>
    <n v="375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22104"/>
    <s v="CBO 1 KANPUR"/>
    <s v="OIC/23-24/651"/>
    <s v="222104/48/2023/457"/>
    <n v="14"/>
    <s v="ONESHIELD INDIA PRIVATE LIMITED"/>
    <d v="2022-07-10T00:00:00"/>
    <d v="2023-07-09T00:00:00"/>
    <s v="MIST-PRD-890"/>
    <s v="GROUP MEDICLAIM -TAILORMADE-RISK FLOATER"/>
    <n v="-8513"/>
    <n v="7.5000587337013984"/>
    <n v="-638.48"/>
    <s v="Delhi"/>
    <n v="398940"/>
    <s v="NE"/>
    <m/>
    <s v="Abhishek Sharma"/>
    <s v="Ishita Sharma"/>
    <x v="46"/>
    <n v="1091"/>
    <s v="Rushi"/>
    <m/>
    <m/>
    <m/>
    <s v="NE"/>
    <m/>
  </r>
  <r>
    <x v="1"/>
    <m/>
    <n v="272200"/>
    <s v="DO 3 NEW DELHI"/>
    <s v="OIC/23-24/652"/>
    <s v="272200/31/2024/154"/>
    <n v="0"/>
    <s v="DILLIP KUMAR SWAIN"/>
    <d v="2023-05-07T00:00:00"/>
    <d v="2024-05-06T00:00:00"/>
    <s v="MOT-PRD-001"/>
    <s v="PRIVATE CAR"/>
    <n v="6663"/>
    <n v="7.9843914152784032"/>
    <n v="532"/>
    <s v="Delhi"/>
    <n v="437769"/>
    <s v="0"/>
    <m/>
    <s v="Dewanand Singh"/>
    <s v="Mihir Ranjan Parida"/>
    <x v="45"/>
    <n v="1088"/>
    <s v="Rushi"/>
    <m/>
    <m/>
    <m/>
    <s v="Updation done in saiba"/>
    <m/>
  </r>
  <r>
    <x v="1"/>
    <m/>
    <n v="412400"/>
    <s v="CBU CHENNAI"/>
    <s v="OIC/23-24/653"/>
    <s v="412400/48/2023/1330"/>
    <n v="2"/>
    <s v="ERIEZ MAGNETICS INDIA PRIVATE LIMITED"/>
    <d v="2022-12-13T00:00:00"/>
    <d v="2023-12-12T00:00:00"/>
    <s v="MIST-PRD-890"/>
    <s v="GROUP MEDICLAIM -TAILORMADE-RISK FLOATER"/>
    <n v="10298"/>
    <n v="7.5"/>
    <n v="772.35"/>
    <s v="Chennai"/>
    <n v="412856"/>
    <s v="E2"/>
    <m/>
    <s v="Meenakshi Menon"/>
    <s v="Sathyendra Chandra Bose N"/>
    <x v="69"/>
    <n v="1070"/>
    <s v="Rushi"/>
    <m/>
    <m/>
    <m/>
    <s v="Updation done in saiba"/>
    <m/>
  </r>
  <r>
    <x v="1"/>
    <m/>
    <n v="212203"/>
    <s v="CBO 13 N-34 C.PLACE"/>
    <s v="OIC/23-24/654"/>
    <s v="212203/31/2024/283"/>
    <n v="0"/>
    <s v="ENERGY EFFICIENCY SERVICES LTD"/>
    <d v="2023-05-05T00:00:00"/>
    <d v="2024-05-04T00:00:00"/>
    <s v="MOT-PRD-001"/>
    <s v="PRIVATE CAR"/>
    <n v="3462"/>
    <n v="7.6834199884459853"/>
    <n v="266"/>
    <s v="Delhi"/>
    <n v="439301"/>
    <s v="0"/>
    <m/>
    <s v="NA"/>
    <s v="NA"/>
    <x v="40"/>
    <n v="1074"/>
    <s v="Rushi"/>
    <m/>
    <m/>
    <m/>
    <s v="Updation done in saiba"/>
    <m/>
  </r>
  <r>
    <x v="1"/>
    <m/>
    <n v="215600"/>
    <s v="DO 4 NEW DELHI"/>
    <s v="OIC/23-24/655"/>
    <s v="215600/48/2024/434"/>
    <n v="0"/>
    <s v="M/S MAHAVIR UDYOG"/>
    <d v="2023-04-01T00:00:00"/>
    <d v="2024-03-31T00:00:00"/>
    <s v="MIST-PRD-052"/>
    <s v="MONEY INSURANCE"/>
    <n v="290"/>
    <n v="12.413793103448276"/>
    <n v="36"/>
    <s v="Delhi"/>
    <n v="436822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22201"/>
    <s v="BO UNNAO"/>
    <s v="OIC/23-24/656"/>
    <s v="222201/48/2024/9"/>
    <n v="0"/>
    <s v="K D SINGH"/>
    <d v="2023-05-20T00:00:00"/>
    <d v="2024-05-19T00:00:00"/>
    <s v="MIST-PRD-943"/>
    <s v="HAPPY FAMILY FLOATER POLICY-2021"/>
    <n v="65001"/>
    <n v="14.999769234319473"/>
    <n v="9750"/>
    <s v="Delhi"/>
    <n v="434234"/>
    <s v="0"/>
    <m/>
    <s v="Kushal Bhatia"/>
    <s v="Navneet Arora"/>
    <x v="70"/>
    <n v="1094"/>
    <s v="Rushi"/>
    <m/>
    <m/>
    <m/>
    <s v="Updation done in saiba"/>
    <m/>
  </r>
  <r>
    <x v="1"/>
    <m/>
    <n v="215600"/>
    <s v="DO 4 NEW DELHI"/>
    <s v="OIC/23-24/657"/>
    <s v="215600/48/2024/431"/>
    <n v="0"/>
    <s v="LUMAX ANCILLARY LIMITED"/>
    <d v="2023-04-01T00:00:00"/>
    <d v="2024-03-31T00:00:00"/>
    <s v="MIST-PRD-052"/>
    <s v="MONEY INSURANCE"/>
    <n v="450"/>
    <n v="12.444444444444445"/>
    <n v="56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658"/>
    <s v="215600/44/2024/9"/>
    <n v="0"/>
    <s v="Lumax Auto Technologies Ltd."/>
    <d v="2023-04-01T00:00:00"/>
    <d v="2024-03-31T00:00:00"/>
    <s v="ENG-PRD-006"/>
    <s v="ELECTRONIC EQUIPMENT INSURANCE"/>
    <n v="867"/>
    <n v="11.764705882352942"/>
    <n v="102"/>
    <s v="Delhi"/>
    <n v="430645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411700"/>
    <s v="DO 7 CHENNAI"/>
    <s v="OIC/23-24/659"/>
    <s v="411700/48/2023/2423"/>
    <n v="9"/>
    <s v="FINANCIAL SOFTWARE &amp; SYSTEMS (P) LTD."/>
    <d v="2022-10-01T00:00:00"/>
    <d v="2023-09-30T00:00:00"/>
    <s v="MIST-PRD-890"/>
    <s v="GROUP MEDICLAIM -TAILORMADE-RISK FLOATER"/>
    <n v="-39776"/>
    <n v="1.5009050683829446"/>
    <n v="-597"/>
    <s v="Chennai"/>
    <n v="409570"/>
    <s v="E6"/>
    <m/>
    <s v="Meenakshi Menon"/>
    <s v="Sudha.S"/>
    <x v="61"/>
    <n v="1069"/>
    <s v="Rushi"/>
    <m/>
    <m/>
    <m/>
    <s v="Updation done in saiba"/>
    <m/>
  </r>
  <r>
    <x v="1"/>
    <m/>
    <n v="212203"/>
    <s v="CBO 13 N-34 C.PLACE"/>
    <s v="OIC/23-24/660"/>
    <s v="212203/31/2023/2491"/>
    <n v="1"/>
    <s v="PRASAR BHARATI BROADCA CO. OF INDIA"/>
    <d v="2022-12-07T00:00:00"/>
    <d v="2023-12-06T00:00:00"/>
    <s v="MOT-PRD-015"/>
    <s v="STANDALONE OWN DAMAGE(OD)-PRIVATE CAR"/>
    <n v="2330"/>
    <n v="15.02145922746781"/>
    <n v="350"/>
    <s v="Delhi"/>
    <n v="418995"/>
    <s v="NE"/>
    <m/>
    <s v="Saurabh Dwivedi"/>
    <s v="Mohit Mendiratta"/>
    <x v="40"/>
    <n v="1074"/>
    <s v="Rushi"/>
    <m/>
    <m/>
    <m/>
    <s v="NE"/>
    <m/>
  </r>
  <r>
    <x v="1"/>
    <m/>
    <n v="215600"/>
    <s v="DO 4 NEW DELHI"/>
    <s v="OIC/23-24/661"/>
    <s v="215600/11/2024/51"/>
    <n v="0"/>
    <s v="LUMAX CORNAGLIA AUTO TECHNOLOGIES PVT.LTD."/>
    <d v="2023-04-01T00:00:00"/>
    <d v="2024-03-31T00:00:00"/>
    <s v="FIR-PRD-012"/>
    <s v="ORIENTAL INSURANCE - FLEXI BHARAT LAGHU UDYAM SURAKSHA"/>
    <n v="111435"/>
    <n v="11.499080181271594"/>
    <n v="12814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421700"/>
    <s v="DO VII BANGALORE"/>
    <s v="OIC/23-24/662"/>
    <s v="421700/48/2024/551"/>
    <n v="0"/>
    <s v="UD TRUCKS INDIA PRIVATE LIMITED"/>
    <d v="2023-04-01T00:00:00"/>
    <d v="2024-03-31T00:00:00"/>
    <s v="MIST-PRD-890"/>
    <s v="GROUP MEDICLAIM -TAILORMADE-RISK FLOATER"/>
    <n v="5158415"/>
    <n v="7.4999975767750362"/>
    <n v="386881"/>
    <s v="Bangalore"/>
    <s v="NE"/>
    <s v="NE"/>
    <m/>
    <s v="Jaya Chitra.M"/>
    <s v="Sandeep Ambaji Navale"/>
    <x v="47"/>
    <n v="1055"/>
    <s v="Rushi"/>
    <m/>
    <m/>
    <m/>
    <s v="NE"/>
    <m/>
  </r>
  <r>
    <x v="1"/>
    <m/>
    <n v="421300"/>
    <s v="DO 3 BANGALORE"/>
    <s v="OIC/23-24/663"/>
    <s v="421300/48/2023/521"/>
    <n v="12"/>
    <s v="SSP INDIA PRIVATE LIMITED"/>
    <d v="2022-06-07T00:00:00"/>
    <d v="2023-06-06T00:00:00"/>
    <s v="MIST-PRD-890"/>
    <s v="GROUP MEDICLAIM -TAILORMADE-RISK FLOATER"/>
    <n v="1198"/>
    <n v="7.4999999999999991"/>
    <n v="89.85"/>
    <s v="Delhi"/>
    <n v="388708"/>
    <s v="NE"/>
    <m/>
    <s v="Rajiv Choudhary"/>
    <s v="Ashwini Kumar Srivastava"/>
    <x v="42"/>
    <n v="1052"/>
    <s v="Rushi"/>
    <m/>
    <m/>
    <m/>
    <s v="NE"/>
    <m/>
  </r>
  <r>
    <x v="1"/>
    <m/>
    <n v="222105"/>
    <s v="KANPUR DEHAT"/>
    <s v="OIC/23-24/664"/>
    <s v="222105/48/2024/306"/>
    <n v="0"/>
    <s v="KAUSHAL DHANAWADE"/>
    <d v="2023-05-17T00:00:00"/>
    <d v="2024-05-16T00:00:00"/>
    <s v="MIST-PRD-943"/>
    <s v="HAPPY FAMILY FLOATER POLICY-2021"/>
    <n v="30214"/>
    <n v="14.999669027603099"/>
    <n v="4532"/>
    <s v="Delhi"/>
    <n v="438352"/>
    <s v="0"/>
    <m/>
    <s v="Kushal Bhatia"/>
    <s v="Navneet Arora"/>
    <x v="53"/>
    <n v="1092"/>
    <s v="Rushi"/>
    <m/>
    <m/>
    <m/>
    <s v="Updation done in saiba"/>
    <m/>
  </r>
  <r>
    <x v="1"/>
    <m/>
    <n v="212203"/>
    <s v="CBO 13 N-34 C.PLACE"/>
    <s v="OIC/23-24/665"/>
    <s v="212203/31/2024/344"/>
    <n v="1"/>
    <s v="UNDER SECRETARY (ADMIN -IV)"/>
    <d v="2023-05-03T00:00:00"/>
    <d v="2023-05-15T00:00:00"/>
    <s v="MOT-PRD-012"/>
    <s v="PRIVATE CAR-(3 Years)"/>
    <n v="-13789"/>
    <n v="8.1586772064689246"/>
    <n v="-1125"/>
    <s v="Delhi"/>
    <s v="Contra"/>
    <s v="Contra"/>
    <m/>
    <s v="NA"/>
    <s v="NA"/>
    <x v="40"/>
    <n v="1074"/>
    <s v="Rushi"/>
    <m/>
    <m/>
    <m/>
    <s v="Contra"/>
    <m/>
  </r>
  <r>
    <x v="1"/>
    <m/>
    <n v="510000"/>
    <s v="CBRO DELHI"/>
    <s v="OIC/23-24/666"/>
    <s v="510000/48/2024/164"/>
    <n v="0"/>
    <s v="M/S MOHAN CLOTHING CO.PVT.LTD"/>
    <d v="2023-04-29T00:00:00"/>
    <d v="2024-04-28T00:00:00"/>
    <s v="MIST-PRD-031"/>
    <s v="PUBLIC LIABILITY INDUSTRIAL"/>
    <n v="5000"/>
    <n v="12.5"/>
    <n v="625"/>
    <s v="Delhi"/>
    <n v="431166"/>
    <s v="0"/>
    <m/>
    <s v="Sudhir Soni"/>
    <s v="Hemant Kumar Gupta"/>
    <x v="41"/>
    <n v="2822"/>
    <s v="Rushi"/>
    <m/>
    <m/>
    <m/>
    <s v="Updation done in saiba"/>
    <m/>
  </r>
  <r>
    <x v="1"/>
    <m/>
    <n v="215600"/>
    <s v="DO 4 NEW DELHI"/>
    <s v="OIC/23-24/667"/>
    <s v="215600/48/2024/377"/>
    <n v="0"/>
    <s v="LUMAX AUTO TECHNOLOGIES LIMITED"/>
    <d v="2023-04-01T00:00:00"/>
    <d v="2024-03-31T00:00:00"/>
    <s v="MIST-PRD-751"/>
    <s v="BURGLARY"/>
    <n v="500"/>
    <n v="12.6"/>
    <n v="63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668"/>
    <s v="212203/31/2024/302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8"/>
    <s v="0"/>
    <m/>
    <s v="NA"/>
    <s v="NA"/>
    <x v="40"/>
    <n v="1074"/>
    <s v="Rushi"/>
    <m/>
    <m/>
    <m/>
    <s v="Updation done in saiba"/>
    <m/>
  </r>
  <r>
    <x v="1"/>
    <m/>
    <n v="111900"/>
    <s v="MCDO 14"/>
    <s v="OIC/23-24/669"/>
    <s v="111900/22/2023/719"/>
    <n v="2"/>
    <s v="M/S. JAYDEEP ASSOCIATES PVT. LTD. VESSEL: M.V.PRAKASH. YOB: 2006. REG.NO.GMB/NLK/90"/>
    <d v="2023-02-04T00:00:00"/>
    <d v="2024-02-03T00:00:00"/>
    <s v="MH-PRD-003"/>
    <s v="INLAND VESSELS"/>
    <n v="39313"/>
    <n v="11.500012718439192"/>
    <n v="4521"/>
    <s v="Mumbai"/>
    <n v="421651"/>
    <s v="E1"/>
    <m/>
    <s v="Lakshmanan Subramanian Iyer"/>
    <s v="Saikumar G Shirwatkar"/>
    <x v="67"/>
    <n v="1136"/>
    <s v="Rushi"/>
    <m/>
    <m/>
    <m/>
    <s v="Updation done in saiba"/>
    <m/>
  </r>
  <r>
    <x v="1"/>
    <m/>
    <n v="212203"/>
    <s v="CBO 13 N-34 C.PLACE"/>
    <s v="OIC/23-24/670"/>
    <s v="212203/31/2024/330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45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671"/>
    <s v="510000/48/2023/544"/>
    <n v="6"/>
    <s v="Sutherland Global Services Private Limited"/>
    <d v="2022-06-22T00:00:00"/>
    <d v="2023-04-11T00:00:00"/>
    <s v="MIST-PRD-001"/>
    <s v="GPA - NAMED"/>
    <n v="1029"/>
    <n v="7.5801749271137036"/>
    <n v="78"/>
    <s v="Chennai"/>
    <n v="401582"/>
    <s v="E5"/>
    <m/>
    <s v="Balakrishnan M"/>
    <s v="Akshayah Manoharan"/>
    <x v="41"/>
    <n v="2822"/>
    <s v="Rushi"/>
    <m/>
    <m/>
    <m/>
    <s v="Updation done in saiba"/>
    <m/>
  </r>
  <r>
    <x v="1"/>
    <m/>
    <n v="421300"/>
    <s v="DO 3 BANGALORE"/>
    <s v="OIC/23-24/672"/>
    <s v="421300/48/2023/1352"/>
    <n v="5"/>
    <s v="CREATIVE SYNERGIES CONSULTING INDIA PVT LTD"/>
    <d v="2022-11-25T00:00:00"/>
    <d v="2023-11-24T00:00:00"/>
    <s v="MIST-PRD-890"/>
    <s v="GROUP MEDICLAIM -TAILORMADE-RISK FLOATER"/>
    <n v="14226"/>
    <n v="4"/>
    <n v="569.04"/>
    <s v="Bangalore"/>
    <n v="430789"/>
    <s v="E5"/>
    <m/>
    <s v="Jaya Chitra.M"/>
    <s v="Aiyappa Parivaranayaka Mahadeva"/>
    <x v="42"/>
    <n v="1052"/>
    <s v="Rushi"/>
    <m/>
    <m/>
    <m/>
    <s v="Updation done in saiba"/>
    <m/>
  </r>
  <r>
    <x v="1"/>
    <m/>
    <n v="441202"/>
    <s v="BO NEYYATINKARA"/>
    <s v="OIC/23-24/673"/>
    <s v="441202/48/2023/727"/>
    <n v="13"/>
    <s v="TECHVERSANT INFOTECH PRIVATE LIMITED"/>
    <d v="2022-10-17T00:00:00"/>
    <d v="2023-10-16T00:00:00"/>
    <s v="MIST-PRD-890"/>
    <s v="GROUP MEDICLAIM -TAILORMADE-RISK FLOATER"/>
    <n v="6068"/>
    <n v="6.7237969676994069"/>
    <n v="408"/>
    <s v="Chennai"/>
    <n v="405682"/>
    <s v="E5"/>
    <m/>
    <s v="Balakrishnan M"/>
    <s v="Balakrishnan.G"/>
    <x v="63"/>
    <n v="1217"/>
    <s v="Rushi"/>
    <m/>
    <m/>
    <m/>
    <s v="Updation done in saiba"/>
    <m/>
  </r>
  <r>
    <x v="1"/>
    <m/>
    <n v="431500"/>
    <s v="DO IV HYDERABAD"/>
    <s v="OIC/23-24/674"/>
    <s v="431500/31/2024/480"/>
    <n v="0"/>
    <s v="LOHIYA INDUSTRIES"/>
    <d v="2023-05-29T00:00:00"/>
    <d v="2024-05-28T00:00:00"/>
    <s v="MOT-PRD-003"/>
    <s v="GCCV"/>
    <n v="16504"/>
    <n v="2.7690256907416386"/>
    <n v="457"/>
    <s v="Hyderabad"/>
    <n v="433427"/>
    <s v="0"/>
    <m/>
    <s v="Rani Sudhakar Ranipeta"/>
    <s v="Mukesh Srivastav"/>
    <x v="54"/>
    <n v="1103"/>
    <s v="Rushi"/>
    <m/>
    <m/>
    <m/>
    <s v="Updation done in saiba"/>
    <m/>
  </r>
  <r>
    <x v="1"/>
    <m/>
    <n v="222104"/>
    <s v="CBO 1 KANPUR"/>
    <s v="OIC/23-24/675"/>
    <s v="222104/48/2023/457"/>
    <n v="11"/>
    <s v="ONESHIELD INDIA PRIVATE LIMITED"/>
    <d v="2022-07-10T00:00:00"/>
    <d v="2023-07-09T00:00:00"/>
    <s v="MIST-PRD-890"/>
    <s v="GROUP MEDICLAIM -TAILORMADE-RISK FLOATER"/>
    <n v="44789"/>
    <n v="7.5000111634553122"/>
    <n v="3359.18"/>
    <s v="Delhi"/>
    <n v="398940"/>
    <s v="NE"/>
    <m/>
    <s v="Abhishek Sharma"/>
    <s v="Ishita Sharma"/>
    <x v="46"/>
    <n v="1091"/>
    <s v="Rushi"/>
    <m/>
    <m/>
    <m/>
    <s v="NE"/>
    <m/>
  </r>
  <r>
    <x v="1"/>
    <m/>
    <n v="212203"/>
    <s v="CBO 13 N-34 C.PLACE"/>
    <s v="OIC/23-24/676"/>
    <s v="212203/31/2024/340"/>
    <n v="1"/>
    <s v="UNDER SECRETARY (ADMIN -IV)"/>
    <d v="2023-05-03T00:00:00"/>
    <d v="2023-05-15T00:00:00"/>
    <s v="MOT-PRD-012"/>
    <s v="PRIVATE CAR-(3 Years)"/>
    <n v="-13789"/>
    <n v="8.1586772064689246"/>
    <n v="-1125"/>
    <s v="Delhi"/>
    <s v="Contra"/>
    <s v="Contra"/>
    <m/>
    <s v="NA"/>
    <s v="NA"/>
    <x v="40"/>
    <n v="1074"/>
    <s v="Rushi"/>
    <m/>
    <m/>
    <m/>
    <s v="Contra"/>
    <m/>
  </r>
  <r>
    <x v="1"/>
    <m/>
    <n v="215600"/>
    <s v="DO 4 NEW DELHI"/>
    <s v="OIC/23-24/677"/>
    <s v="215600/44/2024/10"/>
    <n v="0"/>
    <s v="LUMAX METTALIC PVT LTD"/>
    <d v="2023-04-01T00:00:00"/>
    <d v="2024-03-31T00:00:00"/>
    <s v="ENG-PRD-006"/>
    <s v="ELECTRONIC EQUIPMENT INSURANCE"/>
    <n v="100"/>
    <n v="11"/>
    <n v="11"/>
    <s v="Delhi"/>
    <n v="430967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431500"/>
    <s v="DO IV HYDERABAD"/>
    <s v="OIC/23-24/678"/>
    <s v="431500/31/2024/218"/>
    <n v="0"/>
    <s v="LOHIYA EDIBLE OILS PRIVATE LIMITED"/>
    <d v="2023-05-06T00:00:00"/>
    <d v="2024-05-05T00:00:00"/>
    <s v="MOT-PRD-003"/>
    <s v="GCCV"/>
    <n v="28455"/>
    <n v="3.0363732208750656"/>
    <n v="864"/>
    <s v="Hyderabad"/>
    <n v="430240"/>
    <s v="0"/>
    <m/>
    <s v="Rani Sudhakar Ranipeta"/>
    <s v="Mukesh Srivastav"/>
    <x v="54"/>
    <n v="1103"/>
    <s v="Rushi"/>
    <m/>
    <m/>
    <m/>
    <s v="Updation done in saiba"/>
    <m/>
  </r>
  <r>
    <x v="1"/>
    <m/>
    <n v="212203"/>
    <s v="CBO 13 N-34 C.PLACE"/>
    <s v="OIC/23-24/679"/>
    <s v="212203/31/2024/331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46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680"/>
    <s v="212203/48/2024/320"/>
    <n v="0"/>
    <s v="HAVELLS INDIA LTD"/>
    <d v="2023-04-01T00:00:00"/>
    <d v="2024-03-31T00:00:00"/>
    <s v="MIST-PRD-751"/>
    <s v="BURGLARY"/>
    <n v="515"/>
    <n v="16.504854368932037"/>
    <n v="85"/>
    <s v="Delhi"/>
    <s v="NE"/>
    <s v="NE"/>
    <m/>
    <s v="Sumit Gupta"/>
    <s v="Saurabh Gupta"/>
    <x v="40"/>
    <n v="1074"/>
    <s v="Rushi"/>
    <m/>
    <m/>
    <m/>
    <s v="NE"/>
    <m/>
  </r>
  <r>
    <x v="1"/>
    <m/>
    <n v="442600"/>
    <s v="DO  THODUPUZHA"/>
    <s v="OIC/23-24/681"/>
    <s v="442600/48/2024/150"/>
    <n v="0"/>
    <s v="MANASH LIFESTYLE PRIVATE LIMITED"/>
    <d v="2023-05-18T00:00:00"/>
    <d v="2024-05-17T00:00:00"/>
    <s v="MIST-PRD-751"/>
    <s v="BURGLARY"/>
    <n v="6000"/>
    <n v="16.5"/>
    <n v="990"/>
    <s v="Mumbai"/>
    <s v="NE"/>
    <s v="NE"/>
    <m/>
    <s v="Suspense"/>
    <s v="Suspense"/>
    <x v="48"/>
    <n v="1072"/>
    <s v="Rushi"/>
    <m/>
    <m/>
    <m/>
    <s v="NE"/>
    <m/>
  </r>
  <r>
    <x v="1"/>
    <m/>
    <n v="222201"/>
    <s v="BO UNNAO"/>
    <s v="OIC/23-24/682"/>
    <s v="222201/48/2024/5"/>
    <n v="0"/>
    <s v="MR S S SHAMA SUNDARA"/>
    <d v="2023-05-10T00:00:00"/>
    <d v="2024-05-09T00:00:00"/>
    <s v="MIST-PRD-943"/>
    <s v="HAPPY FAMILY FLOATER POLICY-2021"/>
    <n v="67140"/>
    <n v="15"/>
    <n v="10071"/>
    <s v="Bangalore"/>
    <n v="431929"/>
    <s v="0"/>
    <m/>
    <s v="Vaidehi Jadhav"/>
    <s v="Kavita Tankaria"/>
    <x v="70"/>
    <n v="1094"/>
    <s v="Rushi"/>
    <m/>
    <m/>
    <m/>
    <s v="Updation done in saiba"/>
    <m/>
  </r>
  <r>
    <x v="1"/>
    <m/>
    <n v="212203"/>
    <s v="CBO 13 N-34 C.PLACE"/>
    <s v="OIC/23-24/683"/>
    <s v="212203/31/2024/319"/>
    <n v="0"/>
    <s v="POWER GRID CORPORATION OF NDIA LTD"/>
    <d v="2023-05-03T00:00:00"/>
    <d v="2024-05-02T00:00:00"/>
    <s v="MOT-PRD-012"/>
    <s v="PRIVATE CAR-(3 Years)"/>
    <n v="18665"/>
    <n v="7.1309938387356011"/>
    <n v="1331"/>
    <s v="Delhi"/>
    <n v="439434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684"/>
    <s v="212203/31/2024/327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42"/>
    <s v="0"/>
    <m/>
    <s v="NA"/>
    <s v="NA"/>
    <x v="40"/>
    <n v="1074"/>
    <s v="Rushi"/>
    <m/>
    <m/>
    <m/>
    <s v="Updation done in saiba"/>
    <m/>
  </r>
  <r>
    <x v="1"/>
    <m/>
    <n v="132000"/>
    <s v="DO JOGESHWARI"/>
    <s v="OIC/23-24/685"/>
    <s v="132000/48/2024/452"/>
    <n v="0"/>
    <s v="SOFTCELL TECHNOLOGIES GLOBAL PRIVATE LIMITED"/>
    <d v="2023-05-18T00:00:00"/>
    <d v="2024-05-17T00:00:00"/>
    <s v="MIST-PRD-001"/>
    <s v="GPA - NAMED"/>
    <n v="45370"/>
    <n v="7.6923076923076925"/>
    <n v="3490"/>
    <s v="Mumbai"/>
    <n v="438894"/>
    <n v="0"/>
    <m/>
    <s v="Ganesh Raorane"/>
    <s v="Ekta Dave"/>
    <x v="64"/>
    <n v="1146"/>
    <s v="Rushi"/>
    <m/>
    <m/>
    <m/>
    <s v="Updation done in saiba"/>
    <m/>
  </r>
  <r>
    <x v="1"/>
    <m/>
    <n v="212203"/>
    <s v="CBO 13 N-34 C.PLACE"/>
    <s v="OIC/23-24/686"/>
    <s v="212203/31/2024/476"/>
    <n v="0"/>
    <s v="SOUTH DELHI MUNICIPAL CORPORATION"/>
    <d v="2023-05-30T00:00:00"/>
    <d v="2024-05-29T00:00:00"/>
    <s v="MOT-PRD-001"/>
    <s v="PRIVATE CAR"/>
    <n v="9689"/>
    <n v="12.385179069047373"/>
    <n v="1200"/>
    <s v="Delhi"/>
    <s v="NE"/>
    <s v="NE"/>
    <m/>
    <s v="Suspense"/>
    <s v="Suspense"/>
    <x v="40"/>
    <n v="1074"/>
    <s v="Rushi"/>
    <m/>
    <m/>
    <m/>
    <s v="NE"/>
    <m/>
  </r>
  <r>
    <x v="1"/>
    <m/>
    <n v="212203"/>
    <s v="CBO 13 N-34 C.PLACE"/>
    <s v="OIC/23-24/687"/>
    <s v="212203/31/2024/501"/>
    <n v="0"/>
    <s v="THE DIRECTOR ANERT"/>
    <d v="2023-06-01T00:00:00"/>
    <d v="2024-05-31T00:00:00"/>
    <s v="MOT-PRD-015"/>
    <s v="STANDALONE OWN DAMAGE(OD)-PRIVATE CAR"/>
    <n v="8033"/>
    <n v="15.000622432466077"/>
    <n v="1205"/>
    <s v="Delhi"/>
    <n v="439489"/>
    <s v="0"/>
    <m/>
    <s v="NA"/>
    <s v="NA"/>
    <x v="40"/>
    <n v="1074"/>
    <s v="Rushi"/>
    <m/>
    <m/>
    <m/>
    <s v="Updation done in saiba"/>
    <m/>
  </r>
  <r>
    <x v="1"/>
    <m/>
    <n v="411700"/>
    <s v="DO 7 CHENNAI"/>
    <s v="OIC/23-24/688"/>
    <s v="411700/48/2023/2420"/>
    <n v="10"/>
    <s v="FINANCIAL SOFTWARE &amp; SYSTEMS (P) LTD."/>
    <d v="2022-10-01T00:00:00"/>
    <d v="2023-09-30T00:00:00"/>
    <s v="MIST-PRD-890"/>
    <s v="GROUP MEDICLAIM -TAILORMADE-RISK FLOATER"/>
    <n v="65057"/>
    <n v="1.0006609588514686"/>
    <n v="651"/>
    <s v="Chennai"/>
    <n v="407988"/>
    <s v="E7"/>
    <m/>
    <s v="Meenakshi Menon"/>
    <s v="Sudha.S"/>
    <x v="61"/>
    <n v="1069"/>
    <s v="Rushi"/>
    <m/>
    <m/>
    <m/>
    <s v="Updation done in saiba"/>
    <m/>
  </r>
  <r>
    <x v="1"/>
    <m/>
    <n v="421300"/>
    <s v="DO 3 BANGALORE"/>
    <s v="OIC/23-24/689"/>
    <s v="421300/48/2023/522"/>
    <n v="16"/>
    <s v="ADOR FONTECH LIMITED"/>
    <d v="2022-04-24T00:00:00"/>
    <d v="2023-04-23T00:00:00"/>
    <s v="MIST-PRD-890"/>
    <s v="GROUP MEDICLAIM -TAILORMADE-RISK FLOATER"/>
    <n v="-2117"/>
    <n v="7.5002361832782229"/>
    <n v="-158.78"/>
    <s v="Bangalore"/>
    <n v="386354"/>
    <s v="E14"/>
    <m/>
    <s v="Arun Kumar G.E."/>
    <s v="Sagar Khartmal"/>
    <x v="42"/>
    <n v="1052"/>
    <s v="Rushi"/>
    <m/>
    <m/>
    <m/>
    <s v="Updation done in saiba"/>
    <m/>
  </r>
  <r>
    <x v="1"/>
    <m/>
    <n v="510000"/>
    <s v="CBRO DELHI"/>
    <s v="OIC/23-24/690"/>
    <s v="510000/48/2023/872"/>
    <n v="11"/>
    <s v="JCB INDUSTRIES PRIVATE LIMITED"/>
    <d v="2022-08-30T00:00:00"/>
    <d v="2023-05-31T00:00:00"/>
    <s v="MIST-PRD-890"/>
    <s v="GROUP MEDICLAIM -TAILORMADE-RISK FLOATER"/>
    <n v="17214"/>
    <n v="0"/>
    <n v="0"/>
    <s v="Delhi"/>
    <n v="387302"/>
    <s v="NE"/>
    <m/>
    <s v="Sonia Schofield"/>
    <s v="Vikas Saxena"/>
    <x v="41"/>
    <n v="2822"/>
    <s v="Rushi"/>
    <m/>
    <m/>
    <m/>
    <s v="NE"/>
    <m/>
  </r>
  <r>
    <x v="1"/>
    <m/>
    <n v="212203"/>
    <s v="CBO 13 N-34 C.PLACE"/>
    <s v="OIC/23-24/691"/>
    <s v="212203/31/2024/428"/>
    <n v="0"/>
    <s v="PGIMER DR. R.M.L. HOSPITAL"/>
    <d v="2023-05-22T00:00:00"/>
    <d v="2024-05-21T00:00:00"/>
    <s v="MOT-PRD-001"/>
    <s v="PRIVATE CAR"/>
    <n v="8389"/>
    <n v="11.979973775181785"/>
    <n v="1005"/>
    <s v="Delhi"/>
    <s v="NE"/>
    <s v="NE"/>
    <m/>
    <s v="Suspense"/>
    <s v="Suspense"/>
    <x v="40"/>
    <n v="1074"/>
    <s v="Rushi"/>
    <m/>
    <m/>
    <m/>
    <s v="NE"/>
    <m/>
  </r>
  <r>
    <x v="1"/>
    <m/>
    <n v="421100"/>
    <s v="CBU Bangalore"/>
    <s v="OIC/23-24/692"/>
    <s v="421100/48/2023/482"/>
    <n v="9"/>
    <s v="OPUS SOLUTIONS PRIVATE LIMITED"/>
    <d v="2022-10-11T00:00:00"/>
    <d v="2023-10-10T00:00:00"/>
    <s v="MIST-PRD-890"/>
    <s v="GROUP MEDICLAIM -TAILORMADE-RISK FLOATER"/>
    <n v="130424"/>
    <n v="0"/>
    <n v="0"/>
    <s v="Pune"/>
    <s v="NE"/>
    <s v="NE"/>
    <m/>
    <s v="Suspense"/>
    <s v="Suspense"/>
    <x v="50"/>
    <n v="1047"/>
    <s v="Rushi"/>
    <m/>
    <m/>
    <m/>
    <s v="NE"/>
    <m/>
  </r>
  <r>
    <x v="1"/>
    <m/>
    <n v="414890"/>
    <s v="BC  SINGAPERUMAL KOIL"/>
    <s v="OIC/23-24/693"/>
    <s v="414890/31/2024/221"/>
    <n v="0"/>
    <s v="M/S NEW GEN AGRO PROCESSORS PVT LTD"/>
    <d v="2023-05-09T00:00:00"/>
    <d v="2024-05-08T00:00:00"/>
    <s v="MOT-PRD-001"/>
    <s v="PRIVATE CAR"/>
    <n v="11465"/>
    <n v="6.1142607937200175"/>
    <n v="701"/>
    <s v="Chennai"/>
    <n v="431022"/>
    <s v="0"/>
    <m/>
    <s v="Meiyappan M"/>
    <s v="Hemalatha Ravichandran"/>
    <x v="56"/>
    <n v="1071"/>
    <s v="Rushi"/>
    <m/>
    <m/>
    <m/>
    <s v="Updation done in saiba"/>
    <m/>
  </r>
  <r>
    <x v="1"/>
    <m/>
    <n v="431500"/>
    <s v="DO IV HYDERABAD"/>
    <s v="OIC/23-24/694"/>
    <s v="431500/48/2023/3634"/>
    <n v="4"/>
    <s v="WAVEMAKER INDIA PRIVATE LIMITED"/>
    <d v="2023-03-15T00:00:00"/>
    <d v="2024-03-14T00:00:00"/>
    <s v="MIST-PRD-890"/>
    <s v="GROUP MEDICLAIM -TAILORMADE-RISK FLOATER"/>
    <n v="13239"/>
    <n v="2.5000377672029614"/>
    <n v="330.98"/>
    <s v="Hyderabad"/>
    <n v="424816"/>
    <s v="E3"/>
    <m/>
    <s v="M A Niranjan"/>
    <s v="Manisha Marda"/>
    <x v="54"/>
    <n v="1103"/>
    <s v="Rushi"/>
    <m/>
    <m/>
    <m/>
    <s v="Updation done in saiba"/>
    <m/>
  </r>
  <r>
    <x v="1"/>
    <m/>
    <n v="212203"/>
    <s v="CBO 13 N-34 C.PLACE"/>
    <s v="OIC/23-24/695"/>
    <s v="212203/31/2024/325"/>
    <n v="0"/>
    <s v="POWER GRID CORPORATION OF INDIA LTD"/>
    <d v="2023-05-03T00:00:00"/>
    <d v="2024-05-02T00:00:00"/>
    <s v="MOT-PRD-012"/>
    <s v="PRIVATE CAR-(3 Years)"/>
    <n v="18665"/>
    <n v="7.1309938387356011"/>
    <n v="1331"/>
    <s v="Delhi"/>
    <n v="439440"/>
    <s v="0"/>
    <m/>
    <s v="NA"/>
    <s v="NA"/>
    <x v="40"/>
    <n v="1074"/>
    <s v="Rushi"/>
    <m/>
    <m/>
    <m/>
    <s v="Updation done in saiba"/>
    <m/>
  </r>
  <r>
    <x v="1"/>
    <m/>
    <n v="215600"/>
    <s v="DO 4 NEW DELHI"/>
    <s v="OIC/23-24/696"/>
    <s v="215600/48/2024/482"/>
    <n v="0"/>
    <s v="LUMAX INDUSTRIES LTD."/>
    <d v="2023-04-07T00:00:00"/>
    <d v="2024-04-06T00:00:00"/>
    <s v="MIST-PRD-751"/>
    <s v="BURGLARY"/>
    <n v="15000"/>
    <n v="12.5"/>
    <n v="1875"/>
    <s v="Delhi"/>
    <n v="438748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421300"/>
    <s v="DO 3 BANGALORE"/>
    <s v="OIC/23-24/697"/>
    <s v="421300/48/2024/393"/>
    <n v="0"/>
    <s v="WAFER SPACE SEMICONDUCTOR TECHNOLOGIES PVT. LTD."/>
    <d v="2023-04-17T00:00:00"/>
    <d v="2024-04-16T00:00:00"/>
    <s v="MIST-PRD-001"/>
    <s v="GPA - NAMED"/>
    <n v="28980"/>
    <n v="7.7777777777777777"/>
    <n v="2254"/>
    <s v="Bangalore"/>
    <n v="437069"/>
    <s v="0"/>
    <m/>
    <s v="Jaya Chitra.M"/>
    <s v="Deep Shikha"/>
    <x v="42"/>
    <n v="1052"/>
    <s v="Rushi"/>
    <m/>
    <m/>
    <m/>
    <s v="Updation done in saiba"/>
    <m/>
  </r>
  <r>
    <x v="1"/>
    <m/>
    <n v="421100"/>
    <s v="CBU Bangalore"/>
    <s v="OIC/23-24/698"/>
    <s v="421100/48/2024/185"/>
    <n v="0"/>
    <s v="INFOSTRETCH CORPORATION INDIA PRIVATE LIMITED"/>
    <d v="2023-05-01T00:00:00"/>
    <d v="2024-04-30T00:00:00"/>
    <s v="MIST-PRD-890"/>
    <s v="GROUP MEDICLAIM -TAILORMADE-RISK FLOATER"/>
    <n v="9560440"/>
    <n v="5.9999958160921469"/>
    <n v="573626"/>
    <s v="Pune"/>
    <n v="444213"/>
    <n v="0"/>
    <m/>
    <s v="Suspense"/>
    <s v="Suspense"/>
    <x v="50"/>
    <n v="1047"/>
    <s v="Rushi"/>
    <m/>
    <m/>
    <m/>
    <s v="Updation done in saiba"/>
    <m/>
  </r>
  <r>
    <x v="1"/>
    <m/>
    <n v="411500"/>
    <s v="DO 5 CHENNAI"/>
    <s v="OIC/23-24/699"/>
    <s v="411500/48/2023/1725"/>
    <n v="6"/>
    <s v="YOUNG BRAND APPAREL PVT LTD"/>
    <d v="2022-10-14T00:00:00"/>
    <d v="2023-10-13T00:00:00"/>
    <s v="MIST-PRD-890"/>
    <s v="GROUP MEDICLAIM -TAILORMADE-RISK FLOATER"/>
    <n v="26705"/>
    <n v="7.5000187230855646"/>
    <n v="2002.88"/>
    <s v="Chennai"/>
    <n v="408565"/>
    <s v="E6"/>
    <m/>
    <s v="Hemalatha Chrisbino"/>
    <s v="Ramesh M"/>
    <x v="71"/>
    <n v="1068"/>
    <s v="Rushi"/>
    <m/>
    <m/>
    <m/>
    <s v="Updation done in saiba"/>
    <m/>
  </r>
  <r>
    <x v="1"/>
    <m/>
    <n v="231202"/>
    <s v="BO PANCHKULA "/>
    <s v="OIC/23-24/700"/>
    <s v="231202/11/2024/58"/>
    <n v="0"/>
    <s v="M/S JAI MATA PLYWOOD"/>
    <d v="2023-05-17T00:00:00"/>
    <d v="2024-05-16T00:00:00"/>
    <s v="FIR-PRD-012"/>
    <s v="ORIENTAL INSURANCE - FLEXI BHARAT LAGHU UDYAM SURAKSHA"/>
    <n v="160581"/>
    <n v="16.500084069721822"/>
    <n v="26496"/>
    <s v="Delhi"/>
    <n v="445091"/>
    <n v="0"/>
    <m/>
    <s v="Suspense"/>
    <s v="Suspense"/>
    <x v="51"/>
    <n v="1073"/>
    <s v="Rushi"/>
    <m/>
    <m/>
    <m/>
    <s v="Updation done in saiba"/>
    <m/>
  </r>
  <r>
    <x v="1"/>
    <m/>
    <n v="421300"/>
    <s v="DO 3 BANGALORE"/>
    <s v="OIC/23-24/701"/>
    <s v="421300/48/2023/1352"/>
    <n v="4"/>
    <s v="CREATIVE SYNERGIES CONSULTING INDIA PVT LTD"/>
    <d v="2022-11-25T00:00:00"/>
    <d v="2023-11-24T00:00:00"/>
    <s v="MIST-PRD-890"/>
    <s v="GROUP MEDICLAIM -TAILORMADE-RISK FLOATER"/>
    <n v="19896"/>
    <n v="4"/>
    <n v="795.84"/>
    <s v="Bangalore"/>
    <n v="430789"/>
    <s v="E2"/>
    <m/>
    <s v="Jaya Chitra.M"/>
    <s v="Aiyappa Parivaranayaka Mahadeva"/>
    <x v="42"/>
    <n v="1052"/>
    <s v="Rushi"/>
    <m/>
    <m/>
    <m/>
    <s v="Updation done in saiba"/>
    <m/>
  </r>
  <r>
    <x v="1"/>
    <m/>
    <n v="215600"/>
    <s v="DO 4 NEW DELHI"/>
    <s v="OIC/23-24/702"/>
    <s v="215600/48/2024/376"/>
    <n v="0"/>
    <s v="LUMAX AUTO TECHNOLOGIES LTD"/>
    <d v="2023-04-01T00:00:00"/>
    <d v="2024-03-31T00:00:00"/>
    <s v="MIST-PRD-052"/>
    <s v="MONEY INSURANCE"/>
    <n v="550"/>
    <n v="12.545454545454545"/>
    <n v="69"/>
    <s v="Delhi"/>
    <n v="437714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431500"/>
    <s v="DO IV HYDERABAD"/>
    <s v="OIC/23-24/703"/>
    <s v="431500/31/2024/221"/>
    <n v="0"/>
    <s v="LOHIYA VEG OILS PRIVATE LIMITED"/>
    <d v="2023-05-04T00:00:00"/>
    <d v="2024-05-03T00:00:00"/>
    <s v="MOT-PRD-003"/>
    <s v="GCCV"/>
    <n v="37862"/>
    <n v="3.2935396967936188"/>
    <n v="1247"/>
    <s v="Hyderabad"/>
    <n v="430270"/>
    <s v="0"/>
    <m/>
    <s v="Rani Sudhakar Ranipeta"/>
    <s v="Mukesh Srivastav"/>
    <x v="54"/>
    <n v="1103"/>
    <s v="Rushi"/>
    <m/>
    <m/>
    <m/>
    <s v="Updation done in saiba"/>
    <m/>
  </r>
  <r>
    <x v="1"/>
    <m/>
    <n v="212203"/>
    <s v="CBO 13 N-34 C.PLACE"/>
    <s v="OIC/23-24/704"/>
    <s v="212203/31/2024/293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19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705"/>
    <s v="212203/31/2024/304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30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706"/>
    <s v="212203/31/2024/271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52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707"/>
    <s v="510000/48/2024/228"/>
    <n v="0"/>
    <s v="NXP INDIA PRIVATE LIMITED"/>
    <d v="2023-04-01T00:00:00"/>
    <d v="2024-03-31T00:00:00"/>
    <s v="MIST-PRD-890"/>
    <s v="GROUP MEDICLAIM -TAILORMADE-RISK FLOATER"/>
    <n v="1401500"/>
    <n v="2"/>
    <n v="28030"/>
    <s v="Delhi"/>
    <n v="432696"/>
    <n v="0"/>
    <m/>
    <s v="Sonia Schofield"/>
    <s v="Surender Banga"/>
    <x v="41"/>
    <n v="2822"/>
    <s v="Rushi"/>
    <m/>
    <m/>
    <m/>
    <s v="NE"/>
    <m/>
  </r>
  <r>
    <x v="1"/>
    <m/>
    <n v="215600"/>
    <s v="DO 4 NEW DELHI"/>
    <s v="OIC/23-24/708"/>
    <s v="215600/48/2024/533"/>
    <n v="0"/>
    <s v="LUMAX ANCILLARY LIMITED"/>
    <d v="2023-04-01T00:00:00"/>
    <d v="2024-03-31T00:00:00"/>
    <s v="MIST-PRD-751"/>
    <s v="BURGLARY"/>
    <n v="4000"/>
    <n v="12.5"/>
    <n v="500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72200"/>
    <s v="DO 3 NEW DELHI"/>
    <s v="OIC/23-24/709"/>
    <s v="272200/31/2024/222"/>
    <n v="0"/>
    <s v="JCB INDIA LTD"/>
    <d v="2023-05-17T00:00:00"/>
    <d v="2024-05-16T00:00:00"/>
    <s v="MOT-PRD-006"/>
    <s v="MISCELANEOUS CLASS D VEHICLES"/>
    <n v="12981"/>
    <n v="6.5480317386950153"/>
    <n v="850"/>
    <s v="Delhi"/>
    <s v="NE"/>
    <s v="NE"/>
    <m/>
    <s v="Tejinder Pal Singh"/>
    <s v="Pushpinder Kaur"/>
    <x v="45"/>
    <n v="1088"/>
    <s v="Rushi"/>
    <m/>
    <m/>
    <m/>
    <s v="NE"/>
    <m/>
  </r>
  <r>
    <x v="1"/>
    <m/>
    <n v="163900"/>
    <s v="DO 5 PUNE"/>
    <s v="OIC/23-24/710"/>
    <s v="163900/48/2023/2195"/>
    <n v="8"/>
    <s v="CLARION TECHNOLOGIES PVT. LTD."/>
    <d v="2022-08-02T00:00:00"/>
    <d v="2023-08-01T00:00:00"/>
    <s v="MIST-PRD-890"/>
    <s v="GROUP MEDICLAIM -TAILORMADE-RISK FLOATER"/>
    <n v="-28297"/>
    <n v="2.7500088348588188"/>
    <n v="-778.17"/>
    <s v="Pune"/>
    <n v="437234"/>
    <s v="NE"/>
    <m/>
    <s v="Sheetal Gurav"/>
    <s v="Aatish Gaurav"/>
    <x v="43"/>
    <n v="1156"/>
    <s v="Rushi"/>
    <m/>
    <m/>
    <m/>
    <s v="NE"/>
    <m/>
  </r>
  <r>
    <x v="1"/>
    <m/>
    <n v="272200"/>
    <s v="DO 3 NEW DELHI"/>
    <s v="OIC/23-24/711"/>
    <s v="272200/31/2024/266"/>
    <n v="0"/>
    <s v="GOLDEN AERO LOGISTICS &amp; CONCIERGE SERVICES PVT. LTD"/>
    <d v="2023-05-27T00:00:00"/>
    <d v="2024-05-26T00:00:00"/>
    <s v="MOT-PRD-003"/>
    <s v="GCCV"/>
    <n v="17773"/>
    <n v="3.3815337872053117"/>
    <n v="601"/>
    <s v="Delhi"/>
    <s v="NE"/>
    <s v="NE"/>
    <m/>
    <s v="Saurabh Dwivedi"/>
    <s v="Sekhar Gurung"/>
    <x v="45"/>
    <n v="1088"/>
    <s v="Rushi"/>
    <m/>
    <m/>
    <m/>
    <s v="NE"/>
    <m/>
  </r>
  <r>
    <x v="1"/>
    <m/>
    <n v="112500"/>
    <s v="MCDO 22"/>
    <s v="OIC/23-24/712"/>
    <s v="112500/48/2023/3232"/>
    <n v="2"/>
    <s v="METTLER-TOLEDO INDIA PVT LTD"/>
    <d v="2023-02-01T00:00:00"/>
    <d v="2024-01-31T00:00:00"/>
    <s v="MIST-PRD-890"/>
    <s v="GROUP MEDICLAIM -TAILORMADE-RISK FLOATER"/>
    <n v="25439"/>
    <n v="5.0000000000000009"/>
    <n v="1271.95"/>
    <s v="Mumbai"/>
    <n v="424098"/>
    <s v="NE"/>
    <m/>
    <s v="Ashita Lotia"/>
    <s v="Arpita R Kochrekar"/>
    <x v="72"/>
    <n v="1144"/>
    <s v="Rushi"/>
    <m/>
    <m/>
    <m/>
    <s v="NE"/>
    <m/>
  </r>
  <r>
    <x v="1"/>
    <m/>
    <n v="212203"/>
    <s v="CBO 13 N-34 C.PLACE"/>
    <s v="OIC/23-24/713"/>
    <s v="212203/31/2024/407"/>
    <n v="0"/>
    <s v="THE DIRECTOR ANERT"/>
    <d v="2023-05-21T00:00:00"/>
    <d v="2024-05-20T00:00:00"/>
    <s v="MOT-PRD-015"/>
    <s v="STANDALONE OWN DAMAGE(OD)-PRIVATE CAR"/>
    <n v="8851"/>
    <n v="14.992656197039882"/>
    <n v="1327"/>
    <s v="Delhi"/>
    <n v="439475"/>
    <s v="0"/>
    <m/>
    <s v="NA"/>
    <s v="NA"/>
    <x v="40"/>
    <n v="1074"/>
    <s v="Rushi"/>
    <m/>
    <m/>
    <m/>
    <s v="Updation done in saiba"/>
    <m/>
  </r>
  <r>
    <x v="1"/>
    <m/>
    <n v="111900"/>
    <s v="MCDO 14"/>
    <s v="OIC/23-24/714"/>
    <s v="111900/22/2023/742"/>
    <n v="2"/>
    <s v="M/S. JAYDEEP ASSOCIATES PVT. LTD. VESSEL: WYNONA. GRT:1673 YOB: 2010"/>
    <d v="2023-02-15T00:00:00"/>
    <d v="2024-02-14T00:00:00"/>
    <s v="MH-PRD-003"/>
    <s v="INLAND VESSELS"/>
    <n v="46250"/>
    <n v="11.500540540540541"/>
    <n v="5319"/>
    <s v="Mumbai"/>
    <n v="422480"/>
    <s v="E1"/>
    <m/>
    <s v="Lakshmanan Subramanian Iyer"/>
    <s v="Saikumar G Shirwatkar"/>
    <x v="67"/>
    <n v="1136"/>
    <s v="Rushi"/>
    <m/>
    <m/>
    <m/>
    <s v="Updation done in saiba"/>
    <m/>
  </r>
  <r>
    <x v="1"/>
    <m/>
    <n v="510000"/>
    <s v="CBRO DELHI"/>
    <s v="OIC/23-24/715"/>
    <s v="510000/48/2023/797"/>
    <n v="9"/>
    <s v="INNOVAPTIVE GLOBAL SOLUTIONS PRIVATE LIMITED"/>
    <d v="2022-07-15T00:00:00"/>
    <d v="2023-07-14T00:00:00"/>
    <s v="MIST-PRD-890"/>
    <s v="GROUP MEDICLAIM -TAILORMADE-RISK FLOATER"/>
    <n v="13674"/>
    <n v="5"/>
    <n v="683.7"/>
    <s v="Hyderabad"/>
    <n v="397706"/>
    <s v="NE"/>
    <m/>
    <s v="M A Niranjan"/>
    <s v="Manisha Marda"/>
    <x v="41"/>
    <n v="2822"/>
    <s v="Rushi"/>
    <m/>
    <m/>
    <m/>
    <s v="NE"/>
    <m/>
  </r>
  <r>
    <x v="1"/>
    <m/>
    <n v="215600"/>
    <s v="DO 4 NEW DELHI"/>
    <s v="OIC/23-24/716"/>
    <s v="215600/11/2024/70"/>
    <n v="0"/>
    <s v="LUMAX CORNAGLIA AUTO TECHNOLOGIES PVT. LTD."/>
    <d v="2023-04-01T00:00:00"/>
    <d v="2024-03-31T00:00:00"/>
    <s v="FIR-PRD-006"/>
    <s v="STANDARD FIRE -- New Tariff"/>
    <n v="1166187"/>
    <n v="11.500128195563832"/>
    <n v="134113"/>
    <s v="Delhi"/>
    <n v="437687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510000"/>
    <s v="CBRO DELHI"/>
    <s v="OIC/23-24/717"/>
    <s v="510000/48/2023/1458"/>
    <n v="7"/>
    <s v="R SYSTEMS INTERNATIONAL LIMITED"/>
    <d v="2023-02-07T00:00:00"/>
    <d v="2024-01-26T00:00:00"/>
    <s v="MIST-PRD-050"/>
    <s v="OFFICE UMBRELLA"/>
    <n v="2"/>
    <n v="12.5"/>
    <n v="0.25"/>
    <s v="Delhi"/>
    <n v="423543"/>
    <s v="NE"/>
    <m/>
    <s v="Sumit Gupta"/>
    <s v="Sahil Wadhwa"/>
    <x v="41"/>
    <n v="2822"/>
    <s v="Rushi"/>
    <m/>
    <m/>
    <m/>
    <s v="NE"/>
    <m/>
  </r>
  <r>
    <x v="1"/>
    <m/>
    <n v="421100"/>
    <s v="CBU Bangalore"/>
    <s v="OIC/23-24/718"/>
    <s v="421100/48/2023/134"/>
    <n v="18"/>
    <s v="INFOSTRETCH CORPORATION INDIA PRIVATE LIMITED"/>
    <d v="2022-05-01T00:00:00"/>
    <d v="2023-04-30T00:00:00"/>
    <s v="MIST-PRD-890"/>
    <s v="GROUP MEDICLAIM -TAILORMADE-RISK FLOATER"/>
    <n v="-16071"/>
    <n v="5.5000311119407623"/>
    <n v="-883.91"/>
    <s v="Pune"/>
    <n v="399429"/>
    <s v="E11"/>
    <m/>
    <s v="Sheetal Gurav"/>
    <s v="Aatish Gaurav"/>
    <x v="50"/>
    <n v="1047"/>
    <s v="Rushi"/>
    <m/>
    <m/>
    <m/>
    <s v="Updation done in saiba"/>
    <m/>
  </r>
  <r>
    <x v="1"/>
    <m/>
    <n v="222104"/>
    <s v="CBO 1 KANPUR"/>
    <s v="OIC/23-24/719"/>
    <s v="222104/48/2023/457"/>
    <n v="13"/>
    <s v="ONESHIELD INDIA PRIVATE LIMITED"/>
    <d v="2022-07-10T00:00:00"/>
    <d v="2023-07-09T00:00:00"/>
    <s v="MIST-PRD-890"/>
    <s v="GROUP MEDICLAIM -TAILORMADE-RISK FLOATER"/>
    <n v="18515"/>
    <n v="7.500027005130975"/>
    <n v="1388.63"/>
    <s v="Delhi"/>
    <n v="398940"/>
    <s v="NE"/>
    <m/>
    <s v="Abhishek Sharma"/>
    <s v="Ishita Sharma"/>
    <x v="46"/>
    <n v="1091"/>
    <s v="Rushi"/>
    <m/>
    <m/>
    <m/>
    <s v="NE"/>
    <m/>
  </r>
  <r>
    <x v="1"/>
    <m/>
    <n v="272200"/>
    <s v="DO 3 NEW DELHI"/>
    <s v="OIC/23-24/720"/>
    <s v="272200/31/2024/159"/>
    <n v="0"/>
    <s v="RAKESH KUMAR MATHARU"/>
    <d v="2023-05-09T00:00:00"/>
    <d v="2024-05-08T00:00:00"/>
    <s v="MOT-PRD-001"/>
    <s v="PRIVATE CAR"/>
    <n v="4992"/>
    <n v="5.5088141025641022"/>
    <n v="275"/>
    <s v="Delhi"/>
    <s v="NE"/>
    <s v="NE"/>
    <m/>
    <s v="Prem Parkash"/>
    <s v="HImanshu Arora"/>
    <x v="45"/>
    <n v="1088"/>
    <s v="Rushi"/>
    <m/>
    <m/>
    <m/>
    <s v="NE"/>
    <m/>
  </r>
  <r>
    <x v="1"/>
    <m/>
    <n v="212203"/>
    <s v="CBO 13 N-34 C.PLACE"/>
    <s v="OIC/23-24/721"/>
    <s v="212203/31/2024/339"/>
    <n v="1"/>
    <s v="UNDER SECRETARY (ADMIN -IV)"/>
    <d v="2023-05-03T00:00:00"/>
    <d v="2023-05-15T00:00:00"/>
    <s v="MOT-PRD-012"/>
    <s v="PRIVATE CAR-(3 Years)"/>
    <n v="-18665"/>
    <n v="7.1309938387356011"/>
    <n v="-1331"/>
    <s v="Delhi"/>
    <s v="Contra"/>
    <s v="Contra"/>
    <m/>
    <s v="NA"/>
    <s v="NA"/>
    <x v="40"/>
    <n v="1074"/>
    <s v="Rushi"/>
    <m/>
    <m/>
    <m/>
    <s v="Contra"/>
    <m/>
  </r>
  <r>
    <x v="1"/>
    <m/>
    <n v="442600"/>
    <s v="DO  THODUPUZHA"/>
    <s v="OIC/23-24/722"/>
    <s v="442600/11/2023/130"/>
    <n v="3"/>
    <s v="Euro Vistaa India Limited"/>
    <d v="2023-01-18T00:00:00"/>
    <d v="2024-01-17T00:00:00"/>
    <s v="FIR-PRD-010"/>
    <s v="ORIENTAL BHARAT SOOKSHMA UDYAM SURAKSHA POLICY"/>
    <n v="998"/>
    <n v="14.629258517034067"/>
    <n v="146"/>
    <s v="Mumbai"/>
    <n v="414368"/>
    <s v="NE"/>
    <m/>
    <s v="Shakuntala Jewani"/>
    <s v="Sahil Sharma"/>
    <x v="48"/>
    <n v="1072"/>
    <s v="Rushi"/>
    <m/>
    <m/>
    <m/>
    <s v="NE"/>
    <m/>
  </r>
  <r>
    <x v="1"/>
    <m/>
    <n v="215600"/>
    <s v="DO 4 NEW DELHI"/>
    <s v="OIC/23-24/723"/>
    <s v="215600/11/2024/31"/>
    <n v="0"/>
    <s v="LUMAX AUTO TECHNOLOGIES LTD"/>
    <d v="2023-04-01T00:00:00"/>
    <d v="2024-03-31T00:00:00"/>
    <s v="FIR-PRD-006"/>
    <s v="STANDARD FIRE -- New Tariff"/>
    <n v="2656199"/>
    <n v="11.500004329494891"/>
    <n v="305463"/>
    <s v="Delhi"/>
    <n v="437710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724"/>
    <s v="215600/11/2024/33"/>
    <n v="0"/>
    <s v="LUMAX AUTO TECHNOLOGIES LIMITED"/>
    <d v="2023-04-01T00:00:00"/>
    <d v="2024-03-31T00:00:00"/>
    <s v="FIR-PRD-013"/>
    <s v="ORIENTAL INSURANCE - FLEXI BHARAT SOOKSHMA UDYAM SURAKSHA"/>
    <n v="10244"/>
    <n v="11.509176103084732"/>
    <n v="1179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431500"/>
    <s v="DO IV HYDERABAD"/>
    <s v="OIC/23-24/725"/>
    <s v="431500/31/2024/217"/>
    <n v="0"/>
    <s v="LOHIYA EDIBLE OILS PRIVATE LIMITED"/>
    <d v="2023-05-06T00:00:00"/>
    <d v="2024-05-05T00:00:00"/>
    <s v="MOT-PRD-003"/>
    <s v="GCCV"/>
    <n v="28345"/>
    <n v="2.9917092961721643"/>
    <n v="848"/>
    <s v="Hyderabad"/>
    <n v="430260"/>
    <s v="0"/>
    <m/>
    <s v="Rani Sudhakar Ranipeta"/>
    <s v="Mukesh Srivastav"/>
    <x v="54"/>
    <n v="1103"/>
    <s v="Rushi"/>
    <m/>
    <m/>
    <m/>
    <s v="Updation done in saiba"/>
    <m/>
  </r>
  <r>
    <x v="1"/>
    <m/>
    <n v="212203"/>
    <s v="CBO 13 N-34 C.PLACE"/>
    <s v="OIC/23-24/726"/>
    <s v="212203/31/2024/305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31"/>
    <s v="0"/>
    <m/>
    <s v="NA"/>
    <s v="NA"/>
    <x v="40"/>
    <n v="1074"/>
    <s v="Rushi"/>
    <m/>
    <m/>
    <m/>
    <s v="Updation done in saiba"/>
    <m/>
  </r>
  <r>
    <x v="1"/>
    <m/>
    <n v="272200"/>
    <s v="DO 3 NEW DELHI"/>
    <s v="OIC/23-24/727"/>
    <s v="272200/31/2024/197"/>
    <n v="0"/>
    <s v="M/S TYNOR ORTHOTIC P LTD"/>
    <d v="2023-05-13T00:00:00"/>
    <d v="2024-05-12T00:00:00"/>
    <s v="MOT-PRD-016"/>
    <s v="STANDALONE OWN DAMAGE(OD)-TWO WHEELER"/>
    <n v="510"/>
    <n v="17.450980392156865"/>
    <n v="89"/>
    <s v="Ludhiana"/>
    <n v="431262"/>
    <s v="0"/>
    <m/>
    <s v="Prem Parkash"/>
    <s v="HImanshu Arora"/>
    <x v="45"/>
    <n v="1088"/>
    <s v="Rushi"/>
    <m/>
    <m/>
    <m/>
    <s v="Updation done in saiba"/>
    <m/>
  </r>
  <r>
    <x v="1"/>
    <m/>
    <n v="222105"/>
    <s v="KANPUR DEHAT"/>
    <s v="OIC/23-24/728"/>
    <s v="222105/48/2024/381"/>
    <n v="0"/>
    <s v="ROHIT MATHUR"/>
    <d v="2023-05-31T00:00:00"/>
    <d v="2024-05-30T00:00:00"/>
    <s v="MIST-PRD-943"/>
    <s v="HAPPY FAMILY FLOATER POLICY-2021"/>
    <n v="21375"/>
    <n v="14.998830409356724"/>
    <n v="3206"/>
    <s v="Delhi"/>
    <n v="438667"/>
    <s v="0"/>
    <m/>
    <s v="Kushal Bhatia"/>
    <s v="Ankit Kumar Gangwar"/>
    <x v="53"/>
    <n v="1092"/>
    <s v="Rushi"/>
    <m/>
    <m/>
    <m/>
    <s v="Updation done in saiba"/>
    <m/>
  </r>
  <r>
    <x v="1"/>
    <m/>
    <n v="421300"/>
    <s v="DO 3 BANGALORE"/>
    <s v="OIC/23-24/729"/>
    <s v="421300/48/2023/539"/>
    <n v="18"/>
    <s v="ATRIA CONVERGENCE TECHNOLOGIES LIMITED"/>
    <d v="2022-05-04T00:00:00"/>
    <d v="2023-05-03T00:00:00"/>
    <s v="MIST-PRD-890"/>
    <s v="GROUP MEDICLAIM -TAILORMADE-RISK FLOATER"/>
    <n v="75654"/>
    <n v="7"/>
    <n v="5295.78"/>
    <s v="Bangalore"/>
    <n v="389830"/>
    <s v="E5"/>
    <m/>
    <s v="Jayachitra M"/>
    <s v="Vinod Kumar Heggadadevanapura Thammaiah"/>
    <x v="42"/>
    <n v="1052"/>
    <s v="Rushi"/>
    <m/>
    <m/>
    <m/>
    <s v="Updation done in saiba"/>
    <m/>
  </r>
  <r>
    <x v="1"/>
    <m/>
    <n v="212203"/>
    <s v="CBO 13 N-34 C.PLACE"/>
    <s v="OIC/23-24/730"/>
    <s v="212203/31/2024/341"/>
    <n v="0"/>
    <s v="UNDER SECRETARY (ADMIN -IV)"/>
    <d v="2023-05-03T00:00:00"/>
    <d v="2024-05-02T00:00:00"/>
    <s v="MOT-PRD-012"/>
    <s v="PRIVATE CAR-(3 Years)"/>
    <n v="13789"/>
    <n v="8.1586772064689246"/>
    <n v="1125"/>
    <s v="Delhi"/>
    <s v="Contra"/>
    <s v="Contra"/>
    <m/>
    <s v="NA"/>
    <s v="NA"/>
    <x v="40"/>
    <n v="1074"/>
    <s v="Rushi"/>
    <m/>
    <m/>
    <m/>
    <s v="Contra"/>
    <m/>
  </r>
  <r>
    <x v="1"/>
    <m/>
    <n v="414890"/>
    <s v="BC  SINGAPERUMAL KOIL"/>
    <s v="OIC/23-24/731"/>
    <s v="414890/31/2023/338"/>
    <n v="1"/>
    <s v="MR.N.SARAVANAN"/>
    <d v="2022-06-28T00:00:00"/>
    <d v="2023-06-27T00:00:00"/>
    <s v="MOT-PRD-005"/>
    <s v="PCCV"/>
    <n v="0"/>
    <e v="#DIV/0!"/>
    <n v="0"/>
    <s v="Chennai"/>
    <s v="Zero premium Zero comission"/>
    <s v="Zero premium Zero comission"/>
    <m/>
    <s v="Meenakshi Menon"/>
    <s v="Sathyendra Chandra Bose N"/>
    <x v="56"/>
    <n v="1071"/>
    <s v="Rushi"/>
    <m/>
    <m/>
    <m/>
    <s v="Zero premium Zero comission"/>
    <m/>
  </r>
  <r>
    <x v="1"/>
    <m/>
    <n v="441202"/>
    <s v="BO NEYYATINKARA"/>
    <s v="OIC/23-24/732"/>
    <s v="441202/48/2023/727"/>
    <n v="14"/>
    <s v="TECHVERSANT INFOTECH PRIVATE LIMITED"/>
    <d v="2022-10-17T00:00:00"/>
    <d v="2023-10-16T00:00:00"/>
    <s v="MIST-PRD-890"/>
    <s v="GROUP MEDICLAIM -TAILORMADE-RISK FLOATER"/>
    <n v="-7154"/>
    <n v="6.7235113223371537"/>
    <n v="-481"/>
    <s v="Chennai"/>
    <n v="405682"/>
    <s v="E4"/>
    <m/>
    <s v="Balakrishnan M"/>
    <s v="Balakrishnan.G"/>
    <x v="63"/>
    <n v="1217"/>
    <s v="Rushi"/>
    <m/>
    <m/>
    <m/>
    <s v="Updation done in saiba"/>
    <m/>
  </r>
  <r>
    <x v="1"/>
    <m/>
    <n v="510000"/>
    <s v="CBRO DELHI"/>
    <s v="OIC/23-24/733"/>
    <s v="510000/48/2023/675"/>
    <n v="19"/>
    <s v="JCB INDIA LTD."/>
    <d v="2022-06-01T00:00:00"/>
    <d v="2023-05-31T00:00:00"/>
    <s v="MIST-PRD-890"/>
    <s v="GROUP MEDICLAIM -TAILORMADE-RISK FLOATER"/>
    <n v="2021406"/>
    <n v="0"/>
    <n v="0"/>
    <s v="Delhi"/>
    <n v="387255"/>
    <s v="NE"/>
    <m/>
    <s v="Atul Chordiya"/>
    <s v="Amit Rokade"/>
    <x v="41"/>
    <n v="2822"/>
    <s v="Rushi"/>
    <m/>
    <m/>
    <m/>
    <s v="NE"/>
    <m/>
  </r>
  <r>
    <x v="1"/>
    <m/>
    <n v="421700"/>
    <s v="DO VII BANGALORE"/>
    <s v="OIC/23-24/734"/>
    <s v="421700/48/2024/266"/>
    <n v="1"/>
    <s v="UD TRUCKS INDIA PRIVATE LIMITED"/>
    <d v="2023-04-01T00:00:00"/>
    <d v="2024-03-31T00:00:00"/>
    <s v="MIST-PRD-890"/>
    <s v="GROUP MEDICLAIM -TAILORMADE-RISK FLOATER"/>
    <n v="541541"/>
    <n v="7.5000009232911271"/>
    <n v="40615.58"/>
    <s v="Bangalore"/>
    <s v="NE"/>
    <s v="NE"/>
    <m/>
    <s v="Jaya Chitra.M"/>
    <s v="Sandeep Ambaji Navale"/>
    <x v="47"/>
    <n v="1055"/>
    <s v="Rushi"/>
    <m/>
    <m/>
    <m/>
    <s v="NE"/>
    <m/>
  </r>
  <r>
    <x v="1"/>
    <m/>
    <n v="163900"/>
    <s v="DO 5 PUNE"/>
    <s v="OIC/23-24/735"/>
    <s v="163900/31/2024/166"/>
    <n v="0"/>
    <s v="RIECO INDUSTRIES LTD."/>
    <d v="2023-05-30T00:00:00"/>
    <d v="2024-05-29T00:00:00"/>
    <s v="MOT-PRD-003"/>
    <s v="GCCV"/>
    <n v="19463"/>
    <n v="2.0705954888763296"/>
    <n v="403"/>
    <s v="Mumbai"/>
    <s v="NE"/>
    <s v="NE"/>
    <m/>
    <s v="Suspense"/>
    <s v="Suspense"/>
    <x v="43"/>
    <n v="1156"/>
    <s v="Rushi"/>
    <m/>
    <m/>
    <m/>
    <s v="NE"/>
    <m/>
  </r>
  <r>
    <x v="1"/>
    <m/>
    <n v="215600"/>
    <s v="DO 4 NEW DELHI"/>
    <s v="OIC/23-24/736"/>
    <s v="215600/11/2024/69"/>
    <n v="0"/>
    <s v="LUMAX INDUSTRIES LTD."/>
    <d v="2023-04-07T00:00:00"/>
    <d v="2024-04-06T00:00:00"/>
    <s v="FIR-PRD-012"/>
    <s v="ORIENTAL INSURANCE - FLEXI BHARAT LAGHU UDYAM SURAKSHA"/>
    <n v="260038"/>
    <n v="11.499857713103468"/>
    <n v="29904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737"/>
    <s v="215600/11/2024/71"/>
    <n v="0"/>
    <s v="LUMAX CORNAGLIA AUTO TECHNOLOGIES PVT. LTD."/>
    <d v="2023-04-01T00:00:00"/>
    <d v="2024-03-31T00:00:00"/>
    <s v="FIR-PRD-013"/>
    <s v="ORIENTAL INSURANCE - FLEXI BHARAT SOOKSHMA UDYAM SURAKSHA"/>
    <n v="920"/>
    <n v="11.521739130434783"/>
    <n v="106"/>
    <s v="Delhi"/>
    <n v="431276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111900"/>
    <s v="MCDO 14"/>
    <s v="OIC/23-24/738"/>
    <s v="111900/22/2024/247"/>
    <n v="0"/>
    <s v="M/S. JAYDEEP ASSOCIATES PVT. LTD. VESSEL: M.V.HOLY TRINITY. YOB: 2005."/>
    <d v="2023-05-24T00:00:00"/>
    <d v="2024-05-23T00:00:00"/>
    <s v="MH-PRD-003"/>
    <s v="INLAND VESSELS"/>
    <n v="45000"/>
    <n v="11.5"/>
    <n v="5175"/>
    <s v="Mumbai"/>
    <s v="NE"/>
    <s v="NE"/>
    <m/>
    <s v="Suspense"/>
    <s v="Suspense"/>
    <x v="67"/>
    <n v="1136"/>
    <s v="Rushi"/>
    <m/>
    <m/>
    <m/>
    <s v="NE"/>
    <m/>
  </r>
  <r>
    <x v="1"/>
    <m/>
    <n v="215600"/>
    <s v="DO 4 NEW DELHI"/>
    <s v="OIC/23-24/739"/>
    <s v="215600/11/2024/74"/>
    <n v="0"/>
    <s v="LUMAX INDUSTRIES LTD"/>
    <d v="2023-05-03T00:00:00"/>
    <d v="2024-05-02T00:00:00"/>
    <s v="FIR-PRD-006"/>
    <s v="STANDARD FIRE -- New Tariff"/>
    <n v="2916735"/>
    <n v="11.500050570243783"/>
    <n v="335426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510000"/>
    <s v="CBRO DELHI"/>
    <s v="OIC/23-24/740"/>
    <s v="510000/48/2024/225"/>
    <n v="0"/>
    <s v="NXP INDIA PRIVATE LIMITED"/>
    <d v="2023-04-01T00:00:00"/>
    <d v="2024-03-31T00:00:00"/>
    <s v="MIST-PRD-890"/>
    <s v="GROUP MEDICLAIM -TAILORMADE-RISK FLOATER"/>
    <n v="55184252"/>
    <n v="1.9999999275155527"/>
    <n v="1103685"/>
    <s v="Delhi"/>
    <n v="427731"/>
    <s v="0"/>
    <m/>
    <s v="Sonia Schofield"/>
    <s v="Surender Banga"/>
    <x v="41"/>
    <n v="2822"/>
    <s v="Rushi"/>
    <m/>
    <m/>
    <s v="Premium Mismatched"/>
    <s v="Modification required"/>
    <m/>
  </r>
  <r>
    <x v="1"/>
    <m/>
    <n v="272200"/>
    <s v="DO 3 NEW DELHI"/>
    <s v="OIC/23-24/741"/>
    <s v="272200/31/2024/244"/>
    <n v="0"/>
    <s v="RASHAM  KNITWEARS"/>
    <d v="2023-05-22T00:00:00"/>
    <d v="2024-05-21T00:00:00"/>
    <s v="MOT-PRD-003"/>
    <s v="GCCV"/>
    <n v="16457"/>
    <n v="2.7708573859148085"/>
    <n v="456"/>
    <s v="Delhi"/>
    <s v="NE"/>
    <s v="NE"/>
    <m/>
    <s v="Suspense"/>
    <s v="Suspense"/>
    <x v="45"/>
    <n v="1088"/>
    <s v="Rushi"/>
    <m/>
    <m/>
    <m/>
    <s v="NE"/>
    <m/>
  </r>
  <r>
    <x v="1"/>
    <m/>
    <n v="215600"/>
    <s v="DO 4 NEW DELHI"/>
    <s v="OIC/23-24/742"/>
    <s v="215600/48/2024/430"/>
    <n v="0"/>
    <s v="LUMAX ANCILLARY LIMITED"/>
    <d v="2023-04-01T00:00:00"/>
    <d v="2024-03-31T00:00:00"/>
    <s v="MIST-PRD-753"/>
    <s v="BURGLARY FLOATER"/>
    <n v="110"/>
    <n v="12.727272727272727"/>
    <n v="14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510000"/>
    <s v="CBRO DELHI"/>
    <s v="OIC/23-24/743"/>
    <s v="510000/48/2023/1609"/>
    <n v="1"/>
    <s v="DENTSU WEBCHUTNEY PRIVATE LIMITED"/>
    <d v="2023-02-03T00:00:00"/>
    <d v="2024-02-02T00:00:00"/>
    <s v="MIST-PRD-890"/>
    <s v="GROUP MEDICLAIM -TAILORMADE-RISK FLOATER"/>
    <n v="43470"/>
    <n v="0.5"/>
    <n v="217.35"/>
    <s v="Delhi"/>
    <n v="434025"/>
    <n v="0"/>
    <m/>
    <s v="Amit Pandey"/>
    <s v="Niladri Mangal Choudhury"/>
    <x v="41"/>
    <n v="2822"/>
    <s v="Rushi"/>
    <m/>
    <m/>
    <s v="Premium Mismatched"/>
    <s v="Modification required"/>
    <m/>
  </r>
  <r>
    <x v="1"/>
    <m/>
    <n v="421300"/>
    <s v="DO 3 BANGALORE"/>
    <s v="OIC/23-24/744"/>
    <s v="421300/48/2023/521"/>
    <n v="11"/>
    <s v="SSP INDIA PRIVATE LIMITED"/>
    <d v="2022-06-07T00:00:00"/>
    <d v="2023-06-06T00:00:00"/>
    <s v="MIST-PRD-890"/>
    <s v="GROUP MEDICLAIM -TAILORMADE-RISK FLOATER"/>
    <n v="1934"/>
    <n v="7.5000000000000009"/>
    <n v="145.05000000000001"/>
    <s v="Delhi"/>
    <n v="388708"/>
    <s v="E1"/>
    <m/>
    <s v="Rajiv Choudhary"/>
    <s v="Ashwini Kumar Srivastava"/>
    <x v="42"/>
    <n v="1052"/>
    <s v="Rushi"/>
    <m/>
    <m/>
    <m/>
    <s v="Updation done in saiba"/>
    <m/>
  </r>
  <r>
    <x v="1"/>
    <m/>
    <n v="212203"/>
    <s v="CBO 13 N-34 C.PLACE"/>
    <s v="OIC/23-24/745"/>
    <s v="212203/31/2024/299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5"/>
    <s v="0"/>
    <m/>
    <s v="NA"/>
    <s v="NA"/>
    <x v="40"/>
    <n v="1074"/>
    <s v="Rushi"/>
    <m/>
    <m/>
    <m/>
    <s v="Updation done in saiba"/>
    <m/>
  </r>
  <r>
    <x v="1"/>
    <m/>
    <n v="111900"/>
    <s v="MCDO 14"/>
    <s v="OIC/23-24/746"/>
    <s v="111900/22/2023/718"/>
    <n v="1"/>
    <s v="M/S. JAYDEEP ASSOCIATES PVT. LTD. VESSEL: M.V.ABHILAKSH. YOB: 2010: REG.NO.GMB/NLK/88"/>
    <d v="2023-02-02T00:00:00"/>
    <d v="2024-02-01T00:00:00"/>
    <s v="MH-PRD-003"/>
    <s v="INLAND VESSELS"/>
    <n v="46250"/>
    <n v="11.500540540540541"/>
    <n v="5319"/>
    <s v="Mumbai"/>
    <n v="421636"/>
    <s v="E1"/>
    <m/>
    <s v="Lakshmanan Subramanian Iyer"/>
    <s v="Saikumar G Shirwatkar"/>
    <x v="67"/>
    <n v="1136"/>
    <s v="Rushi"/>
    <m/>
    <m/>
    <m/>
    <s v="Updation done in saiba"/>
    <m/>
  </r>
  <r>
    <x v="1"/>
    <m/>
    <n v="215600"/>
    <s v="DO 4 NEW DELHI"/>
    <s v="OIC/23-24/747"/>
    <s v="215600/11/2024/49"/>
    <n v="0"/>
    <s v="LUMAX ANCILLARY LIMITED"/>
    <d v="2023-04-01T00:00:00"/>
    <d v="2024-03-31T00:00:00"/>
    <s v="FIR-PRD-012"/>
    <s v="ORIENTAL INSURANCE - FLEXI BHARAT LAGHU UDYAM SURAKSHA"/>
    <n v="156659"/>
    <n v="11.500775569868313"/>
    <n v="18017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510000"/>
    <s v="CBRO DELHI"/>
    <s v="OIC/23-24/748"/>
    <s v="510000/48/2023/1175"/>
    <n v="4"/>
    <s v="TrueBlue India LLP"/>
    <d v="2022-11-01T00:00:00"/>
    <d v="2023-10-31T00:00:00"/>
    <s v="MIST-PRD-890"/>
    <s v="GROUP MEDICLAIM -TAILORMADE-RISK FLOATER"/>
    <n v="18811"/>
    <n v="7.50002658019244"/>
    <n v="1410.83"/>
    <s v="Delhi"/>
    <n v="414268"/>
    <s v="NE"/>
    <m/>
    <s v="Amit Pandey"/>
    <s v="Rakesh Kumar Singh"/>
    <x v="41"/>
    <n v="2822"/>
    <s v="Rushi"/>
    <m/>
    <m/>
    <m/>
    <s v="NE"/>
    <m/>
  </r>
  <r>
    <x v="1"/>
    <m/>
    <n v="442600"/>
    <s v="DO  THODUPUZHA"/>
    <s v="OIC/23-24/749"/>
    <s v="442600/48/2023/1754"/>
    <n v="3"/>
    <s v="Euro Vistaa India Limited"/>
    <d v="2023-01-18T00:00:00"/>
    <d v="2024-01-17T00:00:00"/>
    <s v="MIST-PRD-751"/>
    <s v="BURGLARY"/>
    <n v="357"/>
    <n v="16.501400560224088"/>
    <n v="58.91"/>
    <s v="Mumbai"/>
    <n v="414367"/>
    <s v="NE"/>
    <m/>
    <s v="Shakuntala Jewani"/>
    <s v="Sahil Sharma"/>
    <x v="48"/>
    <n v="1072"/>
    <s v="Rushi"/>
    <m/>
    <m/>
    <m/>
    <s v="NE"/>
    <m/>
  </r>
  <r>
    <x v="1"/>
    <m/>
    <n v="411700"/>
    <s v="DO 7 CHENNAI"/>
    <s v="OIC/23-24/750"/>
    <s v="411700/48/2023/2106"/>
    <n v="7"/>
    <s v="FINANCIAL SOFTWARE &amp; SYSTEMS (P) LTD."/>
    <d v="2022-10-01T00:00:00"/>
    <d v="2023-09-30T00:00:00"/>
    <s v="MIST-PRD-001"/>
    <s v="GPA - NAMED"/>
    <n v="-3984"/>
    <n v="7.5050200803212848"/>
    <n v="-299"/>
    <s v="Chennai"/>
    <n v="407984"/>
    <s v="E4"/>
    <m/>
    <s v="Meenakshi Menon"/>
    <s v="Sudha.S"/>
    <x v="61"/>
    <n v="1069"/>
    <s v="Rushi"/>
    <m/>
    <m/>
    <m/>
    <s v="Updation done in saiba"/>
    <m/>
  </r>
  <r>
    <x v="1"/>
    <m/>
    <n v="233503"/>
    <s v="CBO I PATIALA"/>
    <s v="OIC/23-24/751"/>
    <s v="233503/43/2023/6"/>
    <n v="1"/>
    <s v="PATIALA AVIATION CLUB"/>
    <d v="2023-02-23T00:00:00"/>
    <d v="2024-02-22T00:00:00"/>
    <s v="AVI-PRD-037"/>
    <s v="HULL ALL RISK"/>
    <n v="44185"/>
    <n v="8.0004526422994218"/>
    <n v="3535"/>
    <s v="Delhi"/>
    <n v="420625"/>
    <s v="0"/>
    <m/>
    <s v="Vineet Khattar"/>
    <s v="Varun Malik"/>
    <x v="73"/>
    <n v="1109"/>
    <s v="Rushi"/>
    <m/>
    <m/>
    <m/>
    <s v="Updation done in saiba"/>
    <m/>
  </r>
  <r>
    <x v="1"/>
    <m/>
    <n v="215600"/>
    <s v="DO 4 NEW DELHI"/>
    <s v="OIC/23-24/752"/>
    <s v="215600/11/2024/65"/>
    <n v="0"/>
    <s v="M/S LUMAX MANNOH ALLIED TECHNOLOGIES LTD."/>
    <d v="2023-04-01T00:00:00"/>
    <d v="2024-03-31T00:00:00"/>
    <s v="FIR-PRD-013"/>
    <s v="ORIENTAL INSURANCE - FLEXI BHARAT SOOKSHMA UDYAM SURAKSHA"/>
    <n v="5879"/>
    <n v="11.498554175880251"/>
    <n v="676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753"/>
    <s v="212203/31/2024/496"/>
    <n v="0"/>
    <s v="MINISTRY OF NEW &amp; RENEWABLE ENERGY"/>
    <d v="2023-06-01T00:00:00"/>
    <d v="2024-05-31T00:00:00"/>
    <s v="MOT-PRD-001"/>
    <s v="PRIVATE CAR"/>
    <n v="8214"/>
    <n v="11.297784270757244"/>
    <n v="928"/>
    <s v="Delhi"/>
    <s v="NE"/>
    <s v="NE"/>
    <m/>
    <s v="Suspense"/>
    <s v="Suspense"/>
    <x v="40"/>
    <n v="1074"/>
    <s v="Rushi"/>
    <m/>
    <m/>
    <m/>
    <s v="NE"/>
    <m/>
  </r>
  <r>
    <x v="1"/>
    <m/>
    <n v="215600"/>
    <s v="DO 4 NEW DELHI"/>
    <s v="OIC/23-24/754"/>
    <s v="215600/11/2024/77"/>
    <n v="0"/>
    <s v="LUMAX ANCILLARY LIMITED"/>
    <d v="2023-04-01T00:00:00"/>
    <d v="2024-03-31T00:00:00"/>
    <s v="FIR-PRD-012"/>
    <s v="ORIENTAL INSURANCE - FLEXI BHARAT LAGHU UDYAM SURAKSHA"/>
    <n v="472907"/>
    <n v="11.500146963356432"/>
    <n v="54385"/>
    <s v="Delhi"/>
    <n v="439781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22104"/>
    <s v="CBO 1 KANPUR"/>
    <s v="OIC/23-24/755"/>
    <s v="222104/48/2023/902"/>
    <n v="2"/>
    <s v="CONSCIENT SPORTS LLP"/>
    <d v="2022-10-29T00:00:00"/>
    <d v="2023-10-28T00:00:00"/>
    <s v="MIST-PRD-890"/>
    <s v="GROUP MEDICLAIM -TAILORMADE-RISK FLOATER"/>
    <n v="-23149"/>
    <n v="5"/>
    <n v="-1157.45"/>
    <s v="Delhi"/>
    <n v="407879"/>
    <s v="NE"/>
    <m/>
    <s v="Rakesh Kumar Singh"/>
    <s v="Pranav Das Piyush"/>
    <x v="46"/>
    <n v="1091"/>
    <s v="Rushi"/>
    <m/>
    <m/>
    <m/>
    <s v="NE"/>
    <m/>
  </r>
  <r>
    <x v="1"/>
    <m/>
    <n v="510000"/>
    <s v="CBRO DELHI"/>
    <s v="OIC/23-24/756"/>
    <s v="510000/48/2023/718"/>
    <n v="9"/>
    <s v="JCB INDIA LTD."/>
    <d v="2022-06-01T00:00:00"/>
    <d v="2023-05-31T00:00:00"/>
    <s v="MIST-PRD-001"/>
    <s v="GPA - NAMED"/>
    <n v="-198"/>
    <n v="7.5757575757575761"/>
    <n v="-15"/>
    <s v="Delhi"/>
    <n v="387265"/>
    <s v="NE"/>
    <m/>
    <s v="Atul Chordiya"/>
    <s v="Amit Rokade"/>
    <x v="41"/>
    <n v="2822"/>
    <s v="Rushi"/>
    <m/>
    <m/>
    <m/>
    <s v="NE"/>
    <m/>
  </r>
  <r>
    <x v="1"/>
    <m/>
    <n v="111900"/>
    <s v="MCDO 14"/>
    <s v="OIC/23-24/757"/>
    <s v="111900/22/2024/189"/>
    <n v="1"/>
    <s v="M/S. FLOWLINE SYSTEMS PVT. LTD. VESSEL: C.S.D. SAMUDRA-II. REG.NO.BP-1605. YOB: 2022"/>
    <d v="2023-05-02T00:00:00"/>
    <d v="2024-05-01T00:00:00"/>
    <s v="MH-PRD-003"/>
    <s v="INLAND VESSELS"/>
    <n v="225000"/>
    <n v="11.500444444444444"/>
    <n v="25876"/>
    <s v="Mumbai"/>
    <s v="NE"/>
    <s v="NE"/>
    <m/>
    <s v="Suspense"/>
    <s v="Suspense"/>
    <x v="67"/>
    <n v="1136"/>
    <s v="Rushi"/>
    <m/>
    <m/>
    <m/>
    <s v="NE"/>
    <m/>
  </r>
  <r>
    <x v="1"/>
    <m/>
    <n v="510000"/>
    <s v="CBRO DELHI"/>
    <s v="OIC/23-24/758"/>
    <s v="510000/48/2024/165"/>
    <n v="0"/>
    <s v="M/S MOHAN CLOTHING CO.PVT.LTD"/>
    <d v="2023-04-29T00:00:00"/>
    <d v="2024-04-28T00:00:00"/>
    <s v="MIST-PRD-751"/>
    <s v="BURGLARY"/>
    <n v="2698"/>
    <n v="12.490733876945885"/>
    <n v="337"/>
    <s v="Delhi"/>
    <n v="431163"/>
    <s v="0"/>
    <m/>
    <s v="Sudhir Soni"/>
    <s v="Hemant Kumar Gupta"/>
    <x v="41"/>
    <n v="2822"/>
    <s v="Rushi"/>
    <m/>
    <m/>
    <s v="Brokerage % need to update"/>
    <s v="Modification required"/>
    <m/>
  </r>
  <r>
    <x v="1"/>
    <m/>
    <n v="212203"/>
    <s v="CBO 13 N-34 C.PLACE"/>
    <s v="OIC/23-24/759"/>
    <s v="212203/31/2024/395"/>
    <n v="0"/>
    <s v="ENERGY EFFICIENCY SERVICES LTD"/>
    <d v="2023-05-16T00:00:00"/>
    <d v="2024-05-15T00:00:00"/>
    <s v="MOT-PRD-001"/>
    <s v="PRIVATE CAR"/>
    <n v="3903"/>
    <n v="8.5062772226492438"/>
    <n v="332"/>
    <s v="Delhi"/>
    <n v="439306"/>
    <s v="0"/>
    <m/>
    <s v="NA"/>
    <s v="NA"/>
    <x v="40"/>
    <n v="1074"/>
    <s v="Rushi"/>
    <m/>
    <m/>
    <m/>
    <s v="Updation done in saiba"/>
    <m/>
  </r>
  <r>
    <x v="1"/>
    <m/>
    <n v="215600"/>
    <s v="DO 4 NEW DELHI"/>
    <s v="OIC/23-24/760"/>
    <s v="215600/48/2024/381"/>
    <n v="0"/>
    <s v="M/S LUMAX MANNOH ALLIED TECHNOLOGIES LTD."/>
    <d v="2023-04-08T00:00:00"/>
    <d v="2024-04-07T00:00:00"/>
    <s v="MIST-PRD-052"/>
    <s v="MONEY INSURANCE"/>
    <n v="169"/>
    <n v="16.568047337278106"/>
    <n v="28"/>
    <s v="Delhi"/>
    <n v="429083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761"/>
    <s v="215600/44/2024/2"/>
    <n v="0"/>
    <s v="Lumax Industries Ltd."/>
    <d v="2023-04-01T00:00:00"/>
    <d v="2024-03-31T00:00:00"/>
    <s v="ENG-PRD-006"/>
    <s v="ELECTRONIC EQUIPMENT INSURANCE"/>
    <n v="943"/>
    <n v="11.66489925768823"/>
    <n v="110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411700"/>
    <s v="DO 7 CHENNAI"/>
    <s v="OIC/23-24/762"/>
    <s v="411700/48/2023/2419"/>
    <n v="9"/>
    <s v="FINANCIAL SOFTWARE &amp; SYSTEMS (P) LTD."/>
    <d v="2022-10-01T00:00:00"/>
    <d v="2023-09-30T00:00:00"/>
    <s v="MIST-PRD-890"/>
    <s v="GROUP MEDICLAIM -TAILORMADE-RISK FLOATER"/>
    <n v="-11285"/>
    <n v="1.0013291980505097"/>
    <n v="-113"/>
    <s v="Chennai"/>
    <n v="409179"/>
    <s v="E6"/>
    <m/>
    <s v="Meenakshi Menon"/>
    <s v="Sudha.S"/>
    <x v="61"/>
    <n v="1069"/>
    <s v="Rushi"/>
    <m/>
    <m/>
    <m/>
    <s v="Updation done in saiba"/>
    <m/>
  </r>
  <r>
    <x v="1"/>
    <m/>
    <n v="421700"/>
    <s v="DO VII BANGALORE"/>
    <s v="OIC/23-24/763"/>
    <s v="421700/48/2024/266"/>
    <n v="2"/>
    <s v="UD TRUCKS INDIA PRIVATE LIMITED"/>
    <d v="2023-04-01T00:00:00"/>
    <d v="2024-03-31T00:00:00"/>
    <s v="MIST-PRD-890"/>
    <s v="GROUP MEDICLAIM -TAILORMADE-RISK FLOATER"/>
    <n v="115775"/>
    <n v="7.5000043187216576"/>
    <n v="8683.1299999999992"/>
    <s v="Bangalore"/>
    <s v="NE"/>
    <s v="NE"/>
    <m/>
    <s v="Jaya Chitra.M"/>
    <s v="Sandeep Ambaji Navale"/>
    <x v="47"/>
    <n v="1055"/>
    <s v="Rushi"/>
    <m/>
    <m/>
    <m/>
    <s v="NE"/>
    <m/>
  </r>
  <r>
    <x v="1"/>
    <m/>
    <n v="233600"/>
    <s v="DO RAJPURA"/>
    <s v="OIC/23-24/764"/>
    <s v="233600/48/2023/1973"/>
    <n v="8"/>
    <s v="HUDL INDIA PRIVATE LIMITED"/>
    <d v="2023-02-25T00:00:00"/>
    <d v="2024-02-24T00:00:00"/>
    <s v="MIST-PRD-001"/>
    <s v="GPA - NAMED"/>
    <n v="2480"/>
    <n v="7.5"/>
    <n v="186"/>
    <s v="Mumbai"/>
    <n v="421676"/>
    <s v="E3"/>
    <m/>
    <s v="Ashita Lotia"/>
    <s v="Manpreet Kaur Gill"/>
    <x v="59"/>
    <n v="1112"/>
    <s v="Rushi"/>
    <m/>
    <m/>
    <s v="Premium Mismatched"/>
    <s v="Modification required"/>
    <m/>
  </r>
  <r>
    <x v="1"/>
    <m/>
    <n v="215600"/>
    <s v="DO 4 NEW DELHI"/>
    <s v="OIC/23-24/765"/>
    <s v="215600/11/2023/144"/>
    <n v="1"/>
    <s v="LUMAX INDUSTRIES LIMITED"/>
    <d v="2022-07-01T00:00:00"/>
    <d v="2023-06-30T00:00:00"/>
    <s v="FIR-PRD-009"/>
    <s v="ORIENTAL BHARAT LAGHU UDYAM SURAKSHA POLICY"/>
    <n v="6499"/>
    <n v="10.632404985382367"/>
    <n v="691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22104"/>
    <s v="CBO 1 KANPUR"/>
    <s v="OIC/23-24/766"/>
    <s v="222104/48/2023/902"/>
    <n v="3"/>
    <s v="CONSCIENT SPORTS LLP"/>
    <d v="2022-10-29T00:00:00"/>
    <d v="2023-10-28T00:00:00"/>
    <s v="MIST-PRD-890"/>
    <s v="GROUP MEDICLAIM -TAILORMADE-RISK FLOATER"/>
    <n v="54939"/>
    <n v="5"/>
    <n v="2746.95"/>
    <s v="Delhi"/>
    <n v="407879"/>
    <s v="NE"/>
    <m/>
    <s v="Rakesh Kumar Singh"/>
    <s v="Pranav Das Piyush"/>
    <x v="46"/>
    <n v="1091"/>
    <s v="Rushi"/>
    <m/>
    <m/>
    <m/>
    <s v="NE"/>
    <m/>
  </r>
  <r>
    <x v="1"/>
    <m/>
    <n v="272200"/>
    <s v="DO 3 NEW DELHI"/>
    <s v="OIC/23-24/767"/>
    <s v="272200/31/2024/263"/>
    <n v="0"/>
    <s v="GOLDEN AERO LOGISTICS &amp; CONCIERGE SERVICES PVT. LTD"/>
    <d v="2023-05-27T00:00:00"/>
    <d v="2024-05-26T00:00:00"/>
    <s v="MOT-PRD-003"/>
    <s v="GCCV"/>
    <n v="18855"/>
    <n v="4.2269954919119597"/>
    <n v="797"/>
    <s v="Delhi"/>
    <s v="NE"/>
    <s v="NE"/>
    <m/>
    <s v="Saurabh Dwivedi"/>
    <s v="Sekhar Gurung"/>
    <x v="45"/>
    <n v="1088"/>
    <s v="Rushi"/>
    <m/>
    <m/>
    <m/>
    <s v="NE"/>
    <m/>
  </r>
  <r>
    <x v="1"/>
    <m/>
    <n v="272200"/>
    <s v="DO 3 NEW DELHI"/>
    <s v="OIC/23-24/768"/>
    <s v="272200/31/2024/265"/>
    <n v="0"/>
    <s v="GOLDEN AERO LOGISTICS &amp; CONCIERGE SERVICES PVT. LTD"/>
    <d v="2023-05-27T00:00:00"/>
    <d v="2024-05-26T00:00:00"/>
    <s v="MOT-PRD-003"/>
    <s v="GCCV"/>
    <n v="18909"/>
    <n v="4.2889629277063834"/>
    <n v="811"/>
    <s v="Delhi"/>
    <s v="NE"/>
    <s v="NE"/>
    <m/>
    <s v="Saurabh Dwivedi"/>
    <s v="Sekhar Gurung"/>
    <x v="45"/>
    <n v="1088"/>
    <s v="Rushi"/>
    <m/>
    <m/>
    <m/>
    <s v="NE"/>
    <m/>
  </r>
  <r>
    <x v="1"/>
    <m/>
    <n v="215600"/>
    <s v="DO 4 NEW DELHI"/>
    <s v="OIC/23-24/769"/>
    <s v="215600/11/2024/47"/>
    <n v="0"/>
    <s v="LUMAX ANCILLARY LIMITED"/>
    <d v="2023-04-01T00:00:00"/>
    <d v="2024-03-31T00:00:00"/>
    <s v="FIR-PRD-013"/>
    <s v="ORIENTAL INSURANCE - FLEXI BHARAT SOOKSHMA UDYAM SURAKSHA"/>
    <n v="1392"/>
    <n v="11.494252873563218"/>
    <n v="160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770"/>
    <s v="215600/11/2024/37"/>
    <n v="0"/>
    <s v="LUMAX INDUSTRIES LTD"/>
    <d v="2023-05-15T00:00:00"/>
    <d v="2024-05-14T00:00:00"/>
    <s v="FIR-PRD-013"/>
    <s v="ORIENTAL INSURANCE - FLEXI BHARAT SOOKSHMA UDYAM SURAKSHA"/>
    <n v="9928"/>
    <n v="11.502820306204674"/>
    <n v="1142"/>
    <s v="Delhi"/>
    <n v="436782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771"/>
    <s v="212203/31/2024/337"/>
    <n v="0"/>
    <s v="UNDER SECRETARY (ADMIN -IV)"/>
    <d v="2023-05-03T00:00:00"/>
    <d v="2024-05-02T00:00:00"/>
    <s v="MOT-PRD-012"/>
    <s v="PRIVATE CAR-(3 Years)"/>
    <n v="18665"/>
    <n v="7.1309938387356011"/>
    <n v="1331"/>
    <s v="Delhi"/>
    <s v="Contra"/>
    <s v="Contra"/>
    <m/>
    <s v="NA"/>
    <s v="NA"/>
    <x v="40"/>
    <n v="1074"/>
    <s v="Rushi"/>
    <m/>
    <m/>
    <m/>
    <s v="Contra"/>
    <m/>
  </r>
  <r>
    <x v="1"/>
    <m/>
    <n v="212203"/>
    <s v="CBO 13 N-34 C.PLACE"/>
    <s v="OIC/23-24/772"/>
    <s v="212203/31/2024/313"/>
    <n v="0"/>
    <s v="THE DIRECTOR ANERT"/>
    <d v="2023-05-11T00:00:00"/>
    <d v="2024-05-10T00:00:00"/>
    <s v="MOT-PRD-015"/>
    <s v="STANDALONE OWN DAMAGE(OD)-PRIVATE CAR"/>
    <n v="8033"/>
    <n v="15.000622432466077"/>
    <n v="1205"/>
    <s v="Delhi"/>
    <n v="439467"/>
    <s v="0"/>
    <m/>
    <s v="NA"/>
    <s v="NA"/>
    <x v="40"/>
    <n v="1074"/>
    <s v="Rushi"/>
    <m/>
    <m/>
    <m/>
    <s v="Updation done in saiba"/>
    <m/>
  </r>
  <r>
    <x v="1"/>
    <m/>
    <n v="163900"/>
    <s v="DO 5 PUNE"/>
    <s v="OIC/23-24/773"/>
    <s v="163900/48/2024/433"/>
    <n v="0"/>
    <s v="M/S INDERDEEP CONSTRUCTION CO."/>
    <d v="2023-05-02T00:00:00"/>
    <d v="2024-05-01T00:00:00"/>
    <s v="MIST-PRD-060"/>
    <s v="EMPLOYERS LIABILITY"/>
    <n v="44975"/>
    <n v="12.500277932184547"/>
    <n v="5622"/>
    <s v="Mumbai"/>
    <n v="438139"/>
    <s v="0"/>
    <m/>
    <s v="Susmeet Kaur"/>
    <s v="Rahul Singh"/>
    <x v="43"/>
    <n v="1156"/>
    <s v="Rushi"/>
    <m/>
    <m/>
    <m/>
    <s v="Updation done in saiba"/>
    <m/>
  </r>
  <r>
    <x v="1"/>
    <m/>
    <n v="215600"/>
    <s v="DO 4 NEW DELHI"/>
    <s v="OIC/23-24/774"/>
    <s v="215600/44/2024/11"/>
    <n v="0"/>
    <s v=" LUMAX CORNAGILA TECHNOLOGIES LTD."/>
    <d v="2023-04-01T00:00:00"/>
    <d v="2024-03-31T00:00:00"/>
    <s v="ENG-PRD-006"/>
    <s v="ELECTRONIC EQUIPMENT INSURANCE"/>
    <n v="298"/>
    <n v="11.74496644295302"/>
    <n v="35"/>
    <s v="Delhi"/>
    <n v="430981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775"/>
    <s v="215600/44/2024/16"/>
    <n v="0"/>
    <s v="LUMAX MANNOH ALLIED TECHNOLOGIES LIMITED"/>
    <d v="2023-04-01T00:00:00"/>
    <d v="2024-03-31T00:00:00"/>
    <s v="ENG-PRD-006"/>
    <s v="ELECTRONIC EQUIPMENT INSURANCE"/>
    <n v="540"/>
    <n v="11.666666666666666"/>
    <n v="63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776"/>
    <s v="212203/31/2024/300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6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777"/>
    <s v="212203/31/2024/276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57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778"/>
    <s v="510000/48/2023/1566"/>
    <n v="2"/>
    <s v="DENTSU COMMUNICATIONS INDIA PRIVATE LIMITED"/>
    <d v="2023-02-07T00:00:00"/>
    <d v="2023-12-31T00:00:00"/>
    <s v="MIST-PRD-890"/>
    <s v="GROUP MEDICLAIM -TAILORMADE-RISK FLOATER"/>
    <n v="6625"/>
    <n v="5"/>
    <n v="331.25"/>
    <s v="Delhi"/>
    <n v="430605"/>
    <s v="NE"/>
    <m/>
    <s v="Amit Pandey"/>
    <s v="Niladri Mangal Choudhury"/>
    <x v="41"/>
    <n v="2822"/>
    <s v="Rushi"/>
    <m/>
    <m/>
    <m/>
    <s v="NE"/>
    <m/>
  </r>
  <r>
    <x v="1"/>
    <m/>
    <n v="215600"/>
    <s v="DO 4 NEW DELHI"/>
    <s v="OIC/23-24/779"/>
    <s v="215600/11/2024/50"/>
    <n v="0"/>
    <s v="M/S MAHAVIR UDYOG"/>
    <d v="2023-04-01T00:00:00"/>
    <d v="2024-03-31T00:00:00"/>
    <s v="FIR-PRD-013"/>
    <s v="ORIENTAL INSURANCE - FLEXI BHARAT SOOKSHMA UDYAM SURAKSHA"/>
    <n v="63248"/>
    <n v="11.500758917278016"/>
    <n v="7274"/>
    <s v="Delhi"/>
    <n v="436819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411700"/>
    <s v="DO 7 CHENNAI"/>
    <s v="OIC/23-24/780"/>
    <s v="411700/48/2023/2106"/>
    <n v="8"/>
    <s v="FINANCIAL SOFTWARE &amp; SYSTEMS (P) LTD."/>
    <d v="2022-10-01T00:00:00"/>
    <d v="2023-09-30T00:00:00"/>
    <s v="MIST-PRD-001"/>
    <s v="GPA - NAMED"/>
    <n v="7880"/>
    <n v="7.5"/>
    <n v="591"/>
    <s v="Chennai"/>
    <n v="407984"/>
    <s v="E5"/>
    <m/>
    <s v="Meenakshi Menon"/>
    <s v="Sudha.S"/>
    <x v="61"/>
    <n v="1069"/>
    <s v="Rushi"/>
    <m/>
    <m/>
    <m/>
    <s v="Updation done in saiba"/>
    <m/>
  </r>
  <r>
    <x v="1"/>
    <m/>
    <n v="124600"/>
    <s v="MCDO 1"/>
    <s v="OIC/23-24/781"/>
    <s v="124600/48/2024/639"/>
    <n v="0"/>
    <s v="VISHAY SEMICONDUCTOR INDIA PRIVATE LIMITED"/>
    <d v="2023-05-17T00:00:00"/>
    <d v="2024-03-31T00:00:00"/>
    <s v="MIST-PRD-001"/>
    <s v="GPA - NAMED"/>
    <n v="45545"/>
    <n v="7.5046657152266993"/>
    <n v="3418"/>
    <s v="Mumbai"/>
    <s v="NE"/>
    <s v="NE"/>
    <m/>
    <s v="Amarjeet Sahu"/>
    <s v="Shahaji Dhage"/>
    <x v="55"/>
    <s v="Invoice not raise, 0 commission"/>
    <s v="Rushi"/>
    <m/>
    <m/>
    <m/>
    <s v="Bill ID not Generated"/>
    <m/>
  </r>
  <r>
    <x v="1"/>
    <m/>
    <n v="215600"/>
    <s v="DO 4 NEW DELHI"/>
    <s v="OIC/23-24/782"/>
    <s v="215600/48/2024/380"/>
    <n v="0"/>
    <s v="LUMAX AUTO TECHNOLOGIES LIMITED"/>
    <d v="2023-04-01T00:00:00"/>
    <d v="2024-03-31T00:00:00"/>
    <s v="MIST-PRD-052"/>
    <s v="MONEY INSURANCE"/>
    <n v="270"/>
    <n v="12.592592592592592"/>
    <n v="34"/>
    <s v="Delhi"/>
    <n v="429010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783"/>
    <s v="212203/31/2024/268"/>
    <n v="0"/>
    <s v="THE DIRECTOR, ANERT"/>
    <d v="2023-05-05T00:00:00"/>
    <d v="2024-05-04T00:00:00"/>
    <s v="MOT-PRD-015"/>
    <s v="STANDALONE OWN DAMAGE(OD)-PRIVATE CAR"/>
    <n v="13792"/>
    <n v="15.001450116009282"/>
    <n v="2069"/>
    <s v="Delhi"/>
    <n v="439449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784"/>
    <s v="212203/31/2024/273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54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785"/>
    <s v="510000/48/2024/51"/>
    <n v="1"/>
    <s v="LADY BAMFORD CHARITABLE TRUST"/>
    <d v="2023-04-18T00:00:00"/>
    <d v="2024-03-17T00:00:00"/>
    <s v="MIST-PRD-890"/>
    <s v="GROUP MEDICLAIM -TAILORMADE-RISK FLOATER"/>
    <n v="28244"/>
    <n v="7.5000000000000009"/>
    <n v="2118.3000000000002"/>
    <s v="Delhi"/>
    <n v="428430"/>
    <s v="NE"/>
    <m/>
    <s v="Sarfuddin Ansari"/>
    <s v="Gagan Sharma"/>
    <x v="41"/>
    <n v="2822"/>
    <s v="Rushi"/>
    <m/>
    <m/>
    <m/>
    <s v="NE"/>
    <m/>
  </r>
  <r>
    <x v="1"/>
    <m/>
    <n v="233503"/>
    <s v="CBO I PATIALA"/>
    <s v="OIC/23-24/786"/>
    <s v="233503/43/2023/4"/>
    <n v="1"/>
    <s v="PATIALA AVIATION CLUB"/>
    <d v="2023-02-04T00:00:00"/>
    <d v="2024-02-03T00:00:00"/>
    <s v="AVI-PRD-037"/>
    <s v="HULL ALL RISK"/>
    <n v="111563"/>
    <n v="7.9999641458189537"/>
    <n v="8925"/>
    <s v="Delhi"/>
    <n v="420627"/>
    <s v="M2"/>
    <m/>
    <s v="Vineet Khattar"/>
    <s v="Varun Malik"/>
    <x v="73"/>
    <n v="1109"/>
    <s v="Rushi"/>
    <m/>
    <m/>
    <m/>
    <s v="Updation done in saiba"/>
    <m/>
  </r>
  <r>
    <x v="1"/>
    <m/>
    <n v="510000"/>
    <s v="CBRO DELHI"/>
    <s v="OIC/23-24/787"/>
    <s v="510000/48/2023/1456"/>
    <n v="6"/>
    <s v="M/S R.SYSTEMS INTERNATIONAL LTD."/>
    <d v="2023-02-07T00:00:00"/>
    <d v="2024-01-26T00:00:00"/>
    <s v="MIST-PRD-050"/>
    <s v="OFFICE UMBRELLA"/>
    <n v="228"/>
    <n v="12.574561403508774"/>
    <n v="28.67"/>
    <s v="Delhi"/>
    <n v="423534"/>
    <s v="E1"/>
    <m/>
    <s v="Sumit Gupta"/>
    <s v="Sahil Wadhwa"/>
    <x v="41"/>
    <n v="2822"/>
    <s v="Rushi"/>
    <m/>
    <m/>
    <s v="Brokerage % need to update"/>
    <s v="Modification required"/>
    <m/>
  </r>
  <r>
    <x v="1"/>
    <m/>
    <n v="212203"/>
    <s v="CBO 13 N-34 C.PLACE"/>
    <s v="OIC/23-24/788"/>
    <s v="212203/31/2024/297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3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789"/>
    <s v="212203/31/2024/281"/>
    <n v="0"/>
    <s v="MINISTRY OF LABOUR &amp; EMPLOYMENT"/>
    <d v="2023-05-06T00:00:00"/>
    <d v="2024-05-05T00:00:00"/>
    <s v="MOT-PRD-015"/>
    <s v="STANDALONE OWN DAMAGE(OD)-PRIVATE CAR"/>
    <n v="8111"/>
    <n v="14.991986191591666"/>
    <n v="1216"/>
    <s v="Delhi"/>
    <n v="439462"/>
    <s v="0"/>
    <m/>
    <s v="NA"/>
    <s v="NA"/>
    <x v="40"/>
    <n v="1074"/>
    <s v="Rushi"/>
    <m/>
    <m/>
    <m/>
    <s v="Updation done in saiba"/>
    <m/>
  </r>
  <r>
    <x v="1"/>
    <m/>
    <n v="233503"/>
    <s v="CBO I PATIALA"/>
    <s v="OIC/23-24/790"/>
    <s v="233503/43/2023/3"/>
    <n v="1"/>
    <s v="PATIALA AVIATION CLUB"/>
    <d v="2023-02-04T00:00:00"/>
    <d v="2024-02-03T00:00:00"/>
    <s v="AVI-PRD-037"/>
    <s v="HULL ALL RISK"/>
    <n v="111563"/>
    <n v="7.9999641458189537"/>
    <n v="8925"/>
    <s v="Delhi"/>
    <n v="420630"/>
    <s v="M2"/>
    <m/>
    <s v="Vineet Khattar"/>
    <s v="Varun Malik"/>
    <x v="73"/>
    <n v="1109"/>
    <s v="Rushi"/>
    <m/>
    <m/>
    <m/>
    <s v="Updation done in saiba"/>
    <m/>
  </r>
  <r>
    <x v="1"/>
    <m/>
    <n v="510000"/>
    <s v="CBRO DELHI"/>
    <s v="OIC/23-24/791"/>
    <s v="510000/48/2023/1565"/>
    <n v="2"/>
    <s v="TAPROOT DENTSU INDIA COMMUNICATION PRIVATE LIMITED"/>
    <d v="2023-02-07T00:00:00"/>
    <d v="2023-12-31T00:00:00"/>
    <s v="MIST-PRD-890"/>
    <s v="GROUP MEDICLAIM -TAILORMADE-RISK FLOATER"/>
    <n v="9913"/>
    <n v="5"/>
    <n v="495.65"/>
    <s v="Delhi"/>
    <n v="430636"/>
    <s v="NE"/>
    <m/>
    <s v="Amit Pandey"/>
    <s v="Niladri Mangal Choudhury"/>
    <x v="41"/>
    <n v="2822"/>
    <s v="Rushi"/>
    <m/>
    <m/>
    <m/>
    <s v="NE"/>
    <m/>
  </r>
  <r>
    <x v="1"/>
    <m/>
    <n v="272200"/>
    <s v="DO 3 NEW DELHI"/>
    <s v="OIC/23-24/792"/>
    <s v="272200/31/2024/226"/>
    <n v="0"/>
    <s v="SUHAS ANAND SHETTY"/>
    <d v="2023-05-25T00:00:00"/>
    <d v="2024-05-24T00:00:00"/>
    <s v="MOT-PRD-016"/>
    <s v="STANDALONE OWN DAMAGE(OD)-TWO WHEELER"/>
    <n v="449"/>
    <n v="17.371937639198219"/>
    <n v="78"/>
    <s v="Delhi"/>
    <s v="NE"/>
    <s v="NE"/>
    <m/>
    <s v="Suspense"/>
    <s v="Suspense"/>
    <x v="45"/>
    <n v="1088"/>
    <s v="Rushi"/>
    <m/>
    <m/>
    <m/>
    <s v="NE"/>
    <m/>
  </r>
  <r>
    <x v="1"/>
    <m/>
    <n v="222104"/>
    <s v="CBO 1 KANPUR"/>
    <s v="OIC/23-24/793"/>
    <s v="222104/48/2023/1358"/>
    <n v="3"/>
    <s v="CONSCIENT SPORTS LLP"/>
    <d v="2023-02-28T00:00:00"/>
    <d v="2024-02-27T00:00:00"/>
    <s v="MIST-PRD-001"/>
    <s v="GPA - NAMED"/>
    <n v="2842"/>
    <n v="7.5"/>
    <n v="213.15"/>
    <s v="Delhi"/>
    <s v="NE"/>
    <s v="NE"/>
    <m/>
    <s v="Rakesh Kumar Singh"/>
    <s v="Pranav Das Piyush"/>
    <x v="46"/>
    <n v="1091"/>
    <s v="Rushi"/>
    <m/>
    <m/>
    <m/>
    <s v="NE"/>
    <m/>
  </r>
  <r>
    <x v="1"/>
    <m/>
    <n v="222105"/>
    <s v="KANPUR DEHAT"/>
    <s v="OIC/23-24/794"/>
    <s v="222105/48/2024/384"/>
    <n v="0"/>
    <s v="VIJAYA K BHAVSAR"/>
    <d v="2023-07-01T00:00:00"/>
    <d v="2024-06-30T00:00:00"/>
    <s v="MIST-PRD-943"/>
    <s v="HAPPY FAMILY FLOATER POLICY-2021"/>
    <n v="46552"/>
    <n v="15.000429627083692"/>
    <n v="6983"/>
    <s v="Delhi"/>
    <n v="440108"/>
    <n v="0"/>
    <m/>
    <s v="Suspense"/>
    <s v="Suspense"/>
    <x v="53"/>
    <n v="1092"/>
    <s v="Rushi"/>
    <m/>
    <m/>
    <m/>
    <s v="Updation done in saiba"/>
    <m/>
  </r>
  <r>
    <x v="1"/>
    <m/>
    <n v="510000"/>
    <s v="CBRO DELHI"/>
    <s v="OIC/23-24/795"/>
    <s v="510000/48/2024/204"/>
    <n v="0"/>
    <s v="NXP INDIA PRIVATE LIMITED"/>
    <d v="2023-04-01T00:00:00"/>
    <d v="2024-03-31T00:00:00"/>
    <s v="MIST-PRD-890"/>
    <s v="GROUP MEDICLAIM -TAILORMADE-RISK FLOATER"/>
    <n v="14077165"/>
    <n v="1.9999978688890838"/>
    <n v="281543"/>
    <s v="Delhi"/>
    <n v="427737"/>
    <s v="E1"/>
    <m/>
    <s v="Sonia Schofield"/>
    <s v="Surender Banga"/>
    <x v="41"/>
    <n v="2822"/>
    <s v="Rushi"/>
    <m/>
    <m/>
    <s v="Premium Mismatched"/>
    <s v="Modification required"/>
    <m/>
  </r>
  <r>
    <x v="1"/>
    <m/>
    <n v="215600"/>
    <s v="DO 4 NEW DELHI"/>
    <s v="OIC/23-24/796"/>
    <s v="215600/11/2024/46"/>
    <n v="1"/>
    <s v="LUMAX ANCILLARY LIMITED"/>
    <d v="2023-04-01T00:00:00"/>
    <d v="2024-03-31T00:00:00"/>
    <s v="FIR-PRD-012"/>
    <s v="ORIENTAL INSURANCE - FLEXI BHARAT LAGHU UDYAM SURAKSHA"/>
    <n v="23774"/>
    <n v="11.499957937242366"/>
    <n v="2734"/>
    <s v="Delhi"/>
    <n v="439761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797"/>
    <s v="215600/11/2024/41"/>
    <n v="0"/>
    <s v="M/S LUMAX ANCILLARY LIMITED."/>
    <d v="2023-04-01T00:00:00"/>
    <d v="2024-03-31T00:00:00"/>
    <s v="FIR-PRD-013"/>
    <s v="ORIENTAL INSURANCE - FLEXI BHARAT SOOKSHMA UDYAM SURAKSHA"/>
    <n v="4774"/>
    <n v="16.506074570590698"/>
    <n v="788"/>
    <s v="Delhi"/>
    <n v="429677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510000"/>
    <s v="CBRO DELHI"/>
    <s v="OIC/23-24/798"/>
    <s v="510000/48/2023/676"/>
    <n v="15"/>
    <s v="JCB INDIA LIMITED"/>
    <d v="2022-06-01T00:00:00"/>
    <d v="2023-05-31T00:00:00"/>
    <s v="MIST-PRD-890"/>
    <s v="GROUP MEDICLAIM -TAILORMADE-RISK FLOATER"/>
    <n v="761"/>
    <n v="0"/>
    <n v="0"/>
    <s v="Pune"/>
    <n v="402797"/>
    <s v="E4"/>
    <m/>
    <s v="Atul Chordiya"/>
    <s v="Amit Rokade"/>
    <x v="41"/>
    <n v="2822"/>
    <s v="Rushi"/>
    <m/>
    <m/>
    <m/>
    <s v="Updation done in saiba"/>
    <m/>
  </r>
  <r>
    <x v="1"/>
    <m/>
    <n v="212203"/>
    <s v="CBO 13 N-34 C.PLACE"/>
    <s v="OIC/23-24/799"/>
    <s v="212203/31/2024/493"/>
    <n v="0"/>
    <s v="LESSEE: MINISTRY OF HOME AFFAIRS"/>
    <d v="2023-06-01T00:00:00"/>
    <d v="2024-05-31T00:00:00"/>
    <s v="MOT-PRD-001"/>
    <s v="PRIVATE CAR"/>
    <n v="8214"/>
    <n v="11.297784270757244"/>
    <n v="928"/>
    <s v="Delhi"/>
    <s v="NE"/>
    <s v="NE"/>
    <m/>
    <s v="Saurabh Dwivedi"/>
    <s v="Mohit Mendiratta"/>
    <x v="40"/>
    <n v="1074"/>
    <s v="Rushi"/>
    <m/>
    <m/>
    <m/>
    <s v="NE"/>
    <m/>
  </r>
  <r>
    <x v="1"/>
    <m/>
    <n v="431500"/>
    <s v="DO IV HYDERABAD"/>
    <s v="OIC/23-24/800"/>
    <s v="431500/31/2024/438"/>
    <n v="0"/>
    <s v="AGI GREENPAC LIMITED"/>
    <d v="2023-05-20T00:00:00"/>
    <d v="2024-05-19T00:00:00"/>
    <s v="MOT-PRD-015"/>
    <s v="STANDALONE OWN DAMAGE(OD)-PRIVATE CAR"/>
    <n v="5998"/>
    <n v="15.005001667222409"/>
    <n v="900"/>
    <s v="Hyderabad"/>
    <n v="433195"/>
    <n v="0"/>
    <m/>
    <s v="Rani Sudhakar Ranipeta"/>
    <s v="Mukesh Srivastav"/>
    <x v="54"/>
    <n v="1103"/>
    <s v="Rushi"/>
    <m/>
    <m/>
    <m/>
    <s v="Updation done in saiba"/>
    <m/>
  </r>
  <r>
    <x v="1"/>
    <m/>
    <n v="272200"/>
    <s v="DO 3 NEW DELHI"/>
    <s v="OIC/23-24/801"/>
    <s v="272200/31/2024/245"/>
    <n v="0"/>
    <s v="JCB INDIA LTD"/>
    <d v="2023-05-22T00:00:00"/>
    <d v="2024-05-21T00:00:00"/>
    <s v="MOT-PRD-006"/>
    <s v="MISCELANEOUS CLASS D VEHICLES"/>
    <n v="12981"/>
    <n v="6.5480317386950153"/>
    <n v="850"/>
    <s v="Delhi"/>
    <s v="NE"/>
    <s v="NE"/>
    <m/>
    <s v="Tejinder Pal Singh"/>
    <s v="Pushpinder Kaur"/>
    <x v="45"/>
    <n v="1088"/>
    <s v="Rushi"/>
    <m/>
    <m/>
    <m/>
    <s v="NE"/>
    <m/>
  </r>
  <r>
    <x v="1"/>
    <m/>
    <n v="222105"/>
    <s v="KANPUR DEHAT"/>
    <s v="OIC/23-24/802"/>
    <s v="222105/48/2024/349"/>
    <n v="0"/>
    <s v="MR. SANJAY JAIN"/>
    <d v="2023-06-01T00:00:00"/>
    <d v="2024-05-31T00:00:00"/>
    <s v="MIST-PRD-943"/>
    <s v="HAPPY FAMILY FLOATER POLICY-2021"/>
    <n v="46894"/>
    <n v="14.999786753102743"/>
    <n v="7034"/>
    <s v="Delhi"/>
    <n v="436041"/>
    <s v="0"/>
    <m/>
    <s v="Kushal Bhatia"/>
    <s v="Navneet Arora"/>
    <x v="53"/>
    <n v="1092"/>
    <s v="Rushi"/>
    <m/>
    <m/>
    <m/>
    <s v="Updation done in saiba"/>
    <m/>
  </r>
  <r>
    <x v="1"/>
    <m/>
    <n v="231202"/>
    <s v="BO PANCHKULA "/>
    <s v="OIC/23-24/803"/>
    <s v="231202/48/2024/196"/>
    <n v="0"/>
    <s v="M/S JAI MATA PLYWOOD"/>
    <d v="2023-05-17T00:00:00"/>
    <d v="2024-05-16T00:00:00"/>
    <s v="MIST-PRD-751"/>
    <s v="BURGLARY"/>
    <n v="4065"/>
    <n v="16.506765067650676"/>
    <n v="671"/>
    <s v="Delhi"/>
    <n v="445095"/>
    <n v="0"/>
    <m/>
    <s v="Suspense"/>
    <s v="Suspense"/>
    <x v="51"/>
    <n v="1073"/>
    <s v="Rushi"/>
    <m/>
    <m/>
    <m/>
    <s v="Updation done in saiba"/>
    <m/>
  </r>
  <r>
    <x v="1"/>
    <m/>
    <n v="414890"/>
    <s v="BC  SINGAPERUMAL KOIL"/>
    <s v="OIC/23-24/804"/>
    <s v="414890/31/2024/245"/>
    <n v="0"/>
    <s v="M/s.OBO BETTERMANN INDIA PVT LTD"/>
    <d v="2023-05-13T00:00:00"/>
    <d v="2024-05-12T00:00:00"/>
    <s v="MOT-PRD-001"/>
    <s v="PRIVATE CAR"/>
    <n v="4499"/>
    <n v="4.8010669037563902"/>
    <n v="216"/>
    <s v="Chennai"/>
    <n v="431034"/>
    <s v="0"/>
    <m/>
    <s v="Raghunathan S"/>
    <s v="Vinoth Kumar E"/>
    <x v="56"/>
    <n v="1071"/>
    <s v="Rushi"/>
    <m/>
    <m/>
    <m/>
    <s v="Updation done in saiba"/>
    <m/>
  </r>
  <r>
    <x v="1"/>
    <m/>
    <n v="421300"/>
    <s v="DO 3 BANGALORE"/>
    <s v="OIC/23-24/805"/>
    <s v="421300/48/2023/1353"/>
    <n v="3"/>
    <s v="CREATIVE SYNERGIES CONSULTING INDIA PVT LTD"/>
    <d v="2022-11-25T00:00:00"/>
    <d v="2023-11-24T00:00:00"/>
    <s v="MIST-PRD-890"/>
    <s v="GROUP MEDICLAIM -TAILORMADE-RISK FLOATER"/>
    <n v="41421"/>
    <n v="4"/>
    <n v="1656.84"/>
    <s v="Bangalore"/>
    <n v="430778"/>
    <s v="E4"/>
    <m/>
    <s v="Jaya Chitra.M"/>
    <s v="Aiyappa Parivaranayaka Mahadeva"/>
    <x v="42"/>
    <n v="1052"/>
    <s v="Rushi"/>
    <m/>
    <m/>
    <m/>
    <s v="Updation done in saiba"/>
    <m/>
  </r>
  <r>
    <x v="1"/>
    <m/>
    <n v="510000"/>
    <s v="CBRO DELHI"/>
    <s v="OIC/23-24/806"/>
    <s v="510000/11/2024/59"/>
    <n v="0"/>
    <s v="M/S MOHAN CLOTHING CO.PVT.LTD"/>
    <d v="2023-04-29T00:00:00"/>
    <d v="2024-04-28T00:00:00"/>
    <s v="FIR-PRD-009"/>
    <s v="ORIENTAL BHARAT LAGHU UDYAM SURAKSHA POLICY"/>
    <n v="234360"/>
    <n v="8.9486260454002391"/>
    <n v="20972"/>
    <s v="Delhi"/>
    <n v="431164"/>
    <s v="0"/>
    <m/>
    <s v="Sudhir Soni"/>
    <s v="Hemant Kumar Gupta"/>
    <x v="41"/>
    <n v="2822"/>
    <s v="Rushi"/>
    <m/>
    <m/>
    <s v="Premium Mismatched"/>
    <s v="Modification required"/>
    <m/>
  </r>
  <r>
    <x v="1"/>
    <m/>
    <n v="510000"/>
    <s v="CBRO DELHI"/>
    <s v="OIC/23-24/807"/>
    <s v="510000/48/2023/678"/>
    <n v="5"/>
    <s v="JCB POWER PRODUCTS INDIA PVT. LTD."/>
    <d v="2022-06-01T00:00:00"/>
    <d v="2023-05-31T00:00:00"/>
    <s v="MIST-PRD-890"/>
    <s v="GROUP MEDICLAIM -TAILORMADE-RISK FLOATER"/>
    <n v="3801"/>
    <n v="0"/>
    <n v="0"/>
    <s v="Delhi"/>
    <n v="387274"/>
    <s v="NE"/>
    <m/>
    <s v="Sonia Schofield"/>
    <s v="Vikas Saxena"/>
    <x v="41"/>
    <n v="2822"/>
    <s v="Rushi"/>
    <m/>
    <m/>
    <m/>
    <s v="NE"/>
    <m/>
  </r>
  <r>
    <x v="1"/>
    <m/>
    <n v="411700"/>
    <s v="DO 7 CHENNAI"/>
    <s v="OIC/23-24/808"/>
    <s v="411700/48/2023/2422"/>
    <n v="1"/>
    <s v="FINANCIAL SOFTWARE &amp; SYSTEMS (P) LTD."/>
    <d v="2022-10-01T00:00:00"/>
    <d v="2023-09-30T00:00:00"/>
    <s v="MIST-PRD-890"/>
    <s v="GROUP MEDICLAIM -TAILORMADE-RISK FLOATER"/>
    <n v="-9036"/>
    <n v="1"/>
    <n v="-90.36"/>
    <s v="Chennai"/>
    <n v="408017"/>
    <s v="E1"/>
    <m/>
    <s v="Meenakshi Menon"/>
    <s v="Sudha.S"/>
    <x v="61"/>
    <n v="1069"/>
    <s v="Rushi"/>
    <m/>
    <m/>
    <m/>
    <s v="Updation done in saiba"/>
    <m/>
  </r>
  <r>
    <x v="1"/>
    <m/>
    <n v="233600"/>
    <s v="DO RAJPURA"/>
    <s v="OIC/23-24/809"/>
    <s v="233600/48/2023/1976"/>
    <n v="8"/>
    <s v="HUDL INDIA PRIVATE LIMITED"/>
    <d v="2023-02-25T00:00:00"/>
    <d v="2024-02-24T00:00:00"/>
    <s v="MIST-PRD-010"/>
    <s v="GROUP MEDICLAIM -TAILORMADE"/>
    <n v="-43298"/>
    <n v="7.4991916485749917"/>
    <n v="-3247"/>
    <s v="Mumbai"/>
    <n v="421681"/>
    <s v="NE"/>
    <m/>
    <s v="Ashita Lotia"/>
    <s v="Manpreet Kaur Gill"/>
    <x v="59"/>
    <n v="1112"/>
    <s v="Rushi"/>
    <m/>
    <m/>
    <m/>
    <s v="NE"/>
    <m/>
  </r>
  <r>
    <x v="1"/>
    <m/>
    <n v="212203"/>
    <s v="CBO 13 N-34 C.PLACE"/>
    <s v="OIC/23-24/810"/>
    <s v="212203/31/2024/475"/>
    <n v="0"/>
    <s v="M/S.ENERGY EFFICIENCY SERVICES LIMITED"/>
    <d v="2023-05-30T00:00:00"/>
    <d v="2024-05-29T00:00:00"/>
    <s v="MOT-PRD-001"/>
    <s v="PRIVATE CAR"/>
    <n v="9410"/>
    <n v="12.30605738575983"/>
    <n v="1158"/>
    <s v="Delhi"/>
    <n v="439309"/>
    <s v="0"/>
    <m/>
    <s v="NA"/>
    <s v="NA"/>
    <x v="40"/>
    <n v="1074"/>
    <s v="Rushi"/>
    <m/>
    <m/>
    <m/>
    <s v="Updation done in saiba"/>
    <m/>
  </r>
  <r>
    <x v="1"/>
    <m/>
    <n v="215600"/>
    <s v="DO 4 NEW DELHI"/>
    <s v="OIC/23-24/811"/>
    <s v="215600/48/2024/477"/>
    <n v="0"/>
    <s v="M/S LUMAX MANNOH ALLIED TECHNOLOGIES LTD."/>
    <d v="2023-04-01T00:00:00"/>
    <d v="2024-03-31T00:00:00"/>
    <s v="MIST-PRD-751"/>
    <s v="BURGLARY"/>
    <n v="15500"/>
    <n v="12.496774193548386"/>
    <n v="1937"/>
    <s v="Delhi"/>
    <n v="429074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812"/>
    <s v="215600/48/2024/436"/>
    <n v="0"/>
    <s v="LUMAX CORNAGLIA AUTO TECHNOLOGIES PVT.LTD."/>
    <d v="2023-04-01T00:00:00"/>
    <d v="2024-03-31T00:00:00"/>
    <s v="MIST-PRD-751"/>
    <s v="BURGLARY"/>
    <n v="750"/>
    <n v="16.533333333333335"/>
    <n v="124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813"/>
    <s v="212203/31/2024/442"/>
    <n v="0"/>
    <s v="SOUTH DELHI MUNICIPAL CORPORATION"/>
    <d v="2023-05-24T00:00:00"/>
    <d v="2024-05-23T00:00:00"/>
    <s v="MOT-PRD-001"/>
    <s v="PRIVATE CAR"/>
    <n v="8608"/>
    <n v="12.058550185873607"/>
    <n v="1038"/>
    <s v="Delhi"/>
    <s v="NE"/>
    <s v="NE"/>
    <m/>
    <s v="Suspense"/>
    <s v="Suspense"/>
    <x v="40"/>
    <n v="1074"/>
    <s v="Rushi"/>
    <m/>
    <m/>
    <m/>
    <s v="NE"/>
    <m/>
  </r>
  <r>
    <x v="1"/>
    <m/>
    <n v="212203"/>
    <s v="CBO 13 N-34 C.PLACE"/>
    <s v="OIC/23-24/814"/>
    <s v="212203/31/2024/447"/>
    <n v="0"/>
    <s v="SOUTH DELHI MUNICIPAL CORPORATION"/>
    <d v="2023-05-24T00:00:00"/>
    <d v="2024-05-23T00:00:00"/>
    <s v="MOT-PRD-001"/>
    <s v="PRIVATE CAR"/>
    <n v="8608"/>
    <n v="12.058550185873607"/>
    <n v="1038"/>
    <s v="Delhi"/>
    <s v="NE"/>
    <s v="NE"/>
    <m/>
    <s v="Suspense"/>
    <s v="Suspense"/>
    <x v="40"/>
    <n v="1074"/>
    <s v="Rushi"/>
    <m/>
    <m/>
    <m/>
    <s v="NE"/>
    <m/>
  </r>
  <r>
    <x v="1"/>
    <m/>
    <n v="212203"/>
    <s v="CBO 13 N-34 C.PLACE"/>
    <s v="OIC/23-24/815"/>
    <s v="212203/31/2024/318"/>
    <n v="0"/>
    <s v="POWER GRID CORPORATION OF NDIA LTD"/>
    <d v="2023-05-03T00:00:00"/>
    <d v="2024-05-02T00:00:00"/>
    <s v="MOT-PRD-012"/>
    <s v="PRIVATE CAR-(3 Years)"/>
    <n v="18665"/>
    <n v="7.1309938387356011"/>
    <n v="1331"/>
    <s v="Delhi"/>
    <n v="439433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816"/>
    <s v="510000/48/2023/1564"/>
    <n v="2"/>
    <s v="PERFECT RELATIONS PRIVATE LIMITED"/>
    <d v="2023-02-07T00:00:00"/>
    <d v="2023-12-31T00:00:00"/>
    <s v="MIST-PRD-890"/>
    <s v="GROUP MEDICLAIM -TAILORMADE-RISK FLOATER"/>
    <n v="-3550"/>
    <n v="5"/>
    <n v="-177.5"/>
    <s v="Delhi"/>
    <n v="430681"/>
    <s v="NE"/>
    <m/>
    <s v="Amit Pandey"/>
    <s v="Niladri Mangal Choudhury"/>
    <x v="41"/>
    <n v="2822"/>
    <s v="Rushi"/>
    <m/>
    <m/>
    <m/>
    <s v="NE"/>
    <m/>
  </r>
  <r>
    <x v="1"/>
    <m/>
    <n v="215600"/>
    <s v="DO 4 NEW DELHI"/>
    <s v="OIC/23-24/817"/>
    <s v="215600/48/2024/484"/>
    <n v="0"/>
    <s v="LUMAX CORNAGLIA AUTO TECHNOLOGIES PVT. LTD."/>
    <d v="2023-04-01T00:00:00"/>
    <d v="2024-03-31T00:00:00"/>
    <s v="MIST-PRD-052"/>
    <s v="MONEY INSURANCE"/>
    <n v="170"/>
    <n v="12.352941176470589"/>
    <n v="21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510000"/>
    <s v="CBRO DELHI"/>
    <s v="OIC/23-24/818"/>
    <s v="510000/48/2023/716"/>
    <n v="11"/>
    <s v="JCB INDIA LIMITED"/>
    <d v="2022-06-01T00:00:00"/>
    <d v="2023-05-31T00:00:00"/>
    <s v="MIST-PRD-001"/>
    <s v="GPA - NAMED"/>
    <n v="46"/>
    <n v="6.5217391304347823"/>
    <n v="3"/>
    <s v="Delhi"/>
    <n v="387264"/>
    <s v="NE"/>
    <m/>
    <s v="Atul Chordiya"/>
    <s v="Amit Rokade"/>
    <x v="41"/>
    <n v="2822"/>
    <s v="Rushi"/>
    <m/>
    <m/>
    <m/>
    <s v="NE"/>
    <m/>
  </r>
  <r>
    <x v="1"/>
    <m/>
    <n v="510000"/>
    <s v="CBRO DELHI"/>
    <s v="OIC/23-24/819"/>
    <s v="510000/48/2023/834"/>
    <n v="5"/>
    <s v="LADY BAMFORD CHARITABLE TRUST"/>
    <d v="2022-08-18T00:00:00"/>
    <d v="2023-08-17T00:00:00"/>
    <s v="MIST-PRD-001"/>
    <s v="GPA - NAMED"/>
    <n v="505"/>
    <n v="7.5247524752475252"/>
    <n v="38"/>
    <s v="Delhi"/>
    <n v="398381"/>
    <s v="NE"/>
    <m/>
    <s v="Sonia Schofield"/>
    <s v="Vikas Saxena"/>
    <x v="41"/>
    <n v="2822"/>
    <s v="Rushi"/>
    <m/>
    <m/>
    <m/>
    <s v="NE"/>
    <m/>
  </r>
  <r>
    <x v="1"/>
    <m/>
    <n v="411700"/>
    <s v="DO 7 CHENNAI"/>
    <s v="OIC/23-24/820"/>
    <s v="411700/48/2023/2061"/>
    <n v="6"/>
    <s v="SOLUS SECURITY SYSTEMS PRIVATE LIMITED"/>
    <d v="2022-10-13T00:00:00"/>
    <d v="2023-10-12T00:00:00"/>
    <s v="MIST-PRD-001"/>
    <s v="GPA - NAMED"/>
    <n v="-134"/>
    <n v="7.4626865671641784"/>
    <n v="-10"/>
    <s v="Chennai"/>
    <n v="406235"/>
    <s v="E5"/>
    <m/>
    <s v="Meenakshi Menon"/>
    <s v="Sudha.S"/>
    <x v="61"/>
    <n v="1069"/>
    <s v="Rushi"/>
    <m/>
    <m/>
    <m/>
    <s v="Updation done in saiba"/>
    <m/>
  </r>
  <r>
    <x v="1"/>
    <m/>
    <n v="510000"/>
    <s v="CBRO DELHI"/>
    <s v="OIC/23-24/821"/>
    <s v="510000/48/2024/229"/>
    <n v="0"/>
    <s v="NXP INDIA PRIVATE LIMITED"/>
    <d v="2023-04-01T00:00:00"/>
    <d v="2024-03-31T00:00:00"/>
    <s v="MIST-PRD-890"/>
    <s v="GROUP MEDICLAIM -TAILORMADE-RISK FLOATER"/>
    <n v="4223000"/>
    <n v="2"/>
    <n v="84460"/>
    <s v="Delhi"/>
    <n v="431822"/>
    <s v="0"/>
    <m/>
    <s v="Sonia Schofield"/>
    <s v="Surender Banga"/>
    <x v="41"/>
    <n v="2822"/>
    <s v="Rushi"/>
    <m/>
    <m/>
    <s v="Premium Mismatched"/>
    <s v="Modification required"/>
    <m/>
  </r>
  <r>
    <x v="1"/>
    <m/>
    <n v="215600"/>
    <s v="DO 4 NEW DELHI"/>
    <s v="OIC/23-24/822"/>
    <s v="215600/11/2024/52"/>
    <n v="0"/>
    <s v="LUMAX MANNOH ALLIED TECHNOLOGIES LIMITED"/>
    <d v="2023-04-01T00:00:00"/>
    <d v="2024-03-31T00:00:00"/>
    <s v="FIR-PRD-012"/>
    <s v="ORIENTAL INSURANCE - FLEXI BHARAT LAGHU UDYAM SURAKSHA"/>
    <n v="50380"/>
    <n v="11.498610559745931"/>
    <n v="5793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823"/>
    <s v="215600/48/2024/387"/>
    <n v="0"/>
    <s v="LUMAX INDUSTRIES LTD"/>
    <d v="2023-05-15T00:00:00"/>
    <d v="2024-05-14T00:00:00"/>
    <s v="MIST-PRD-751"/>
    <s v="BURGLARY"/>
    <n v="425"/>
    <n v="12.470588235294118"/>
    <n v="53"/>
    <s v="Delhi"/>
    <n v="436785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824"/>
    <s v="215600/11/2024/32"/>
    <n v="0"/>
    <s v="LUMAX AUTO TECHNOLOGIES LIMITED"/>
    <d v="2023-04-01T00:00:00"/>
    <d v="2024-03-31T00:00:00"/>
    <s v="FIR-PRD-006"/>
    <s v="STANDARD FIRE -- New Tariff"/>
    <n v="980152"/>
    <n v="11.499951028003819"/>
    <n v="112717"/>
    <s v="Delhi"/>
    <n v="429002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825"/>
    <s v="212203/31/2024/470"/>
    <n v="0"/>
    <s v="THE DIRECTOR ANERT"/>
    <d v="2023-05-30T00:00:00"/>
    <d v="2024-05-29T00:00:00"/>
    <s v="MOT-PRD-015"/>
    <s v="STANDALONE OWN DAMAGE(OD)-PRIVATE CAR"/>
    <n v="8033"/>
    <n v="15.000622432466077"/>
    <n v="1205"/>
    <s v="Delhi"/>
    <n v="439480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826"/>
    <s v="212203/31/2024/477"/>
    <n v="0"/>
    <s v="JHARKHAND BIJLI VITRAN NIGAM LTD"/>
    <d v="2023-05-30T00:00:00"/>
    <d v="2024-05-29T00:00:00"/>
    <s v="MOT-PRD-001"/>
    <s v="PRIVATE CAR"/>
    <n v="9231"/>
    <n v="12.25219369515762"/>
    <n v="1131"/>
    <s v="Delhi"/>
    <n v="439310"/>
    <s v="0"/>
    <m/>
    <s v="NA"/>
    <s v="NA"/>
    <x v="40"/>
    <n v="1074"/>
    <s v="Rushi"/>
    <m/>
    <m/>
    <m/>
    <s v="Updation done in saiba"/>
    <m/>
  </r>
  <r>
    <x v="1"/>
    <m/>
    <n v="272200"/>
    <s v="DO 3 NEW DELHI"/>
    <s v="OIC/23-24/827"/>
    <s v="272200/31/2024/261"/>
    <n v="0"/>
    <s v="JCB INDIA LTD"/>
    <d v="2023-05-25T00:00:00"/>
    <d v="2024-05-24T00:00:00"/>
    <s v="MOT-PRD-006"/>
    <s v="MISCELANEOUS CLASS D VEHICLES"/>
    <n v="12981"/>
    <n v="6.5480317386950153"/>
    <n v="850"/>
    <s v="Delhi"/>
    <s v="NE"/>
    <s v="NE"/>
    <m/>
    <s v="Tejinder Pal Singh"/>
    <s v="Pushpinder Kaur"/>
    <x v="45"/>
    <n v="1088"/>
    <s v="Rushi"/>
    <m/>
    <m/>
    <m/>
    <s v="NE"/>
    <m/>
  </r>
  <r>
    <x v="1"/>
    <m/>
    <n v="510000"/>
    <s v="CBRO DELHI"/>
    <s v="OIC/23-24/828"/>
    <s v="510000/48/2023/1580"/>
    <n v="1"/>
    <s v="DENTSU ADVERTISING AND MEDIA SERVICES INDIA PRIVATE LIMITED"/>
    <d v="2023-02-07T00:00:00"/>
    <d v="2023-12-31T00:00:00"/>
    <s v="MIST-PRD-001"/>
    <s v="GPA - NAMED"/>
    <n v="1266"/>
    <n v="7.5039494470774093"/>
    <n v="95"/>
    <s v="Delhi"/>
    <n v="429605"/>
    <s v="NE"/>
    <m/>
    <s v="Amit Pandey"/>
    <s v="Niladri Mangal Choudhury"/>
    <x v="41"/>
    <n v="2822"/>
    <s v="Rushi"/>
    <m/>
    <m/>
    <m/>
    <s v="NE"/>
    <m/>
  </r>
  <r>
    <x v="1"/>
    <m/>
    <n v="215600"/>
    <s v="DO 4 NEW DELHI"/>
    <s v="OIC/23-24/829"/>
    <s v="215600/48/2024/409"/>
    <n v="0"/>
    <s v="M/S LUMAX ANCILLARY LIMITED."/>
    <d v="2023-04-01T00:00:00"/>
    <d v="2024-03-31T00:00:00"/>
    <s v="MIST-PRD-751"/>
    <s v="BURGLARY"/>
    <n v="1100"/>
    <n v="12.454545454545455"/>
    <n v="137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431500"/>
    <s v="DO IV HYDERABAD"/>
    <s v="OIC/23-24/830"/>
    <s v="431500/31/2024/294"/>
    <n v="0"/>
    <s v="LOHIYA VEG OILS PRIVATE LIMITED"/>
    <d v="2023-05-09T00:00:00"/>
    <d v="2024-05-08T00:00:00"/>
    <s v="MOT-PRD-001"/>
    <s v="PRIVATE CAR"/>
    <n v="7520"/>
    <n v="8.5638297872340416"/>
    <n v="644"/>
    <s v="Hyderabad"/>
    <n v="430591"/>
    <s v="0"/>
    <m/>
    <s v="Rani Sudhakar Ranipeta"/>
    <s v="Mukesh Srivastav"/>
    <x v="54"/>
    <n v="1103"/>
    <s v="Rushi"/>
    <m/>
    <m/>
    <m/>
    <s v="Updation done in saiba"/>
    <m/>
  </r>
  <r>
    <x v="1"/>
    <m/>
    <n v="411700"/>
    <s v="DO 7 CHENNAI"/>
    <s v="OIC/23-24/831"/>
    <s v="411700/48/2023/2049"/>
    <n v="6"/>
    <s v="SOLUS SECURITY SYSTEMS PRIVATE LIMITED"/>
    <d v="2022-10-03T00:00:00"/>
    <d v="2023-10-02T00:00:00"/>
    <s v="MIST-PRD-890"/>
    <s v="GROUP MEDICLAIM -TAILORMADE-RISK FLOATER"/>
    <n v="-9612"/>
    <n v="7.4999999999999991"/>
    <n v="-720.9"/>
    <s v="Chennai"/>
    <n v="406242"/>
    <s v="E4"/>
    <m/>
    <s v="Meenakshi Menon"/>
    <s v="Sudha.S"/>
    <x v="61"/>
    <n v="1069"/>
    <s v="Rushi"/>
    <m/>
    <m/>
    <m/>
    <s v="Updation done in saiba"/>
    <m/>
  </r>
  <r>
    <x v="1"/>
    <m/>
    <n v="510000"/>
    <s v="CBRO DELHI"/>
    <s v="OIC/23-24/832"/>
    <s v="510000/48/2023/1241"/>
    <n v="2"/>
    <s v="CENTRE FOR HEALTH RESEARCH AND INNOVATION"/>
    <d v="2022-11-18T00:00:00"/>
    <d v="2023-11-17T00:00:00"/>
    <s v="MIST-PRD-890"/>
    <s v="GROUP MEDICLAIM -TAILORMADE-RISK FLOATER"/>
    <n v="41915"/>
    <n v="7.5000119289037341"/>
    <n v="3143.63"/>
    <s v="Delhi"/>
    <n v="417943"/>
    <s v="NE"/>
    <m/>
    <s v="Amit Pandey"/>
    <s v="Ishika Bhatti"/>
    <x v="41"/>
    <n v="2822"/>
    <s v="Rushi"/>
    <m/>
    <m/>
    <m/>
    <s v="NE"/>
    <m/>
  </r>
  <r>
    <x v="1"/>
    <m/>
    <n v="510000"/>
    <s v="CBRO DELHI"/>
    <s v="OIC/23-24/833"/>
    <s v="510000/48/2023/1607"/>
    <n v="1"/>
    <s v="DENTSU COMMUNICATIONS INDIA PRIVATE LIMITED"/>
    <d v="2023-02-03T00:00:00"/>
    <d v="2024-02-02T00:00:00"/>
    <s v="MIST-PRD-890"/>
    <s v="GROUP MEDICLAIM -TAILORMADE-RISK FLOATER"/>
    <n v="126958"/>
    <n v="0.5"/>
    <n v="634.79"/>
    <s v="Delhi"/>
    <s v="NE"/>
    <s v="NE"/>
    <m/>
    <s v="Amit Pandey"/>
    <s v="Niladri Mangal Choudhury"/>
    <x v="41"/>
    <n v="2822"/>
    <s v="Rushi"/>
    <m/>
    <m/>
    <m/>
    <s v="NE"/>
    <m/>
  </r>
  <r>
    <x v="1"/>
    <m/>
    <n v="215600"/>
    <s v="DO 4 NEW DELHI"/>
    <s v="OIC/23-24/834"/>
    <s v="215600/44/2024/12"/>
    <n v="0"/>
    <s v="LUMAX AUTO TECHNOLOGIES LIMITED"/>
    <d v="2023-04-01T00:00:00"/>
    <d v="2024-03-31T00:00:00"/>
    <s v="ENG-PRD-006"/>
    <s v="ELECTRONIC EQUIPMENT INSURANCE"/>
    <n v="806"/>
    <n v="11.786600496277915"/>
    <n v="95"/>
    <s v="Delhi"/>
    <n v="430652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835"/>
    <s v="212203/31/2024/338"/>
    <n v="0"/>
    <s v="UNDER SECRETARY (ADMIN -IV)"/>
    <d v="2023-05-03T00:00:00"/>
    <d v="2024-05-02T00:00:00"/>
    <s v="MOT-PRD-012"/>
    <s v="PRIVATE CAR-(3 Years)"/>
    <n v="18665"/>
    <n v="7.1309938387356011"/>
    <n v="1331"/>
    <s v="Delhi"/>
    <s v="Contra"/>
    <s v="Contra"/>
    <m/>
    <s v="NA"/>
    <s v="NA"/>
    <x v="40"/>
    <n v="1074"/>
    <s v="Rushi"/>
    <m/>
    <m/>
    <m/>
    <s v="Contra"/>
    <m/>
  </r>
  <r>
    <x v="1"/>
    <m/>
    <n v="212203"/>
    <s v="CBO 13 N-34 C.PLACE"/>
    <s v="OIC/23-24/836"/>
    <s v="212203/31/2024/296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2"/>
    <s v="0"/>
    <m/>
    <s v="NA"/>
    <s v="NA"/>
    <x v="40"/>
    <n v="1074"/>
    <s v="Rushi"/>
    <m/>
    <m/>
    <m/>
    <s v="Updation done in saiba"/>
    <m/>
  </r>
  <r>
    <x v="1"/>
    <m/>
    <n v="421300"/>
    <s v="DO 3 BANGALORE"/>
    <s v="OIC/23-24/837"/>
    <s v="421300/48/2023/1192"/>
    <n v="2"/>
    <s v="FALCON PROPERTY MANAGEMENT SERVICES"/>
    <d v="2022-12-05T00:00:00"/>
    <d v="2023-12-04T00:00:00"/>
    <s v="MIST-PRD-001"/>
    <s v="GPA - NAMED"/>
    <n v="920"/>
    <n v="7.5000000000000009"/>
    <n v="69"/>
    <s v="Bangalore"/>
    <n v="425304"/>
    <s v="NE"/>
    <m/>
    <s v="Jaya Chitra.M"/>
    <s v="Raghuram P S"/>
    <x v="42"/>
    <n v="1052"/>
    <s v="Rushi"/>
    <m/>
    <m/>
    <m/>
    <s v="NE"/>
    <m/>
  </r>
  <r>
    <x v="1"/>
    <m/>
    <n v="421200"/>
    <s v="DO2 BANGALORE"/>
    <s v="OIC/23-24/838"/>
    <s v="421200/48/2023/4442"/>
    <n v="5"/>
    <s v="Mobileum (India) Private Limited"/>
    <d v="2023-01-10T00:00:00"/>
    <d v="2024-01-09T00:00:00"/>
    <s v="MIST-PRD-890"/>
    <s v="GROUP MEDICLAIM -TAILORMADE-RISK FLOATER"/>
    <n v="-411945"/>
    <n v="7.500030343856583"/>
    <n v="-30896"/>
    <s v="Mumbai"/>
    <s v="NE"/>
    <s v="NE"/>
    <m/>
    <s v="Saraswati Shetty"/>
    <s v="Pravin Arun Jagtap"/>
    <x v="74"/>
    <n v="1213"/>
    <s v="Rushi"/>
    <m/>
    <m/>
    <m/>
    <s v="NE"/>
    <m/>
  </r>
  <r>
    <x v="1"/>
    <m/>
    <n v="215600"/>
    <s v="DO 4 NEW DELHI"/>
    <s v="OIC/23-24/839"/>
    <s v="215600/48/2024/476"/>
    <n v="0"/>
    <s v="M/S LUMAX MANNOH ALLIED TECHNOLOGIES LTD."/>
    <d v="2023-04-01T00:00:00"/>
    <d v="2024-03-31T00:00:00"/>
    <s v="MIST-PRD-052"/>
    <s v="MONEY INSURANCE"/>
    <n v="340"/>
    <n v="12.647058823529411"/>
    <n v="43"/>
    <s v="Delhi"/>
    <n v="429081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22105"/>
    <s v="KANPUR DEHAT"/>
    <s v="OIC/23-24/840"/>
    <s v="222105/48/2024/233"/>
    <n v="0"/>
    <s v="ANKUR JINDAL"/>
    <d v="2023-05-31T00:00:00"/>
    <d v="2024-05-30T00:00:00"/>
    <s v="MIST-PRD-943"/>
    <s v="HAPPY FAMILY FLOATER POLICY-2021"/>
    <n v="100468"/>
    <n v="14.999800931639927"/>
    <n v="15070"/>
    <s v="Delhi"/>
    <n v="432287"/>
    <s v="0"/>
    <m/>
    <s v="Kushal Bhatia"/>
    <s v="Navneet Arora"/>
    <x v="53"/>
    <n v="1092"/>
    <s v="Rushi"/>
    <m/>
    <m/>
    <m/>
    <s v="Updation done in saiba"/>
    <m/>
  </r>
  <r>
    <x v="1"/>
    <m/>
    <n v="222104"/>
    <s v="CBO 1 KANPUR"/>
    <s v="OIC/23-24/841"/>
    <s v="222104/48/2023/942"/>
    <n v="4"/>
    <s v="CONSCIENT INFRASTRUCTURE PRIVATE LIMITED"/>
    <d v="2022-11-04T00:00:00"/>
    <d v="2023-11-03T00:00:00"/>
    <s v="MIST-PRD-001"/>
    <s v="GPA - NAMED"/>
    <n v="1824"/>
    <n v="7.5000000000000009"/>
    <n v="136.80000000000001"/>
    <s v="Delhi"/>
    <n v="407873"/>
    <s v="E2"/>
    <m/>
    <s v="Rakesh Kumar Singh"/>
    <s v="Pranav Das Piyush"/>
    <x v="46"/>
    <n v="1091"/>
    <s v="Rushi"/>
    <m/>
    <m/>
    <m/>
    <s v="Updation done in saiba"/>
    <m/>
  </r>
  <r>
    <x v="1"/>
    <m/>
    <n v="163900"/>
    <s v="DO 5 PUNE"/>
    <s v="OIC/23-24/842"/>
    <s v="163900/48/2024/570"/>
    <n v="0"/>
    <s v="M/S INDERDEEP CONSTRUCTION CO."/>
    <d v="2023-05-18T00:00:00"/>
    <d v="2023-11-17T00:00:00"/>
    <s v="MIST-PRD-060"/>
    <s v="EMPLOYERS LIABILITY"/>
    <n v="32434"/>
    <n v="12.499229203921811"/>
    <n v="4054"/>
    <s v="Mumbai"/>
    <n v="438273"/>
    <s v="0"/>
    <m/>
    <s v="Susmeet Kaur"/>
    <s v="Rahul Singh"/>
    <x v="43"/>
    <n v="1156"/>
    <s v="Rushi"/>
    <m/>
    <m/>
    <m/>
    <s v="Updation done in saiba"/>
    <m/>
  </r>
  <r>
    <x v="1"/>
    <m/>
    <n v="271700"/>
    <s v="NEW DELHI DO 14"/>
    <s v="OIC/23-24/843"/>
    <s v="271700/48/2024/359"/>
    <n v="0"/>
    <s v="BIGFOOT RETAIL SOLUTIONS PVT. LTD."/>
    <d v="2023-05-17T00:00:00"/>
    <d v="2023-08-16T00:00:00"/>
    <s v="MIST-PRD-751"/>
    <s v="BURGLARY"/>
    <n v="777"/>
    <n v="16.473616473616474"/>
    <n v="128"/>
    <s v="Delhi"/>
    <s v="NE"/>
    <s v="NE"/>
    <m/>
    <s v="Kamal Singh Kathait"/>
    <s v="Manish Gaur"/>
    <x v="75"/>
    <n v="1083"/>
    <s v="Rushi"/>
    <m/>
    <m/>
    <m/>
    <s v="NE"/>
    <m/>
  </r>
  <r>
    <x v="1"/>
    <m/>
    <n v="510000"/>
    <s v="CBRO DELHI"/>
    <s v="OIC/23-24/844"/>
    <s v="510000/48/2023/1614"/>
    <n v="1"/>
    <s v="SOKRATI TECHNOLOGIES PRIVATE LIMITED"/>
    <d v="2023-02-03T00:00:00"/>
    <d v="2024-02-02T00:00:00"/>
    <s v="MIST-PRD-890"/>
    <s v="GROUP MEDICLAIM -TAILORMADE-RISK FLOATER"/>
    <n v="39964"/>
    <n v="0.5"/>
    <n v="199.82"/>
    <s v="Delhi"/>
    <n v="434505"/>
    <s v="NE"/>
    <m/>
    <s v="Amit Pandey"/>
    <s v="Niladri Mangal Choudhury"/>
    <x v="41"/>
    <n v="2822"/>
    <s v="Rushi"/>
    <m/>
    <m/>
    <m/>
    <s v="NE"/>
    <m/>
  </r>
  <r>
    <x v="1"/>
    <m/>
    <n v="212203"/>
    <s v="CBO 13 N-34 C.PLACE"/>
    <s v="OIC/23-24/845"/>
    <s v="212203/31/2024/339"/>
    <n v="0"/>
    <s v="UNDER SECRETARY (ADMIN -IV)"/>
    <d v="2023-05-03T00:00:00"/>
    <d v="2024-05-02T00:00:00"/>
    <s v="MOT-PRD-012"/>
    <s v="PRIVATE CAR-(3 Years)"/>
    <n v="18665"/>
    <n v="7.1309938387356011"/>
    <n v="1331"/>
    <s v="Delhi"/>
    <s v="Contra"/>
    <s v="Contra"/>
    <m/>
    <s v="NA"/>
    <s v="NA"/>
    <x v="40"/>
    <n v="1074"/>
    <s v="Rushi"/>
    <m/>
    <m/>
    <m/>
    <s v="Contra"/>
    <m/>
  </r>
  <r>
    <x v="1"/>
    <m/>
    <n v="212203"/>
    <s v="CBO 13 N-34 C.PLACE"/>
    <s v="OIC/23-24/846"/>
    <s v="212203/31/2024/343"/>
    <n v="0"/>
    <s v="UNDER SECRETARY (ADMIN -IV)"/>
    <d v="2023-05-03T00:00:00"/>
    <d v="2024-05-02T00:00:00"/>
    <s v="MOT-PRD-012"/>
    <s v="PRIVATE CAR-(3 Years)"/>
    <n v="13789"/>
    <n v="8.1586772064689246"/>
    <n v="1125"/>
    <s v="Delhi"/>
    <s v="Contra"/>
    <s v="Contra"/>
    <m/>
    <s v="NA"/>
    <s v="NA"/>
    <x v="40"/>
    <n v="1074"/>
    <s v="Rushi"/>
    <m/>
    <m/>
    <m/>
    <s v="Contra"/>
    <m/>
  </r>
  <r>
    <x v="1"/>
    <m/>
    <n v="212203"/>
    <s v="CBO 13 N-34 C.PLACE"/>
    <s v="OIC/23-24/847"/>
    <s v="212203/31/2024/344"/>
    <n v="0"/>
    <s v="UNDER SECRETARY (ADMIN -IV)"/>
    <d v="2023-05-03T00:00:00"/>
    <d v="2024-05-02T00:00:00"/>
    <s v="MOT-PRD-012"/>
    <s v="PRIVATE CAR-(3 Years)"/>
    <n v="13789"/>
    <n v="8.1586772064689246"/>
    <n v="1125"/>
    <s v="Delhi"/>
    <s v="Contra"/>
    <s v="Contra"/>
    <m/>
    <s v="NA"/>
    <s v="NA"/>
    <x v="40"/>
    <n v="1074"/>
    <s v="Rushi"/>
    <m/>
    <m/>
    <m/>
    <s v="Contra"/>
    <m/>
  </r>
  <r>
    <x v="1"/>
    <m/>
    <n v="212203"/>
    <s v="CBO 13 N-34 C.PLACE"/>
    <s v="OIC/23-24/848"/>
    <s v="212203/31/2024/312"/>
    <n v="0"/>
    <s v="THE DIRECTOR ANERT"/>
    <d v="2023-05-11T00:00:00"/>
    <d v="2024-05-10T00:00:00"/>
    <s v="MOT-PRD-015"/>
    <s v="STANDALONE OWN DAMAGE(OD)-PRIVATE CAR"/>
    <n v="8033"/>
    <n v="15.000622432466077"/>
    <n v="1205"/>
    <s v="Delhi"/>
    <n v="439466"/>
    <s v="0"/>
    <m/>
    <s v="NA"/>
    <s v="NA"/>
    <x v="40"/>
    <n v="1074"/>
    <s v="Rushi"/>
    <m/>
    <m/>
    <m/>
    <s v="Updation done in saiba"/>
    <m/>
  </r>
  <r>
    <x v="1"/>
    <m/>
    <n v="111900"/>
    <s v="MCDO 14"/>
    <s v="OIC/23-24/849"/>
    <s v="111900/22/2023/566"/>
    <n v="3"/>
    <s v="Sadhav Shipping Limited,Vessel: Adwita, YOB:2001, GRT: 1706"/>
    <d v="2022-11-03T00:00:00"/>
    <d v="2023-11-02T00:00:00"/>
    <s v="MH-PRD-004"/>
    <s v="OCEAN-GOING VESSELS"/>
    <n v="94813"/>
    <n v="11.499477919694558"/>
    <n v="10903"/>
    <s v="Mumbai"/>
    <n v="416853"/>
    <s v="E1"/>
    <m/>
    <s v="Ajit Singh Dhingra"/>
    <s v="Bansi Suvarna"/>
    <x v="67"/>
    <n v="1136"/>
    <s v="Rushi"/>
    <m/>
    <m/>
    <m/>
    <s v="Updation done in saiba"/>
    <m/>
  </r>
  <r>
    <x v="1"/>
    <m/>
    <n v="233600"/>
    <s v="DO RAJPURA"/>
    <s v="OIC/23-24/850"/>
    <s v="233600/48/2023/1976"/>
    <n v="9"/>
    <s v="HUDL INDIA PRIVATE LIMITED"/>
    <d v="2023-02-25T00:00:00"/>
    <d v="2024-02-24T00:00:00"/>
    <s v="MIST-PRD-010"/>
    <s v="GROUP MEDICLAIM -TAILORMADE"/>
    <n v="29916"/>
    <n v="7.5010028078620135"/>
    <n v="2244"/>
    <s v="Mumbai"/>
    <n v="421681"/>
    <s v="E6"/>
    <m/>
    <s v="Ashita Lotia"/>
    <s v="Manpreet Kaur Gill"/>
    <x v="59"/>
    <n v="1112"/>
    <s v="Rushi"/>
    <m/>
    <m/>
    <s v="Premium Mismatched"/>
    <s v="Modification required"/>
    <m/>
  </r>
  <r>
    <x v="1"/>
    <m/>
    <n v="215600"/>
    <s v="DO 4 NEW DELHI"/>
    <s v="OIC/23-24/851"/>
    <s v="215600/11/2024/66"/>
    <n v="0"/>
    <s v="M/S LUMAX MANNOH ALLIED TECHNOLOGIES LTD."/>
    <d v="2023-04-01T00:00:00"/>
    <d v="2024-03-31T00:00:00"/>
    <s v="FIR-PRD-012"/>
    <s v="ORIENTAL INSURANCE - FLEXI BHARAT LAGHU UDYAM SURAKSHA"/>
    <n v="43818"/>
    <n v="11.499840248299785"/>
    <n v="5039"/>
    <s v="Delhi"/>
    <n v="429077"/>
    <s v="0"/>
    <m/>
    <s v="Rohit Kumar Mendiratta"/>
    <s v="Prince Tayal"/>
    <x v="44"/>
    <s v="Revised statement _not woking"/>
    <s v="Rushi"/>
    <m/>
    <m/>
    <s v="Premium Mismatched"/>
    <s v="Bill ID not Generated"/>
    <m/>
  </r>
  <r>
    <x v="1"/>
    <m/>
    <n v="215600"/>
    <s v="DO 4 NEW DELHI"/>
    <s v="OIC/23-24/852"/>
    <s v="215600/48/2024/438"/>
    <n v="0"/>
    <s v="LUMAX MANNOH ALLIED TECHNOLOGIES LIMITED"/>
    <d v="2023-04-01T00:00:00"/>
    <d v="2024-03-31T00:00:00"/>
    <s v="MIST-PRD-052"/>
    <s v="MONEY INSURANCE"/>
    <n v="170"/>
    <n v="12.352941176470589"/>
    <n v="21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442600"/>
    <s v="DO  THODUPUZHA"/>
    <s v="OIC/23-24/853"/>
    <s v="442600/11/2024/18"/>
    <n v="0"/>
    <s v="MANASH LIFESTYLE PRIVATE LIMITED"/>
    <d v="2023-05-18T00:00:00"/>
    <d v="2024-05-17T00:00:00"/>
    <s v="FIR-PRD-009"/>
    <s v="ORIENTAL BHARAT LAGHU UDYAM SURAKSHA POLICY"/>
    <n v="860805"/>
    <n v="9.2422790295130728"/>
    <n v="79558"/>
    <s v="Mumbai"/>
    <s v="NE"/>
    <s v="NE"/>
    <m/>
    <s v="Suspense"/>
    <s v="Suspense"/>
    <x v="48"/>
    <n v="1072"/>
    <s v="Rushi"/>
    <m/>
    <m/>
    <m/>
    <s v="NE"/>
    <m/>
  </r>
  <r>
    <x v="1"/>
    <m/>
    <n v="272200"/>
    <s v="DO 3 NEW DELHI"/>
    <s v="OIC/23-24/854"/>
    <s v="272200/31/2023/11378"/>
    <n v="1"/>
    <s v="XCELLERS CONSULTING  PVT LTD"/>
    <d v="2023-02-25T00:00:00"/>
    <d v="2024-02-24T00:00:00"/>
    <s v="MOT-PRD-001"/>
    <s v="PRIVATE CAR"/>
    <n v="0"/>
    <s v="-"/>
    <n v="0"/>
    <s v="Delhi"/>
    <s v="Zero premium Zero comission"/>
    <s v="Zero premium Zero comission"/>
    <m/>
    <s v="NA"/>
    <s v="NA"/>
    <x v="45"/>
    <n v="1088"/>
    <s v="Rushi"/>
    <m/>
    <m/>
    <m/>
    <s v="Zero premium Zero comission"/>
    <m/>
  </r>
  <r>
    <x v="1"/>
    <m/>
    <n v="163900"/>
    <s v="DO 5 PUNE"/>
    <s v="OIC/23-24/855"/>
    <s v="163900/48/2024/721"/>
    <n v="0"/>
    <s v="BNCMC A/C EAGLE INFRA INDIA LTD."/>
    <d v="2023-05-28T00:00:00"/>
    <d v="2024-05-27T00:00:00"/>
    <s v="MIST-PRD-060"/>
    <s v="EMPLOYERS LIABILITY"/>
    <n v="115605"/>
    <n v="12.500324380433373"/>
    <n v="14451"/>
    <s v="Mumbai"/>
    <s v="NE"/>
    <s v="NE"/>
    <m/>
    <s v="Susmeet Kaur"/>
    <s v="Rahul Singh"/>
    <x v="43"/>
    <n v="1156"/>
    <s v="Rushi"/>
    <m/>
    <m/>
    <m/>
    <s v="NE"/>
    <m/>
  </r>
  <r>
    <x v="1"/>
    <m/>
    <n v="510000"/>
    <s v="CBRO DELHI"/>
    <s v="OIC/23-24/856"/>
    <s v="510000/48/2023/1581"/>
    <n v="1"/>
    <s v="DENTSU AEGIS NETWORK INDIA PRIVATE LIMITED"/>
    <d v="2023-02-07T00:00:00"/>
    <d v="2023-12-31T00:00:00"/>
    <s v="MIST-PRD-001"/>
    <s v="GPA - NAMED"/>
    <n v="4527"/>
    <n v="7.4884029158383028"/>
    <n v="339"/>
    <s v="Delhi"/>
    <n v="429604"/>
    <s v="NE"/>
    <m/>
    <s v="Amit Pandey"/>
    <s v="Niladri Mangal Choudhury"/>
    <x v="41"/>
    <n v="2822"/>
    <s v="Rushi"/>
    <m/>
    <m/>
    <m/>
    <s v="NE"/>
    <m/>
  </r>
  <r>
    <x v="1"/>
    <m/>
    <n v="212203"/>
    <s v="CBO 13 N-34 C.PLACE"/>
    <s v="OIC/23-24/857"/>
    <s v="212203/31/2024/408"/>
    <n v="0"/>
    <s v="THE DIRECTOR ANERT"/>
    <d v="2023-05-21T00:00:00"/>
    <d v="2024-05-20T00:00:00"/>
    <s v="MOT-PRD-015"/>
    <s v="STANDALONE OWN DAMAGE(OD)-PRIVATE CAR"/>
    <n v="8851"/>
    <n v="14.992656197039882"/>
    <n v="1327"/>
    <s v="Delhi"/>
    <n v="439476"/>
    <s v="0"/>
    <m/>
    <s v="NA"/>
    <s v="NA"/>
    <x v="40"/>
    <n v="1074"/>
    <s v="Rushi"/>
    <m/>
    <m/>
    <m/>
    <s v="Updation done in saiba"/>
    <m/>
  </r>
  <r>
    <x v="1"/>
    <m/>
    <n v="111900"/>
    <s v="MCDO 14"/>
    <s v="OIC/23-24/858"/>
    <s v="111900/44/2018/3"/>
    <n v="12"/>
    <s v="NBCC(India) Ltd And Punj Lloyd Limited"/>
    <d v="2018-01-06T00:00:00"/>
    <d v="2024-02-05T00:00:00"/>
    <s v="ENG-PRD-002"/>
    <s v="CONTRACTORS ALL RISK"/>
    <n v="9354127"/>
    <n v="11.750000828511308"/>
    <n v="1099110"/>
    <s v="Delhi"/>
    <n v="342753"/>
    <s v="E3"/>
    <m/>
    <s v="Vineet Khattar"/>
    <s v="Varun Malik"/>
    <x v="67"/>
    <n v="1136"/>
    <s v="Rushi"/>
    <m/>
    <m/>
    <m/>
    <s v="Updation done in saiba"/>
    <m/>
  </r>
  <r>
    <x v="1"/>
    <m/>
    <n v="215600"/>
    <s v="DO 4 NEW DELHI"/>
    <s v="OIC/23-24/859"/>
    <s v="215600/11/2024/34"/>
    <n v="0"/>
    <s v="LUMAX AUTO TECHNOLOGIES LIMITED"/>
    <d v="2023-04-01T00:00:00"/>
    <d v="2024-03-31T00:00:00"/>
    <s v="FIR-PRD-013"/>
    <s v="ORIENTAL INSURANCE - FLEXI BHARAT SOOKSHMA UDYAM SURAKSHA"/>
    <n v="597"/>
    <n v="11.557788944723619"/>
    <n v="69"/>
    <s v="Delhi"/>
    <n v="429008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860"/>
    <s v="215600/48/2024/379"/>
    <n v="0"/>
    <s v="LUMAX AUTO TECHNOLOGIES LIMITED"/>
    <d v="2023-04-01T00:00:00"/>
    <d v="2024-03-31T00:00:00"/>
    <s v="MIST-PRD-751"/>
    <s v="BURGLARY"/>
    <n v="4850"/>
    <n v="12.515463917525773"/>
    <n v="607"/>
    <s v="Delhi"/>
    <n v="429003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421100"/>
    <s v="CBU Bangalore"/>
    <s v="OIC/23-24/861"/>
    <s v="421100/48/2023/130"/>
    <n v="19"/>
    <s v="INFOSTRETCH CORPORATION INDIA PRIVATE LIMITED"/>
    <d v="2022-05-01T00:00:00"/>
    <d v="2023-04-30T00:00:00"/>
    <s v="MIST-PRD-890"/>
    <s v="GROUP MEDICLAIM -TAILORMADE-RISK FLOATER"/>
    <n v="-14964"/>
    <n v="5.5"/>
    <n v="-823.02"/>
    <s v="Pune"/>
    <n v="399428"/>
    <s v="NE"/>
    <m/>
    <s v="Sheetal Gurav"/>
    <s v="Aatish Gaurav"/>
    <x v="50"/>
    <n v="1047"/>
    <s v="Rushi"/>
    <m/>
    <m/>
    <m/>
    <s v="NE"/>
    <m/>
  </r>
  <r>
    <x v="1"/>
    <m/>
    <n v="111900"/>
    <s v="MCDO 14"/>
    <s v="OIC/23-24/862"/>
    <s v="111900/22/2023/723"/>
    <n v="1"/>
    <s v="M/S. JAYDEEP ASSOCIATES PVT. LTD. VESSEL: M.V.ABHIJEET. YOB: 2008. REG.NO.PNJ-425"/>
    <d v="2023-02-03T00:00:00"/>
    <d v="2024-02-02T00:00:00"/>
    <s v="MH-PRD-003"/>
    <s v="INLAND VESSELS"/>
    <n v="40238"/>
    <n v="11.499080471196383"/>
    <n v="4627"/>
    <s v="Mumbai"/>
    <n v="421665"/>
    <s v="E1"/>
    <m/>
    <s v="Lakshmanan Subramanian Iyer"/>
    <s v="Saikumar G Shirwatkar"/>
    <x v="67"/>
    <n v="1136"/>
    <s v="Rushi"/>
    <m/>
    <m/>
    <m/>
    <s v="Updation done in saiba"/>
    <m/>
  </r>
  <r>
    <x v="1"/>
    <m/>
    <n v="212203"/>
    <s v="CBO 13 N-34 C.PLACE"/>
    <s v="OIC/23-24/863"/>
    <s v="212203/31/2024/315"/>
    <n v="0"/>
    <s v="THE DIRECTOR ANERT"/>
    <d v="2023-05-11T00:00:00"/>
    <d v="2024-05-10T00:00:00"/>
    <s v="MOT-PRD-015"/>
    <s v="STANDALONE OWN DAMAGE(OD)-PRIVATE CAR"/>
    <n v="8033"/>
    <n v="15.000622432466077"/>
    <n v="1205"/>
    <s v="Delhi"/>
    <n v="439469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864"/>
    <s v="510000/48/2023/1458"/>
    <n v="6"/>
    <s v="R SYSTEMS INTERNATIONAL LIMITED"/>
    <d v="2023-02-07T00:00:00"/>
    <d v="2024-01-26T00:00:00"/>
    <s v="MIST-PRD-050"/>
    <s v="OFFICE UMBRELLA"/>
    <n v="1"/>
    <n v="12"/>
    <n v="0.12"/>
    <s v="Delhi"/>
    <n v="423543"/>
    <s v="E1"/>
    <m/>
    <s v="Sumit Gupta"/>
    <s v="Sahil Wadhwa"/>
    <x v="41"/>
    <n v="2822"/>
    <s v="Rushi"/>
    <m/>
    <m/>
    <m/>
    <s v="Updation done in saiba"/>
    <m/>
  </r>
  <r>
    <x v="1"/>
    <m/>
    <n v="272200"/>
    <s v="DO 3 NEW DELHI"/>
    <s v="OIC/23-24/865"/>
    <s v="272200/31/2024/264"/>
    <n v="0"/>
    <s v="GOLDEN AERO LOGISTICS &amp; CONCIERGE SERVICES PVT. LTD"/>
    <d v="2023-05-27T00:00:00"/>
    <d v="2024-05-26T00:00:00"/>
    <s v="MOT-PRD-003"/>
    <s v="GCCV"/>
    <n v="19094"/>
    <n v="4.3940504870639989"/>
    <n v="839"/>
    <s v="Delhi"/>
    <s v="NE"/>
    <s v="NE"/>
    <m/>
    <s v="Saurabh Dwivedi"/>
    <s v="Sekhar Gurung"/>
    <x v="45"/>
    <n v="1088"/>
    <s v="Rushi"/>
    <m/>
    <m/>
    <m/>
    <s v="NE"/>
    <m/>
  </r>
  <r>
    <x v="1"/>
    <m/>
    <n v="272200"/>
    <s v="DO 3 NEW DELHI"/>
    <s v="OIC/23-24/866"/>
    <s v="272200/31/2024/282"/>
    <n v="0"/>
    <s v="JCB INDIA LTD"/>
    <d v="2023-05-29T00:00:00"/>
    <d v="2024-05-28T00:00:00"/>
    <s v="MOT-PRD-006"/>
    <s v="MISCELANEOUS CLASS D VEHICLES"/>
    <n v="12981"/>
    <n v="6.5480317386950153"/>
    <n v="850"/>
    <s v="Delhi"/>
    <s v="NE"/>
    <s v="NE"/>
    <m/>
    <s v="Tejinder Pal Singh"/>
    <s v="Pushpinder Kaur"/>
    <x v="45"/>
    <n v="1088"/>
    <s v="Rushi"/>
    <m/>
    <m/>
    <m/>
    <s v="NE"/>
    <m/>
  </r>
  <r>
    <x v="1"/>
    <m/>
    <n v="510000"/>
    <s v="CBRO DELHI"/>
    <s v="OIC/23-24/867"/>
    <s v="510000/48/2024/185"/>
    <n v="0"/>
    <s v="NUCLEUS SOFTWARE EXPORT LIMITED"/>
    <d v="2023-04-01T00:00:00"/>
    <d v="2024-03-31T00:00:00"/>
    <s v="MIST-PRD-890"/>
    <s v="GROUP MEDICLAIM -TAILORMADE-RISK FLOATER"/>
    <n v="2527660"/>
    <n v="5"/>
    <n v="126383"/>
    <s v="Delhi"/>
    <n v="435891"/>
    <s v="0"/>
    <m/>
    <s v="Abhishek Sharma"/>
    <s v="Ishita Sharma"/>
    <x v="41"/>
    <n v="2822"/>
    <s v="Rushi"/>
    <m/>
    <m/>
    <s v="Brokerage % need to update"/>
    <s v="Modification required"/>
    <m/>
  </r>
  <r>
    <x v="1"/>
    <m/>
    <n v="215600"/>
    <s v="DO 4 NEW DELHI"/>
    <s v="OIC/23-24/868"/>
    <s v="215600/44/2024/7"/>
    <n v="0"/>
    <s v="Lumax Industries Ltd."/>
    <d v="2023-04-01T00:00:00"/>
    <d v="2024-03-31T00:00:00"/>
    <s v="ENG-PRD-006"/>
    <s v="ELECTRONIC EQUIPMENT INSURANCE"/>
    <n v="100"/>
    <n v="11"/>
    <n v="11"/>
    <s v="Delhi"/>
    <n v="430979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869"/>
    <s v="215600/44/2024/14"/>
    <n v="0"/>
    <s v="LUMAX  AUTO TECHNOLOGIES LIMITED"/>
    <d v="2023-04-01T00:00:00"/>
    <d v="2024-03-31T00:00:00"/>
    <s v="ENG-PRD-006"/>
    <s v="ELECTRONIC EQUIPMENT INSURANCE"/>
    <n v="100"/>
    <n v="11"/>
    <n v="11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870"/>
    <s v="212203/31/2024/303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9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871"/>
    <s v="212203/31/2024/317"/>
    <n v="0"/>
    <s v="POWER GRID CORPORATION OF NDIA LTD"/>
    <d v="2023-05-03T00:00:00"/>
    <d v="2024-05-02T00:00:00"/>
    <s v="MOT-PRD-012"/>
    <s v="PRIVATE CAR-(3 Years)"/>
    <n v="18665"/>
    <n v="7.1309938387356011"/>
    <n v="1331"/>
    <s v="Delhi"/>
    <n v="439432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872"/>
    <s v="510000/48/2023/1567"/>
    <n v="2"/>
    <s v="ULTIMEDIA E-SOLUTIONS PRIVATE LIMITED"/>
    <d v="2023-02-07T00:00:00"/>
    <d v="2023-12-31T00:00:00"/>
    <s v="MIST-PRD-890"/>
    <s v="GROUP MEDICLAIM -TAILORMADE-RISK FLOATER"/>
    <n v="14968"/>
    <n v="5"/>
    <n v="748.4"/>
    <s v="Delhi"/>
    <n v="430631"/>
    <s v="NE"/>
    <m/>
    <s v="Amit Pandey"/>
    <s v="Niladri Mangal Choudhury"/>
    <x v="41"/>
    <n v="2822"/>
    <s v="Rushi"/>
    <m/>
    <m/>
    <m/>
    <s v="NE"/>
    <m/>
  </r>
  <r>
    <x v="1"/>
    <m/>
    <n v="421100"/>
    <s v="CBU Bangalore"/>
    <s v="OIC/23-24/873"/>
    <s v="421100/48/2024/144"/>
    <n v="0"/>
    <s v="PRECISION PRECAST SOLUTIONS PRIVATE LIMITED"/>
    <d v="2023-05-01T00:00:00"/>
    <d v="2024-04-30T00:00:00"/>
    <s v="MIST-PRD-001"/>
    <s v="GPA - NAMED"/>
    <n v="13575"/>
    <n v="7.8600368324125229"/>
    <n v="1067"/>
    <s v="Pune"/>
    <n v="431906"/>
    <s v="0"/>
    <m/>
    <s v="Shraddha Verma"/>
    <s v="Sanket Surve"/>
    <x v="50"/>
    <n v="1047"/>
    <s v="Rushi"/>
    <m/>
    <m/>
    <m/>
    <s v="Updation done in saiba"/>
    <m/>
  </r>
  <r>
    <x v="1"/>
    <m/>
    <n v="215600"/>
    <s v="DO 4 NEW DELHI"/>
    <s v="OIC/23-24/874"/>
    <s v="215600/48/2024/386"/>
    <n v="0"/>
    <s v="LUMAX INDUSTRIES LTD"/>
    <d v="2023-05-15T00:00:00"/>
    <d v="2024-05-14T00:00:00"/>
    <s v="MIST-PRD-751"/>
    <s v="BURGLARY"/>
    <n v="750"/>
    <n v="12.533333333333333"/>
    <n v="94"/>
    <s v="Delhi"/>
    <n v="436790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510000"/>
    <s v="CBRO DELHI"/>
    <s v="OIC/23-24/875"/>
    <s v="510000/48/2023/1078"/>
    <n v="5"/>
    <s v="HITACHI METALS INDIA PRIVATE LIMITED"/>
    <d v="2022-10-07T00:00:00"/>
    <d v="2023-10-06T00:00:00"/>
    <s v="MIST-PRD-890"/>
    <s v="GROUP MEDICLAIM -TAILORMADE-RISK FLOATER"/>
    <n v="4688"/>
    <n v="5"/>
    <n v="234.4"/>
    <s v="Delhi"/>
    <n v="412929"/>
    <s v="NE"/>
    <m/>
    <s v="Rajiv Choudhary"/>
    <s v="Amit kumar Sharma"/>
    <x v="41"/>
    <n v="2822"/>
    <s v="Rushi"/>
    <m/>
    <m/>
    <m/>
    <s v="NE"/>
    <m/>
  </r>
  <r>
    <x v="1"/>
    <m/>
    <n v="233503"/>
    <s v="CBO I PATIALA"/>
    <s v="OIC/23-24/876"/>
    <s v="233503/43/2023/5"/>
    <n v="2"/>
    <s v="AERO CLUB OF INDIA (OWNER) and PATIALA AVIATION CLUB (OPERATOR)"/>
    <d v="2023-02-04T00:00:00"/>
    <d v="2024-02-03T00:00:00"/>
    <s v="AVI-PRD-037"/>
    <s v="HULL ALL RISK"/>
    <n v="44185"/>
    <n v="8.0004526422994218"/>
    <n v="3535"/>
    <s v="Delhi"/>
    <n v="420624"/>
    <s v="0"/>
    <m/>
    <s v="Vineet Khattar"/>
    <s v="Varun Malik"/>
    <x v="73"/>
    <n v="1109"/>
    <s v="Rushi"/>
    <m/>
    <m/>
    <m/>
    <s v="Updation done in saiba"/>
    <m/>
  </r>
  <r>
    <x v="1"/>
    <m/>
    <n v="212203"/>
    <s v="CBO 13 N-34 C.PLACE"/>
    <s v="OIC/23-24/877"/>
    <s v="212203/48/2024/323"/>
    <n v="0"/>
    <s v="QRG FOUNDATION"/>
    <d v="2023-04-01T00:00:00"/>
    <d v="2024-03-31T00:00:00"/>
    <s v="MIST-PRD-751"/>
    <s v="BURGLARY"/>
    <n v="55"/>
    <n v="16.363636363636363"/>
    <n v="9"/>
    <s v="Delhi"/>
    <s v="NE"/>
    <s v="NE"/>
    <m/>
    <s v="Suspense"/>
    <s v="Suspense"/>
    <x v="40"/>
    <n v="1074"/>
    <s v="Rushi"/>
    <m/>
    <m/>
    <m/>
    <s v="NE"/>
    <m/>
  </r>
  <r>
    <x v="1"/>
    <m/>
    <n v="215600"/>
    <s v="DO 4 NEW DELHI"/>
    <s v="OIC/23-24/878"/>
    <s v="215600/48/2024/435"/>
    <n v="0"/>
    <s v="M/S MAHAVIR UDYOG"/>
    <d v="2023-04-01T00:00:00"/>
    <d v="2024-03-31T00:00:00"/>
    <s v="MIST-PRD-751"/>
    <s v="BURGLARY"/>
    <n v="300"/>
    <n v="12.666666666666666"/>
    <n v="38"/>
    <s v="Delhi"/>
    <n v="436821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163900"/>
    <s v="DO 5 PUNE"/>
    <s v="OIC/23-24/879"/>
    <s v="163900/48/2024/569"/>
    <n v="0"/>
    <s v="M/S INDERDEEP CONSTRUCTION CO. &amp; NATIONAL HIGHWAYS AUTHORITY OF INDIA"/>
    <d v="2023-05-03T00:00:00"/>
    <d v="2023-11-02T00:00:00"/>
    <s v="MIST-PRD-049"/>
    <s v="SPECIAL CONTINGENCY - POLICY"/>
    <n v="32738"/>
    <n v="12.502290915755392"/>
    <n v="4093"/>
    <s v="Mumbai"/>
    <n v="438272"/>
    <s v="0"/>
    <m/>
    <s v="Susmeet Kaur"/>
    <s v="Rahul Singh"/>
    <x v="43"/>
    <n v="1156"/>
    <s v="Rushi"/>
    <m/>
    <m/>
    <m/>
    <s v="Updation done in saiba"/>
    <m/>
  </r>
  <r>
    <x v="1"/>
    <m/>
    <n v="212203"/>
    <s v="CBO 13 N-34 C.PLACE"/>
    <s v="OIC/23-24/880"/>
    <s v="212203/31/2024/311"/>
    <n v="0"/>
    <s v="THE DIRECTOR ANERT"/>
    <d v="2023-05-11T00:00:00"/>
    <d v="2024-05-10T00:00:00"/>
    <s v="MOT-PRD-015"/>
    <s v="STANDALONE OWN DAMAGE(OD)-PRIVATE CAR"/>
    <n v="8033"/>
    <n v="15.000622432466077"/>
    <n v="1205"/>
    <s v="Delhi"/>
    <n v="439465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881"/>
    <s v="212203/31/2024/316"/>
    <n v="0"/>
    <s v="THE DIRECTOR ANERT"/>
    <d v="2023-05-11T00:00:00"/>
    <d v="2024-05-10T00:00:00"/>
    <s v="MOT-PRD-015"/>
    <s v="STANDALONE OWN DAMAGE(OD)-PRIVATE CAR"/>
    <n v="8033"/>
    <n v="15.000622432466077"/>
    <n v="1205"/>
    <s v="Delhi"/>
    <n v="439470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882"/>
    <s v="212203/31/2024/280"/>
    <n v="0"/>
    <s v="GARDENREACH SHIPBUILDERS &amp; ENGG LTD"/>
    <d v="2023-05-05T00:00:00"/>
    <d v="2024-05-04T00:00:00"/>
    <s v="MOT-PRD-015"/>
    <s v="STANDALONE OWN DAMAGE(OD)-PRIVATE CAR"/>
    <n v="5726"/>
    <n v="15.00174641983933"/>
    <n v="859"/>
    <s v="Delhi"/>
    <n v="439461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883"/>
    <s v="212203/48/2024/321"/>
    <n v="0"/>
    <s v="HAVELLS INDIA LTD"/>
    <d v="2023-04-01T00:00:00"/>
    <d v="2024-03-31T00:00:00"/>
    <s v="MIST-PRD-753"/>
    <s v="BURGLARY FLOATER"/>
    <n v="13429"/>
    <n v="16.501601012733637"/>
    <n v="2216"/>
    <s v="Delhi"/>
    <s v="NE"/>
    <s v="NE"/>
    <m/>
    <s v="Sumit Gupta"/>
    <s v="Saurabh Gupta"/>
    <x v="40"/>
    <n v="1074"/>
    <s v="Rushi"/>
    <m/>
    <m/>
    <m/>
    <s v="NE"/>
    <m/>
  </r>
  <r>
    <x v="1"/>
    <m/>
    <n v="222104"/>
    <s v="CBO 1 KANPUR"/>
    <s v="OIC/23-24/884"/>
    <s v="222104/48/2023/1358"/>
    <n v="1"/>
    <s v="CONSCIENT SPORTS LLP"/>
    <d v="2023-02-28T00:00:00"/>
    <d v="2024-02-27T00:00:00"/>
    <s v="MIST-PRD-001"/>
    <s v="GPA - NAMED"/>
    <n v="904"/>
    <n v="7.5"/>
    <n v="67.8"/>
    <s v="Delhi"/>
    <s v="NE"/>
    <s v="NE"/>
    <m/>
    <s v="Rakesh Kumar Singh"/>
    <s v="Pranav Das Piyush"/>
    <x v="46"/>
    <n v="1091"/>
    <s v="Rushi"/>
    <m/>
    <m/>
    <m/>
    <s v="NE"/>
    <m/>
  </r>
  <r>
    <x v="1"/>
    <m/>
    <n v="272200"/>
    <s v="DO 3 NEW DELHI"/>
    <s v="OIC/23-24/885"/>
    <s v="272200/31/2024/262"/>
    <n v="0"/>
    <s v="GOLDEN AERO LOGISTICS &amp; CONCIERGE SERVICES PVT. LTD"/>
    <d v="2023-05-27T00:00:00"/>
    <d v="2024-05-26T00:00:00"/>
    <s v="MOT-PRD-003"/>
    <s v="GCCV"/>
    <n v="18909"/>
    <n v="4.2889629277063834"/>
    <n v="811"/>
    <s v="Delhi"/>
    <s v="NE"/>
    <s v="NE"/>
    <m/>
    <s v="Saurabh Dwivedi"/>
    <s v="Sekhar Gurung"/>
    <x v="45"/>
    <n v="1088"/>
    <s v="Rushi"/>
    <m/>
    <m/>
    <m/>
    <s v="NE"/>
    <m/>
  </r>
  <r>
    <x v="1"/>
    <m/>
    <n v="212203"/>
    <s v="CBO 13 N-34 C.PLACE"/>
    <s v="OIC/23-24/886"/>
    <s v="212203/31/2024/294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0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887"/>
    <s v="212203/31/2024/320"/>
    <n v="0"/>
    <s v="POWER GRID CORPORATION OF NDIA LTD"/>
    <d v="2023-05-03T00:00:00"/>
    <d v="2024-05-02T00:00:00"/>
    <s v="MOT-PRD-012"/>
    <s v="PRIVATE CAR-(3 Years)"/>
    <n v="18665"/>
    <n v="7.1309938387356011"/>
    <n v="1331"/>
    <s v="Delhi"/>
    <n v="439435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888"/>
    <s v="212203/31/2024/471"/>
    <n v="0"/>
    <s v="THE DIRECTOR ANERT"/>
    <d v="2023-05-30T00:00:00"/>
    <d v="2024-05-29T00:00:00"/>
    <s v="MOT-PRD-015"/>
    <s v="STANDALONE OWN DAMAGE(OD)-PRIVATE CAR"/>
    <n v="8708"/>
    <n v="14.997703261368857"/>
    <n v="1306"/>
    <s v="Delhi"/>
    <n v="439481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889"/>
    <s v="510000/48/2023/92"/>
    <n v="5"/>
    <s v="NUCLEUS SOFTWARE EXPORT LIMITED"/>
    <d v="2022-04-01T00:00:00"/>
    <d v="2023-03-31T00:00:00"/>
    <s v="MIST-PRD-001"/>
    <s v="GPA - NAMED"/>
    <n v="25"/>
    <n v="8"/>
    <n v="2"/>
    <s v="Delhi"/>
    <n v="380694"/>
    <s v="NE"/>
    <m/>
    <s v="Abhishek Sharma"/>
    <s v="Mansimar S Bindra"/>
    <x v="41"/>
    <n v="2822"/>
    <s v="Rushi"/>
    <m/>
    <m/>
    <m/>
    <s v="NE"/>
    <m/>
  </r>
  <r>
    <x v="1"/>
    <m/>
    <n v="421100"/>
    <s v="CBU Bangalore"/>
    <s v="OIC/23-24/890"/>
    <s v="421100/48/2024/186"/>
    <n v="0"/>
    <s v="INFOSTRETCH CORPORATION INDIA PRIVATE LIMITED"/>
    <d v="2023-05-01T00:00:00"/>
    <d v="2024-04-30T00:00:00"/>
    <s v="MIST-PRD-890"/>
    <s v="GROUP MEDICLAIM -TAILORMADE-RISK FLOATER"/>
    <n v="13891892"/>
    <n v="5.0000028793774094"/>
    <n v="694595"/>
    <s v="Pune"/>
    <n v="444212"/>
    <n v="0"/>
    <m/>
    <s v="Suspense"/>
    <s v="Suspense"/>
    <x v="50"/>
    <n v="1047"/>
    <s v="Rushi"/>
    <m/>
    <m/>
    <m/>
    <s v="Updation done in saiba"/>
    <m/>
  </r>
  <r>
    <x v="1"/>
    <m/>
    <n v="272200"/>
    <s v="DO 3 NEW DELHI"/>
    <s v="OIC/23-24/891"/>
    <s v="272200/31/2024/164"/>
    <n v="0"/>
    <s v="MEDANTA INSTITUTE OF EDUCATION &amp; RESEARCH"/>
    <d v="2023-05-05T00:00:00"/>
    <d v="2024-05-04T00:00:00"/>
    <s v="MOT-PRD-006"/>
    <s v="MISCELANEOUS CLASS D VEHICLES"/>
    <n v="128542"/>
    <n v="14.146349053227738"/>
    <n v="18184"/>
    <s v="Ludhiana"/>
    <n v="430179"/>
    <s v="0"/>
    <m/>
    <s v="Prem Parkash"/>
    <s v="HImanshu Arora"/>
    <x v="45"/>
    <n v="1088"/>
    <s v="Rushi"/>
    <m/>
    <m/>
    <m/>
    <s v="Updation done in saiba"/>
    <m/>
  </r>
  <r>
    <x v="1"/>
    <m/>
    <n v="212203"/>
    <s v="CBO 13 N-34 C.PLACE"/>
    <s v="OIC/23-24/892"/>
    <s v="212203/31/2024/425"/>
    <n v="0"/>
    <s v="SOUTH DELHI MUNCIPAL CORPORATION"/>
    <d v="2023-05-22T00:00:00"/>
    <d v="2024-05-21T00:00:00"/>
    <s v="MOT-PRD-001"/>
    <s v="PRIVATE CAR"/>
    <n v="8389"/>
    <n v="11.979973775181785"/>
    <n v="1005"/>
    <s v="Delhi"/>
    <s v="NE"/>
    <s v="NE"/>
    <m/>
    <s v="Suspense"/>
    <s v="Suspense"/>
    <x v="40"/>
    <n v="1074"/>
    <s v="Rushi"/>
    <m/>
    <m/>
    <m/>
    <s v="NE"/>
    <m/>
  </r>
  <r>
    <x v="1"/>
    <m/>
    <n v="212203"/>
    <s v="CBO 13 N-34 C.PLACE"/>
    <s v="OIC/23-24/893"/>
    <s v="212203/31/2024/337"/>
    <n v="1"/>
    <s v="UNDER SECRETARY (ADMIN -IV)"/>
    <d v="2023-05-03T00:00:00"/>
    <d v="2023-05-15T00:00:00"/>
    <s v="MOT-PRD-012"/>
    <s v="PRIVATE CAR-(3 Years)"/>
    <n v="-18665"/>
    <n v="7.1309938387356011"/>
    <n v="-1331"/>
    <s v="Delhi"/>
    <s v="Contra"/>
    <s v="Contra"/>
    <m/>
    <s v="NA"/>
    <s v="NA"/>
    <x v="40"/>
    <n v="1074"/>
    <s v="Rushi"/>
    <m/>
    <m/>
    <m/>
    <s v="Contra"/>
    <m/>
  </r>
  <r>
    <x v="1"/>
    <m/>
    <n v="212203"/>
    <s v="CBO 13 N-34 C.PLACE"/>
    <s v="OIC/23-24/894"/>
    <s v="212203/31/2024/377"/>
    <n v="0"/>
    <s v="ENERGY EFFICIENCY SERVICES LTD"/>
    <d v="2023-05-15T00:00:00"/>
    <d v="2024-05-14T00:00:00"/>
    <s v="MOT-PRD-001"/>
    <s v="PRIVATE CAR"/>
    <n v="9216"/>
    <n v="12.250434027777779"/>
    <n v="1129"/>
    <s v="Delhi"/>
    <n v="439304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895"/>
    <s v="212203/31/2024/342"/>
    <n v="0"/>
    <s v="UNDER SECRETARY (ADMIN -IV)"/>
    <d v="2023-05-03T00:00:00"/>
    <d v="2024-05-02T00:00:00"/>
    <s v="MOT-PRD-012"/>
    <s v="PRIVATE CAR-(3 Years)"/>
    <n v="13789"/>
    <n v="8.1586772064689246"/>
    <n v="1125"/>
    <s v="Delhi"/>
    <s v="Contra"/>
    <s v="Contra"/>
    <m/>
    <s v="NA"/>
    <s v="NA"/>
    <x v="40"/>
    <n v="1074"/>
    <s v="Rushi"/>
    <m/>
    <m/>
    <m/>
    <s v="Contra"/>
    <m/>
  </r>
  <r>
    <x v="1"/>
    <m/>
    <n v="411700"/>
    <s v="DO 7 CHENNAI"/>
    <s v="OIC/23-24/896"/>
    <s v="411700/48/2023/2419"/>
    <n v="8"/>
    <s v="FINANCIAL SOFTWARE &amp; SYSTEMS (P) LTD."/>
    <d v="2022-10-01T00:00:00"/>
    <d v="2023-09-30T00:00:00"/>
    <s v="MIST-PRD-890"/>
    <s v="GROUP MEDICLAIM -TAILORMADE-RISK FLOATER"/>
    <n v="68497"/>
    <n v="1.0000437975385783"/>
    <n v="685"/>
    <s v="Chennai"/>
    <n v="409179"/>
    <s v="E5"/>
    <m/>
    <s v="Meenakshi Menon"/>
    <s v="Sudha.S"/>
    <x v="61"/>
    <n v="1069"/>
    <s v="Rushi"/>
    <m/>
    <m/>
    <m/>
    <s v="Updation done in saiba"/>
    <m/>
  </r>
  <r>
    <x v="1"/>
    <m/>
    <n v="212203"/>
    <s v="CBO 13 N-34 C.PLACE"/>
    <s v="OIC/23-24/897"/>
    <s v="212203/31/2024/504"/>
    <n v="0"/>
    <s v="THE DIRECTOR ANERT"/>
    <d v="2023-06-01T00:00:00"/>
    <d v="2024-05-31T00:00:00"/>
    <s v="MOT-PRD-015"/>
    <s v="STANDALONE OWN DAMAGE(OD)-PRIVATE CAR"/>
    <n v="8033"/>
    <n v="15.000622432466077"/>
    <n v="1205"/>
    <s v="Delhi"/>
    <n v="439492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898"/>
    <s v="212203/48/2024/318"/>
    <n v="0"/>
    <s v="HAVELLS INDIA LTD"/>
    <d v="2023-04-01T00:00:00"/>
    <d v="2024-03-31T00:00:00"/>
    <s v="MIST-PRD-751"/>
    <s v="BURGLARY"/>
    <n v="282"/>
    <n v="16.312056737588655"/>
    <n v="46"/>
    <s v="Delhi"/>
    <s v="NE"/>
    <s v="NE"/>
    <m/>
    <s v="Sumit Gupta"/>
    <s v="Saurabh Gupta"/>
    <x v="40"/>
    <n v="1074"/>
    <s v="Rushi"/>
    <m/>
    <m/>
    <m/>
    <s v="NE"/>
    <m/>
  </r>
  <r>
    <x v="1"/>
    <m/>
    <n v="163900"/>
    <s v="DO 5 PUNE"/>
    <s v="OIC/23-24/899"/>
    <s v="163900/48/2023/2375"/>
    <n v="10"/>
    <s v="AVALARA TECHNOLOGIES PVT. LTD."/>
    <d v="2022-08-24T00:00:00"/>
    <d v="2023-08-23T00:00:00"/>
    <s v="MIST-PRD-890"/>
    <s v="GROUP MEDICLAIM -TAILORMADE-RISK FLOATER"/>
    <n v="-45138"/>
    <n v="7.5"/>
    <n v="-3385.35"/>
    <s v="Pune"/>
    <n v="404476"/>
    <s v="NE"/>
    <m/>
    <s v="Atul Chordiya"/>
    <s v="Sachin Kumar"/>
    <x v="43"/>
    <n v="1156"/>
    <s v="Rushi"/>
    <m/>
    <m/>
    <m/>
    <s v="NE"/>
    <m/>
  </r>
  <r>
    <x v="1"/>
    <m/>
    <n v="272200"/>
    <s v="DO 3 NEW DELHI"/>
    <s v="OIC/23-24/900"/>
    <s v="272200/31/2024/152"/>
    <n v="0"/>
    <s v="JCB INDIA LTD"/>
    <d v="2023-05-03T00:00:00"/>
    <d v="2024-05-02T00:00:00"/>
    <s v="MOT-PRD-006"/>
    <s v="MISCELANEOUS CLASS D VEHICLES"/>
    <n v="16065"/>
    <n v="8.2166199813258629"/>
    <n v="1320"/>
    <s v="Delhi"/>
    <n v="438636"/>
    <s v="0"/>
    <m/>
    <s v="Tejinder Pal Singh"/>
    <s v="Pushpinder Kaur"/>
    <x v="45"/>
    <n v="1088"/>
    <s v="Rushi"/>
    <m/>
    <m/>
    <m/>
    <s v="Updation done in saiba"/>
    <m/>
  </r>
  <r>
    <x v="1"/>
    <m/>
    <n v="212203"/>
    <s v="CBO 13 N-34 C.PLACE"/>
    <s v="OIC/23-24/901"/>
    <s v="212203/31/2024/441"/>
    <n v="0"/>
    <s v="SOUTH DELHI MUNICIPAL CORPORATION"/>
    <d v="2023-05-24T00:00:00"/>
    <d v="2024-05-23T00:00:00"/>
    <s v="MOT-PRD-001"/>
    <s v="PRIVATE CAR"/>
    <n v="8608"/>
    <n v="12.058550185873607"/>
    <n v="1038"/>
    <s v="Delhi"/>
    <s v="NE"/>
    <s v="NE"/>
    <m/>
    <s v="Suspense"/>
    <s v="Suspense"/>
    <x v="40"/>
    <n v="1074"/>
    <s v="Rushi"/>
    <m/>
    <m/>
    <m/>
    <s v="NE"/>
    <m/>
  </r>
  <r>
    <x v="1"/>
    <m/>
    <n v="215600"/>
    <s v="DO 4 NEW DELHI"/>
    <s v="OIC/23-24/902"/>
    <s v="215600/44/2024/6"/>
    <n v="0"/>
    <s v="Lumax Industries Ltd."/>
    <d v="2023-04-01T00:00:00"/>
    <d v="2024-03-31T00:00:00"/>
    <s v="ENG-PRD-006"/>
    <s v="ELECTRONIC EQUIPMENT INSURANCE"/>
    <n v="253"/>
    <n v="11.857707509881424"/>
    <n v="30"/>
    <s v="Delhi"/>
    <n v="430978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903"/>
    <s v="212203/31/2024/472"/>
    <n v="0"/>
    <s v="THE DIRECTOR ANERT"/>
    <d v="2023-05-30T00:00:00"/>
    <d v="2024-05-29T00:00:00"/>
    <s v="MOT-PRD-015"/>
    <s v="STANDALONE OWN DAMAGE(OD)-PRIVATE CAR"/>
    <n v="8033"/>
    <n v="15.000622432466077"/>
    <n v="1205"/>
    <s v="Delhi"/>
    <n v="439482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904"/>
    <s v="212203/31/2024/474"/>
    <n v="0"/>
    <s v="THE DIRECTOR ANERT"/>
    <d v="2023-05-30T00:00:00"/>
    <d v="2024-05-29T00:00:00"/>
    <s v="MOT-PRD-015"/>
    <s v="STANDALONE OWN DAMAGE(OD)-PRIVATE CAR"/>
    <n v="8033"/>
    <n v="15.000622432466077"/>
    <n v="1205"/>
    <s v="Delhi"/>
    <n v="439484"/>
    <s v="0"/>
    <m/>
    <s v="NA"/>
    <s v="NA"/>
    <x v="40"/>
    <n v="1074"/>
    <s v="Rushi"/>
    <m/>
    <m/>
    <m/>
    <s v="Updation done in saiba"/>
    <m/>
  </r>
  <r>
    <x v="1"/>
    <m/>
    <n v="510000"/>
    <s v="CBRO DELHI"/>
    <s v="OIC/23-24/905"/>
    <s v="510000/48/2024/230"/>
    <n v="0"/>
    <s v="NUCLEUS SOFTWARE EXPORT LIMITED"/>
    <d v="2023-04-01T00:00:00"/>
    <d v="2024-03-31T00:00:00"/>
    <s v="MIST-PRD-001"/>
    <s v="GPA - NAMED"/>
    <n v="122430"/>
    <n v="7.5006125949522175"/>
    <n v="9183"/>
    <s v="Delhi"/>
    <n v="435803"/>
    <s v="0"/>
    <m/>
    <s v="Abhishek Sharma"/>
    <s v="Ishita Sharma"/>
    <x v="41"/>
    <n v="2822"/>
    <s v="Rushi"/>
    <m/>
    <m/>
    <m/>
    <s v="Updation done in saiba"/>
    <m/>
  </r>
  <r>
    <x v="1"/>
    <m/>
    <n v="421300"/>
    <s v="DO 3 BANGALORE"/>
    <s v="OIC/23-24/906"/>
    <s v="421300/48/2023/1048"/>
    <n v="5"/>
    <s v="WAFER SPACE SEMICONDUCTOR TECHNOLOGIES PVT. LTD."/>
    <d v="2022-09-08T00:00:00"/>
    <d v="2023-09-07T00:00:00"/>
    <s v="MIST-PRD-890"/>
    <s v="GROUP MEDICLAIM -TAILORMADE-RISK FLOATER"/>
    <n v="9864"/>
    <n v="7.4999999999999991"/>
    <n v="739.8"/>
    <s v="Bangalore"/>
    <n v="404320"/>
    <s v="E4"/>
    <m/>
    <s v="Jaya Chitra.M"/>
    <s v="Deep Shikha"/>
    <x v="42"/>
    <n v="1052"/>
    <s v="Rushi"/>
    <m/>
    <m/>
    <m/>
    <s v="Updation done in saiba"/>
    <m/>
  </r>
  <r>
    <x v="1"/>
    <m/>
    <n v="212203"/>
    <s v="CBO 13 N-34 C.PLACE"/>
    <s v="OIC/23-24/907"/>
    <s v="212203/31/2024/492"/>
    <n v="0"/>
    <s v="LESSEE: MINISTRY OF HOME AFFAIRS"/>
    <d v="2023-06-01T00:00:00"/>
    <d v="2024-05-31T00:00:00"/>
    <s v="MOT-PRD-001"/>
    <s v="PRIVATE CAR"/>
    <n v="8403"/>
    <n v="11.376889206235868"/>
    <n v="956"/>
    <s v="Delhi"/>
    <s v="NE"/>
    <s v="NE"/>
    <m/>
    <s v="Saurabh Dwivedi"/>
    <s v="Mohit Mendiratta"/>
    <x v="40"/>
    <n v="1074"/>
    <s v="Rushi"/>
    <m/>
    <m/>
    <m/>
    <s v="NE"/>
    <m/>
  </r>
  <r>
    <x v="1"/>
    <m/>
    <n v="421300"/>
    <s v="DO 3 BANGALORE"/>
    <s v="OIC/23-24/908"/>
    <s v="421300/48/2023/731"/>
    <n v="9"/>
    <s v="ZYNGA GAME NETWORK INDIA PVT. LTD."/>
    <d v="2022-07-01T00:00:00"/>
    <d v="2023-06-30T00:00:00"/>
    <s v="MIST-PRD-001"/>
    <s v="GPA - NAMED"/>
    <n v="-4362"/>
    <n v="7.5194864740944523"/>
    <n v="-328"/>
    <s v="Bangalore"/>
    <n v="400240"/>
    <s v="E8"/>
    <m/>
    <s v="Satyaki Mukherjee"/>
    <s v="Akhilesh Singh"/>
    <x v="42"/>
    <n v="1052"/>
    <s v="Rushi"/>
    <m/>
    <m/>
    <m/>
    <s v="Updation done in saiba"/>
    <m/>
  </r>
  <r>
    <x v="1"/>
    <m/>
    <n v="222105"/>
    <s v="KANPUR DEHAT"/>
    <s v="OIC/23-24/909"/>
    <s v="222105/48/2024/234"/>
    <n v="0"/>
    <s v="PRIYANKA VIRENDRA VANKANI"/>
    <d v="2023-05-13T00:00:00"/>
    <d v="2024-05-12T00:00:00"/>
    <s v="MIST-PRD-094"/>
    <s v="ORIENTAL MEDICLAIM INSURANCE POLICY(INDIVIDUAL)"/>
    <n v="13812"/>
    <n v="15.001448016217781"/>
    <n v="2072"/>
    <s v="Mumbai"/>
    <n v="432321"/>
    <s v="0"/>
    <m/>
    <s v="Kushal Bhatia"/>
    <s v="Anju Shukla"/>
    <x v="53"/>
    <n v="1092"/>
    <s v="Rushi"/>
    <m/>
    <m/>
    <m/>
    <s v="Updation done in saiba"/>
    <m/>
  </r>
  <r>
    <x v="1"/>
    <m/>
    <n v="124600"/>
    <s v="MCDO 1"/>
    <s v="OIC/23-24/910"/>
    <s v="124600/48/2024/645"/>
    <n v="0"/>
    <s v="VISHAY SEMICONDUCTOR INDIA PRIVATE LIMITED"/>
    <d v="2023-05-18T00:00:00"/>
    <d v="2024-03-31T00:00:00"/>
    <s v="MIST-PRD-890"/>
    <s v="GROUP MEDICLAIM -TAILORMADE-RISK FLOATER"/>
    <n v="4650000"/>
    <n v="7.5"/>
    <n v="348750"/>
    <s v="Mumbai"/>
    <s v="NE"/>
    <s v="NE"/>
    <m/>
    <s v="Amarjeet Sahu"/>
    <s v="Shahaji Dhage"/>
    <x v="55"/>
    <s v="Invoice not raise, 0 commission"/>
    <s v="Rushi"/>
    <m/>
    <m/>
    <m/>
    <s v="Bill ID not Generated"/>
    <m/>
  </r>
  <r>
    <x v="1"/>
    <m/>
    <n v="510000"/>
    <s v="CBRO DELHI"/>
    <s v="OIC/23-24/911"/>
    <s v="510000/11/2023/198"/>
    <n v="3"/>
    <s v="JCB POWER PRODUCTS INDIA PVT. LTD."/>
    <d v="2022-06-01T00:00:00"/>
    <d v="2023-05-31T00:00:00"/>
    <s v="FIR-PRD-009"/>
    <s v="ORIENTAL BHARAT LAGHU UDYAM SURAKSHA POLICY"/>
    <n v="11214"/>
    <n v="9.9696807561976097"/>
    <n v="1118"/>
    <s v="Delhi"/>
    <n v="396072"/>
    <s v="NE"/>
    <m/>
    <s v="Darvesh Panchal"/>
    <s v="Rohit Kumar Mehndiratta"/>
    <x v="41"/>
    <n v="2822"/>
    <s v="Rushi"/>
    <m/>
    <m/>
    <m/>
    <s v="NE"/>
    <m/>
  </r>
  <r>
    <x v="1"/>
    <m/>
    <n v="421100"/>
    <s v="CBU Bangalore"/>
    <s v="OIC/23-24/912"/>
    <s v="421100/48/2023/482"/>
    <n v="8"/>
    <s v="OPUS SOLUTIONS PRIVATE LIMITED"/>
    <d v="2022-10-11T00:00:00"/>
    <d v="2023-10-10T00:00:00"/>
    <s v="MIST-PRD-890"/>
    <s v="GROUP MEDICLAIM -TAILORMADE-RISK FLOATER"/>
    <n v="4576004"/>
    <n v="0"/>
    <n v="0"/>
    <s v="Pune"/>
    <s v="NE"/>
    <s v="NE"/>
    <m/>
    <s v="Suspense"/>
    <s v="Suspense"/>
    <x v="50"/>
    <n v="1047"/>
    <s v="Rushi"/>
    <m/>
    <m/>
    <m/>
    <s v="NE"/>
    <m/>
  </r>
  <r>
    <x v="1"/>
    <m/>
    <n v="212203"/>
    <s v="CBO 13 N-34 C.PLACE"/>
    <s v="OIC/23-24/913"/>
    <s v="212203/31/2024/295"/>
    <n v="0"/>
    <s v="POWER GRID CORPORATION OF NDIA LTD"/>
    <d v="2023-05-02T00:00:00"/>
    <d v="2024-05-01T00:00:00"/>
    <s v="MOT-PRD-012"/>
    <s v="PRIVATE CAR-(3 Years)"/>
    <n v="18665"/>
    <n v="7.1309938387356011"/>
    <n v="1331"/>
    <s v="Delhi"/>
    <n v="439421"/>
    <s v="0"/>
    <m/>
    <s v="NA"/>
    <s v="NA"/>
    <x v="40"/>
    <n v="1074"/>
    <s v="Rushi"/>
    <m/>
    <m/>
    <m/>
    <s v="Updation done in saiba"/>
    <m/>
  </r>
  <r>
    <x v="1"/>
    <m/>
    <n v="212203"/>
    <s v="CBO 13 N-34 C.PLACE"/>
    <s v="OIC/23-24/914"/>
    <s v="212203/31/2024/322"/>
    <n v="0"/>
    <s v="POWER GRID CORPORATION OF NDIA LTD"/>
    <d v="2023-05-03T00:00:00"/>
    <d v="2024-05-02T00:00:00"/>
    <s v="MOT-PRD-012"/>
    <s v="PRIVATE CAR-(3 Years)"/>
    <n v="18665"/>
    <n v="7.1309938387356011"/>
    <n v="1331"/>
    <s v="Delhi"/>
    <n v="439437"/>
    <s v="0"/>
    <m/>
    <s v="NA"/>
    <s v="NA"/>
    <x v="40"/>
    <n v="1074"/>
    <s v="Rushi"/>
    <m/>
    <m/>
    <m/>
    <s v="Updation done in saiba"/>
    <m/>
  </r>
  <r>
    <x v="1"/>
    <m/>
    <n v="215600"/>
    <s v="DO 4 NEW DELHI"/>
    <s v="OIC/23-24/915"/>
    <s v="215600/48/2024/485"/>
    <n v="0"/>
    <s v="LUMAX CORNAGLIA AUTO TECHNOLOGIES PVT. LTD."/>
    <d v="2023-04-01T00:00:00"/>
    <d v="2024-03-31T00:00:00"/>
    <s v="MIST-PRD-753"/>
    <s v="BURGLARY FLOATER"/>
    <n v="100"/>
    <n v="13"/>
    <n v="13"/>
    <s v="Delhi"/>
    <n v="431280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22105"/>
    <s v="KANPUR DEHAT"/>
    <s v="OIC/23-24/916"/>
    <s v="222105/48/2024/363"/>
    <n v="0"/>
    <s v="BEDANTA CHOUDHURY"/>
    <d v="2023-06-01T00:00:00"/>
    <d v="2024-05-31T00:00:00"/>
    <s v="MIST-PRD-943"/>
    <s v="HAPPY FAMILY FLOATER POLICY-2021"/>
    <n v="33166"/>
    <n v="15.000301513598263"/>
    <n v="4975"/>
    <s v="Delhi"/>
    <n v="438383"/>
    <s v="0"/>
    <m/>
    <s v="Kushal Bhatia"/>
    <s v="Navneet Arora"/>
    <x v="53"/>
    <n v="1092"/>
    <s v="Rushi"/>
    <m/>
    <m/>
    <m/>
    <s v="Updation done in saiba"/>
    <m/>
  </r>
  <r>
    <x v="1"/>
    <m/>
    <n v="271700"/>
    <s v="NEW DELHI DO 14"/>
    <s v="OIC/23-24/917"/>
    <s v="271700/11/2024/42"/>
    <n v="0"/>
    <s v="BIGFOOT RETAIL SOLUTIONS PVT. LTD."/>
    <d v="2023-05-17T00:00:00"/>
    <d v="2023-08-16T00:00:00"/>
    <s v="FIR-PRD-010"/>
    <s v="ORIENTAL BHARAT SOOKSHMA UDYAM SURAKSHA POLICY"/>
    <n v="7984"/>
    <n v="14.103206412825651"/>
    <n v="1126"/>
    <s v="Delhi"/>
    <n v="437356"/>
    <s v="0"/>
    <m/>
    <s v="Kamal Singh Kathait"/>
    <s v="Manish Gaur"/>
    <x v="75"/>
    <n v="1083"/>
    <s v="Rushi"/>
    <m/>
    <m/>
    <m/>
    <s v="Updation done in saiba"/>
    <m/>
  </r>
  <r>
    <x v="1"/>
    <m/>
    <n v="510000"/>
    <s v="CBRO DELHI"/>
    <s v="OIC/23-24/918"/>
    <s v="510000/48/2023/954"/>
    <n v="2"/>
    <s v="Blink Commerce Private Limited"/>
    <d v="2022-09-17T00:00:00"/>
    <d v="2023-09-16T00:00:00"/>
    <s v="MIST-PRD-047"/>
    <s v="FIDELITY GUARANTEE"/>
    <n v="15867"/>
    <n v="12.500031511943028"/>
    <n v="1983.38"/>
    <s v="Delhi"/>
    <n v="408692"/>
    <s v="E2"/>
    <m/>
    <s v="Sumit Gupta"/>
    <s v="Sahil Wadhwa"/>
    <x v="41"/>
    <n v="2822"/>
    <s v="Rushi"/>
    <m/>
    <m/>
    <m/>
    <s v="Updation done in saiba"/>
    <m/>
  </r>
  <r>
    <x v="1"/>
    <m/>
    <n v="215600"/>
    <s v="DO 4 NEW DELHI"/>
    <s v="OIC/23-24/919"/>
    <s v="215600/48/2024/375"/>
    <n v="0"/>
    <s v="LUMAX AUTO TECHNOLOGIES LTD"/>
    <d v="2023-04-01T00:00:00"/>
    <d v="2024-03-31T00:00:00"/>
    <s v="MIST-PRD-751"/>
    <s v="BURGLARY"/>
    <n v="4500"/>
    <n v="12.511111111111111"/>
    <n v="563"/>
    <s v="Delhi"/>
    <n v="437713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5600"/>
    <s v="DO 4 NEW DELHI"/>
    <s v="OIC/23-24/920"/>
    <s v="215600/44/2024/5"/>
    <n v="0"/>
    <s v="Lumax Industries Ltd."/>
    <d v="2023-04-01T00:00:00"/>
    <d v="2024-03-31T00:00:00"/>
    <s v="ENG-PRD-006"/>
    <s v="ELECTRONIC EQUIPMENT INSURANCE"/>
    <n v="521"/>
    <n v="11.900191938579654"/>
    <n v="62"/>
    <s v="Delhi"/>
    <s v="NE"/>
    <s v="NE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921"/>
    <s v="212203/31/2024/278"/>
    <n v="0"/>
    <s v="GARDENREACH SHIPBUILDERS &amp; ENGG LTD"/>
    <d v="2023-05-05T00:00:00"/>
    <d v="2024-05-04T00:00:00"/>
    <s v="MOT-PRD-015"/>
    <s v="STANDALONE OWN DAMAGE(OD)-PRIVATE CAR"/>
    <n v="6293"/>
    <n v="15.000794533608772"/>
    <n v="944"/>
    <s v="Delhi"/>
    <n v="439459"/>
    <s v="0"/>
    <m/>
    <s v="NA"/>
    <s v="NA"/>
    <x v="40"/>
    <n v="1074"/>
    <s v="Rushi"/>
    <m/>
    <m/>
    <m/>
    <s v="Updation done in saiba"/>
    <m/>
  </r>
  <r>
    <x v="1"/>
    <m/>
    <n v="421200"/>
    <s v="DO2 BANGALORE"/>
    <s v="OIC/23-24/922"/>
    <s v="421200/48/2023/4443"/>
    <n v="5"/>
    <s v="Mobileum Technologies Private Limited"/>
    <d v="2023-01-10T00:00:00"/>
    <d v="2024-01-09T00:00:00"/>
    <s v="MIST-PRD-890"/>
    <s v="GROUP MEDICLAIM -TAILORMADE-RISK FLOATER"/>
    <n v="-409816"/>
    <n v="7.4999511976106357"/>
    <n v="-30736"/>
    <s v="Mumbai"/>
    <s v="NE"/>
    <s v="NE"/>
    <m/>
    <s v="Saraswati Shetty"/>
    <s v="Pravin Arun Jagtap"/>
    <x v="74"/>
    <n v="1213"/>
    <s v="Rushi"/>
    <m/>
    <m/>
    <m/>
    <s v="NE"/>
    <m/>
  </r>
  <r>
    <x v="1"/>
    <m/>
    <n v="215600"/>
    <s v="DO 4 NEW DELHI"/>
    <s v="OIC/23-24/923"/>
    <s v="215600/11/2024/68"/>
    <n v="0"/>
    <s v="LUMAX INDUSTRIES LTD."/>
    <d v="2023-04-07T00:00:00"/>
    <d v="2024-04-06T00:00:00"/>
    <s v="FIR-PRD-006"/>
    <s v="STANDARD FIRE -- New Tariff"/>
    <n v="2168680"/>
    <n v="11.499990777800321"/>
    <n v="249398"/>
    <s v="Delhi"/>
    <n v="438739"/>
    <s v="0"/>
    <m/>
    <s v="Rohit Kumar Mendiratta"/>
    <s v="Prince Tayal"/>
    <x v="44"/>
    <s v="Revised statement _not woking"/>
    <s v="Rushi"/>
    <m/>
    <m/>
    <m/>
    <s v="Bill ID not Generated"/>
    <m/>
  </r>
  <r>
    <x v="1"/>
    <m/>
    <n v="212203"/>
    <s v="CBO 13 N-34 C.PLACE"/>
    <s v="OIC/23-24/924"/>
    <s v="212203/48/2024/373"/>
    <n v="0"/>
    <s v="HAVELLS INDIA LTD"/>
    <d v="2023-04-01T00:00:00"/>
    <d v="2024-03-31T00:00:00"/>
    <s v="MIST-PRD-753"/>
    <s v="BURGLARY FLOATER"/>
    <n v="13429"/>
    <n v="16.501601012733637"/>
    <n v="2216"/>
    <s v="Delhi"/>
    <s v="NE"/>
    <s v="NE"/>
    <m/>
    <s v="Sumit Gupta"/>
    <s v="Saurabh Gupta"/>
    <x v="40"/>
    <n v="1074"/>
    <s v="Rushi"/>
    <m/>
    <m/>
    <m/>
    <s v="NE"/>
    <m/>
  </r>
  <r>
    <x v="1"/>
    <m/>
    <n v="272200"/>
    <s v="DO 3 NEW DELHI"/>
    <s v="OIC/23-24/925"/>
    <s v="272200/31/2023/10659"/>
    <n v="2"/>
    <s v="MS MEDANTA INSTITUTE OF EDUCATION AND RESEARCH"/>
    <d v="2022-12-15T00:00:00"/>
    <d v="2023-12-14T00:00:00"/>
    <s v="MOT-PRD-006"/>
    <s v="MISCELANEOUS CLASS D VEHICLES"/>
    <n v="34006"/>
    <n v="15.000294065753103"/>
    <n v="5101"/>
    <s v="Ludhiana"/>
    <n v="414678"/>
    <s v="E1"/>
    <m/>
    <s v="Prem Parkash"/>
    <s v="HImanshu Arora"/>
    <x v="45"/>
    <n v="1088"/>
    <s v="Rushi"/>
    <m/>
    <m/>
    <m/>
    <s v="Updation done in saiba"/>
    <m/>
  </r>
  <r>
    <x v="1"/>
    <m/>
    <n v="272200"/>
    <s v="DO 3 NEW DELHI"/>
    <s v="OIC/23-24/926"/>
    <s v="272200/31/2024/281"/>
    <n v="0"/>
    <s v="M/S SETH ROSHAN LAL JAIN TRUST"/>
    <d v="2023-06-01T00:00:00"/>
    <d v="2024-05-31T00:00:00"/>
    <s v="MOT-PRD-001"/>
    <s v="PRIVATE CAR"/>
    <n v="12066"/>
    <n v="6.4561577987734129"/>
    <n v="779"/>
    <s v="Ludhiana"/>
    <n v="434597"/>
    <s v="0"/>
    <m/>
    <s v="Prem Parkash"/>
    <s v="HImanshu Arora"/>
    <x v="45"/>
    <n v="1088"/>
    <s v="Rushi"/>
    <m/>
    <m/>
    <m/>
    <s v="Updation done in saiba"/>
    <m/>
  </r>
  <r>
    <x v="2"/>
    <m/>
    <n v="272300"/>
    <s v="DO 21 NEW DELHI"/>
    <s v="OIC/23-24/927"/>
    <s v="272300/11/2024/109"/>
    <n v="0"/>
    <s v="PARIVAR SEVA SANSTHA"/>
    <d v="2023-07-01T00:00:00"/>
    <d v="2024-06-30T00:00:00"/>
    <s v="FIR-PRD-010"/>
    <s v="ORIENTAL BHARAT SOOKSHMA UDYAM SURAKSHA POLICY"/>
    <n v="59999"/>
    <n v="20.047000783346387"/>
    <n v="12028"/>
    <s v="Delhi"/>
    <n v="441579"/>
    <s v="0"/>
    <m/>
    <s v="Hemant Kumar Gupta"/>
    <s v="Sasank S"/>
    <x v="76"/>
    <n v="3080"/>
    <s v="Rushiraj"/>
    <m/>
    <m/>
    <m/>
    <s v="Excess"/>
    <s v="Updation  done in Saiba"/>
  </r>
  <r>
    <x v="2"/>
    <m/>
    <n v="510000"/>
    <s v="CBRO DELHI"/>
    <s v="OIC/23-24/928"/>
    <s v="510000/48/2023/1560"/>
    <n v="4"/>
    <s v="DENTSU WEBCHUTNEY PRIVATE LIMITED"/>
    <d v="2023-02-07T00:00:00"/>
    <d v="2023-12-31T00:00:00"/>
    <s v="MIST-PRD-890"/>
    <s v="GROUP MEDICLAIM -TAILORMADE-RISK FLOATER"/>
    <n v="15137"/>
    <n v="5"/>
    <n v="756.85"/>
    <s v="Delhi"/>
    <n v="430685"/>
    <s v="NE"/>
    <m/>
    <s v="Amit Pandey"/>
    <s v="Niladri Mangal Choudhury"/>
    <x v="77"/>
    <n v="3081"/>
    <s v="Rushiraj"/>
    <m/>
    <m/>
    <m/>
    <m/>
    <s v="NE"/>
  </r>
  <r>
    <x v="2"/>
    <m/>
    <n v="540000"/>
    <s v="CBO BANGALORE"/>
    <s v="OIC/23-24/929"/>
    <s v="421300/48/2023/1166"/>
    <n v="5"/>
    <s v="ATRIA CONVERGENCE TECHNOLOGIES LIMITED"/>
    <d v="2022-12-01T00:00:00"/>
    <d v="2023-11-30T00:00:00"/>
    <s v="MIST-PRD-890"/>
    <s v="GROUP MEDICLAIM -TAILORMADE-RISK FLOATER"/>
    <n v="-6720"/>
    <n v="7.5"/>
    <n v="-504"/>
    <s v="Bangalore"/>
    <n v="414344"/>
    <s v="E5"/>
    <m/>
    <s v="Jayachitra M"/>
    <s v="Vinod Kumar Heggadadevanapura Thammaiah"/>
    <x v="78"/>
    <n v="3123"/>
    <s v="Rushiraj"/>
    <m/>
    <m/>
    <m/>
    <m/>
    <s v="Updation  done in Saiba"/>
  </r>
  <r>
    <x v="2"/>
    <m/>
    <n v="510000"/>
    <s v="CBRO DELHI"/>
    <s v="OIC/23-24/930"/>
    <s v="510000/48/2023/1556"/>
    <n v="4"/>
    <s v="DENTSU AEGIS NETWORK INDIA PRIVATE LIMITED"/>
    <d v="2023-01-12T00:00:00"/>
    <d v="2023-12-31T00:00:00"/>
    <s v="MIST-PRD-890"/>
    <s v="GROUP MEDICLAIM -TAILORMADE-RISK FLOATER"/>
    <n v="36689"/>
    <n v="5"/>
    <n v="1834.45"/>
    <s v="Delhi"/>
    <n v="430587"/>
    <s v="NE"/>
    <m/>
    <s v="Amit Pandey"/>
    <s v="Niladri Mangal Choudhury"/>
    <x v="77"/>
    <n v="3081"/>
    <s v="Rushiraj"/>
    <m/>
    <m/>
    <m/>
    <m/>
    <s v="NE"/>
  </r>
  <r>
    <x v="2"/>
    <m/>
    <n v="222105"/>
    <s v="KANPUR DEHAT"/>
    <s v="OIC/23-24/931"/>
    <s v="222105/48/2024/580"/>
    <n v="0"/>
    <s v=" SACHIN MALIK,"/>
    <d v="2023-06-21T00:00:00"/>
    <d v="2024-06-20T00:00:00"/>
    <s v="MIST-PRD-943"/>
    <s v="HAPPY FAMILY FLOATER POLICY-2021"/>
    <n v="24849"/>
    <n v="14.998591492615397"/>
    <n v="3727"/>
    <s v="Delhi"/>
    <n v="441057"/>
    <s v="0"/>
    <m/>
    <s v="Kushal Bhatia"/>
    <s v="Navneet Arora"/>
    <x v="79"/>
    <n v="3078"/>
    <s v="Rushiraj"/>
    <m/>
    <m/>
    <m/>
    <m/>
    <s v="Updation  done in Saiba"/>
  </r>
  <r>
    <x v="2"/>
    <m/>
    <n v="540000"/>
    <s v="CBO BANGALORE"/>
    <s v="OIC/23-24/932"/>
    <s v="421300/48/2023/1048"/>
    <n v="7"/>
    <s v="WAFER SPACE SEMICONDUCTOR TECHNOLOGIES PVT LTD"/>
    <d v="2022-09-08T00:00:00"/>
    <d v="2023-09-07T00:00:00"/>
    <s v="MIST-PRD-890"/>
    <s v="GROUP MEDICLAIM -TAILORMADE-RISK FLOATER"/>
    <n v="10358"/>
    <n v="7.5"/>
    <n v="776.85"/>
    <s v="Bangalore"/>
    <n v="404320"/>
    <s v="NE"/>
    <m/>
    <s v="Jaya Chitra.M"/>
    <s v="Deep Shikha"/>
    <x v="78"/>
    <n v="3123"/>
    <s v="Rushiraj"/>
    <m/>
    <m/>
    <m/>
    <m/>
    <s v="NE"/>
  </r>
  <r>
    <x v="2"/>
    <m/>
    <n v="510000"/>
    <s v="CBRO DELHI"/>
    <s v="OIC/23-24/933"/>
    <s v="510000/11/2024/117"/>
    <n v="0"/>
    <s v="JCB INDIA LIMITED"/>
    <d v="2023-06-01T00:00:00"/>
    <d v="2024-05-31T00:00:00"/>
    <s v="FIR-PRD-009"/>
    <s v="ORIENTAL BHARAT LAGHU UDYAM SURAKSHA POLICY"/>
    <n v="893665"/>
    <n v="15.352397151057724"/>
    <n v="137199"/>
    <s v="Delhi"/>
    <s v="NE"/>
    <s v="NE"/>
    <m/>
    <s v="Darvesh Panchal"/>
    <s v="Rohit Kumar Mehndiratta"/>
    <x v="77"/>
    <n v="3081"/>
    <s v="Rushiraj"/>
    <n v="215079"/>
    <s v="Yes"/>
    <m/>
    <m/>
    <s v="RFQ"/>
  </r>
  <r>
    <x v="2"/>
    <m/>
    <n v="132000"/>
    <s v="DO JOGESHWARI"/>
    <s v="OIC/23-24/934"/>
    <s v="132000/11/2022/413"/>
    <n v="3"/>
    <s v=" Allied Blender &amp; Distillers Pvt Ltd"/>
    <d v="2021-09-02T00:00:00"/>
    <d v="2022-09-01T00:00:00"/>
    <s v="FIR-PRD-009"/>
    <s v="ORIENTAL BHARAT LAGHU UDYAM SURAKSHA POLICY"/>
    <n v="-45897"/>
    <n v="10.813342920016558"/>
    <n v="-4963"/>
    <s v="Mumbai"/>
    <n v="360481"/>
    <s v="NE"/>
    <m/>
    <s v="Susmeet Kaur"/>
    <s v="Pooja Yadav"/>
    <x v="80"/>
    <n v="3100"/>
    <s v="Rushiraj"/>
    <m/>
    <m/>
    <m/>
    <m/>
    <s v="NE"/>
  </r>
  <r>
    <x v="2"/>
    <m/>
    <n v="212203"/>
    <s v="CBO 13 N-34 C.PLACE"/>
    <s v="OIC/23-24/935"/>
    <s v="212203/31/2024/619"/>
    <n v="0"/>
    <s v="NHPC LIMITED"/>
    <d v="2023-06-16T00:00:00"/>
    <d v="2024-06-15T00:00:00"/>
    <s v="MOT-PRD-015"/>
    <s v="STANDALONE OWN DAMAGE(OD)-PRIVATE CAR"/>
    <n v="8935"/>
    <n v="14.997202014549526"/>
    <n v="1340"/>
    <s v="Delhi"/>
    <n v="443967"/>
    <s v="0"/>
    <m/>
    <s v="Saurabh Dwivedi"/>
    <s v="Mohit Mendiratta"/>
    <x v="81"/>
    <n v="3075"/>
    <s v="Rushiraj"/>
    <m/>
    <m/>
    <m/>
    <m/>
    <s v="Updation  done in Saiba"/>
  </r>
  <r>
    <x v="2"/>
    <m/>
    <n v="212200"/>
    <s v="NEW DELHI DO 10"/>
    <s v="OIC/23-24/936"/>
    <s v="212200/48/2024/267"/>
    <n v="0"/>
    <s v=" EXCEL PACK PVT LTD"/>
    <d v="2023-06-13T00:00:00"/>
    <d v="2024-06-12T00:00:00"/>
    <s v="MIST-PRD-753"/>
    <s v="BURGLARY FLOATER"/>
    <n v="270"/>
    <n v="12.592592592592592"/>
    <n v="34"/>
    <s v="Delhi"/>
    <s v="NE"/>
    <s v="NE"/>
    <m/>
    <s v="Aradhana Dwivedi"/>
    <s v="Amit Wali"/>
    <x v="82"/>
    <n v="3074"/>
    <s v="Rushiraj"/>
    <m/>
    <s v="No"/>
    <m/>
    <m/>
    <s v="NE"/>
  </r>
  <r>
    <x v="2"/>
    <m/>
    <n v="510000"/>
    <s v="CBRO DELHI"/>
    <s v="OIC/23-24/937"/>
    <s v="510000/48/2023/1556"/>
    <n v="3"/>
    <s v="DENTSU AEGIS NETWORK INDIA PRIVATE LIMITED"/>
    <d v="2023-01-12T00:00:00"/>
    <d v="2023-12-31T00:00:00"/>
    <s v="MIST-PRD-890"/>
    <s v="GROUP MEDICLAIM -TAILORMADE-RISK FLOATER"/>
    <n v="63472"/>
    <n v="5"/>
    <n v="3173.6"/>
    <s v="Delhi"/>
    <n v="430587"/>
    <s v="NE"/>
    <m/>
    <s v="Amit Pandey"/>
    <s v="Niladri Mangal Choudhury"/>
    <x v="77"/>
    <n v="3081"/>
    <s v="Rushiraj"/>
    <m/>
    <m/>
    <m/>
    <m/>
    <s v="NE"/>
  </r>
  <r>
    <x v="2"/>
    <m/>
    <n v="163600"/>
    <s v="DO IV PUNE"/>
    <s v="OIC/23-24/938"/>
    <s v="163600/21/2024/3/0001"/>
    <n v="0"/>
    <s v="RATHI DYE CHEM (P) LTD"/>
    <d v="2023-06-01T00:00:00"/>
    <d v="2024-05-31T00:00:00"/>
    <s v="MC-PRD-015"/>
    <s v="MARINE CARGO - OPEN COVER"/>
    <n v="9789"/>
    <n v="20.002043109612831"/>
    <n v="1958"/>
    <s v="Pune"/>
    <s v="NE"/>
    <s v="NE"/>
    <m/>
    <s v="Smita Lokapure"/>
    <s v="Vishal Sushil Pachisia"/>
    <x v="83"/>
    <n v="3090"/>
    <s v="Rushiraj"/>
    <m/>
    <s v="No"/>
    <m/>
    <m/>
    <s v="NE"/>
  </r>
  <r>
    <x v="2"/>
    <m/>
    <n v="215600"/>
    <s v="DO 4 NEW DELHI"/>
    <s v="OIC/23-24/946"/>
    <s v="215600/48/2023/1883"/>
    <n v="12"/>
    <s v="HCL INFOSYSTEMS LTD"/>
    <d v="2022-10-01T00:00:00"/>
    <d v="2023-09-30T00:00:00"/>
    <s v="MIST-PRD-890"/>
    <s v="GROUP MEDICLAIM -TAILORMADE-RISK FLOATER"/>
    <n v="1154835"/>
    <n v="7.6434295808492116"/>
    <n v="88269"/>
    <s v="Delhi"/>
    <n v="405703"/>
    <s v="M3"/>
    <m/>
    <s v="Abhishek Sharma"/>
    <s v="Ishita Sharma"/>
    <x v="84"/>
    <n v="3076"/>
    <s v="Rushiraj"/>
    <m/>
    <m/>
    <m/>
    <m/>
    <s v="NE"/>
  </r>
  <r>
    <x v="2"/>
    <m/>
    <n v="510000"/>
    <s v="CBRO DELHI"/>
    <s v="OIC/23-24/939"/>
    <s v="510000/31/2024/47"/>
    <n v="0"/>
    <s v="JCB INDIA LIMITED"/>
    <d v="2023-06-28T00:00:00"/>
    <d v="2024-06-27T00:00:00"/>
    <s v="MOT-PRD-006"/>
    <s v="MISCELANEOUS CLASS D VEHICLES"/>
    <n v="10317"/>
    <n v="12.493942037413976"/>
    <n v="1289"/>
    <s v="Delhi"/>
    <n v="444639"/>
    <n v="0"/>
    <m/>
    <s v="Tejinder Pal Singh"/>
    <s v="Pushpinder Kaur"/>
    <x v="77"/>
    <n v="3081"/>
    <s v="Rushiraj"/>
    <m/>
    <s v="No"/>
    <m/>
    <m/>
    <s v="Updation done in saiba"/>
  </r>
  <r>
    <x v="2"/>
    <m/>
    <n v="222105"/>
    <s v="KANPUR DEHAT"/>
    <s v="OIC/23-24/941"/>
    <s v="222105/48/2024/512"/>
    <n v="0"/>
    <s v=" JAWAID ASHRAF"/>
    <d v="2023-06-22T00:00:00"/>
    <d v="2024-06-21T00:00:00"/>
    <s v="MIST-PRD-943"/>
    <s v="HAPPY FAMILY FLOATER POLICY-2021"/>
    <n v="84513"/>
    <n v="5.0004141374699751"/>
    <n v="4226"/>
    <s v="Delhi"/>
    <n v="440111"/>
    <s v="0"/>
    <m/>
    <s v="Kushal Bhatia"/>
    <s v="Navneet Arora"/>
    <x v="79"/>
    <n v="3078"/>
    <s v="Rushiraj"/>
    <m/>
    <m/>
    <m/>
    <s v="Part"/>
    <s v="Updation  done in Saiba"/>
  </r>
  <r>
    <x v="2"/>
    <m/>
    <n v="510000"/>
    <s v="CBRO DELHI"/>
    <s v="OIC/23-24/942"/>
    <s v="510000/48/2023/614"/>
    <n v="10"/>
    <s v="SUTHERLAND HEALTHCARE SOLUTIONS PRIVATE LIMITED"/>
    <d v="2022-04-24T00:00:00"/>
    <d v="2023-04-23T00:00:00"/>
    <s v="MIST-PRD-890"/>
    <s v="GROUP MEDICLAIM -TAILORMADE-RISK FLOATER"/>
    <n v="-1892"/>
    <n v="2.4841437632135306"/>
    <n v="-47"/>
    <s v="Chennai"/>
    <n v="398821"/>
    <s v="NE"/>
    <m/>
    <s v="Payal Batra"/>
    <s v="Aas Mohammad"/>
    <x v="77"/>
    <n v="3081"/>
    <s v="Rushiraj"/>
    <m/>
    <m/>
    <m/>
    <m/>
    <s v="NE"/>
  </r>
  <r>
    <x v="2"/>
    <m/>
    <n v="510000"/>
    <s v="CBRO DELHI"/>
    <s v="OIC/23-24/943"/>
    <s v="510000/48/2023/613"/>
    <n v="12"/>
    <s v="SUTHERLAND GLOBAL SERVICES PVT LTD"/>
    <d v="2022-04-24T00:00:00"/>
    <d v="2023-04-23T00:00:00"/>
    <s v="MIST-PRD-890"/>
    <s v="GROUP MEDICLAIM -TAILORMADE-RISK FLOATER"/>
    <n v="-7456"/>
    <n v="2.494635193133047"/>
    <n v="-186"/>
    <s v="Chennai"/>
    <n v="398825"/>
    <s v="NE"/>
    <m/>
    <s v="Payal Batra"/>
    <s v="Aas Mohammad"/>
    <x v="77"/>
    <n v="3081"/>
    <s v="Rushiraj"/>
    <m/>
    <m/>
    <m/>
    <m/>
    <s v="NE"/>
  </r>
  <r>
    <x v="2"/>
    <m/>
    <n v="212203"/>
    <s v="CBO 13 N-34 C.PLACE"/>
    <s v="OIC/23-24/944"/>
    <s v="212203/31/2024/766"/>
    <n v="0"/>
    <s v="EXPORT CREDIT GUARANTEE CORPORATION"/>
    <d v="2023-07-04T00:00:00"/>
    <d v="2024-07-03T00:00:00"/>
    <s v="MOT-PRD-015"/>
    <s v="STANDALONE OWN DAMAGE(OD)-PRIVATE CAR"/>
    <n v="8111"/>
    <n v="14.991986191591666"/>
    <n v="1216"/>
    <s v="Delhi"/>
    <s v="NE"/>
    <s v="NE"/>
    <m/>
    <s v="Suspense"/>
    <s v="Suspense"/>
    <x v="81"/>
    <n v="3075"/>
    <s v="Rushiraj"/>
    <m/>
    <s v="No"/>
    <m/>
    <m/>
    <s v="NE"/>
  </r>
  <r>
    <x v="2"/>
    <m/>
    <n v="421300"/>
    <s v="DO 3 BANGALORE"/>
    <s v="OIC/23-24/945"/>
    <s v="421300/48/2024/482"/>
    <n v="0"/>
    <s v="SSP INDIA PRIVATE LIMITED"/>
    <d v="2023-06-07T00:00:00"/>
    <d v="2024-06-06T00:00:00"/>
    <s v="MIST-PRD-890"/>
    <s v="GROUP MEDICLAIM -TAILORMADE-RISK FLOATER"/>
    <n v="2040783"/>
    <n v="7.0000093101520342"/>
    <n v="142855"/>
    <s v="Delhi"/>
    <n v="438851"/>
    <s v="0"/>
    <m/>
    <s v="Rajiv Choudhary"/>
    <s v="Ashwini Kumar Srivastava"/>
    <x v="85"/>
    <n v="3066"/>
    <s v="Rushiraj"/>
    <m/>
    <m/>
    <m/>
    <m/>
    <s v="Updation  done in Saiba"/>
  </r>
  <r>
    <x v="2"/>
    <m/>
    <n v="111900"/>
    <s v="MCDO 14"/>
    <s v="OIC/23-24/1295"/>
    <s v="111900/22/2023/895"/>
    <n v="1"/>
    <s v=" JAYDEEP ASSOCIATES PVT LTD VESSEL: MV SIDDHIVINAYAK II REGNOGMB/NLK/97 YOB: 2023"/>
    <d v="2023-03-31T00:00:00"/>
    <d v="2024-03-30T00:00:00"/>
    <s v="MH-PRD-003"/>
    <s v="INLAND VESSELS"/>
    <n v="83250"/>
    <n v="11.500300300300299"/>
    <n v="9574"/>
    <s v="Mumbai"/>
    <n v="428435"/>
    <s v="E1"/>
    <m/>
    <s v="Lakshmanan Subramanian Iyer"/>
    <s v="Saikumar G Shirwatkar"/>
    <x v="86"/>
    <n v="3086"/>
    <s v="Rushiraj"/>
    <m/>
    <m/>
    <m/>
    <m/>
    <s v="Updation done in saiba"/>
  </r>
  <r>
    <x v="2"/>
    <m/>
    <n v="510000"/>
    <s v="CBRO DELHI"/>
    <s v="OIC/23-24/947"/>
    <s v="510000/48/2024/423"/>
    <n v="0"/>
    <s v="ARTEMIS MEDICARE SERVICES LIMITED"/>
    <d v="2023-06-13T00:00:00"/>
    <d v="2024-06-11T00:00:00"/>
    <s v="MIST-PRD-047"/>
    <s v="FIDELITY GUARANTEE"/>
    <n v="610"/>
    <n v="12.459016393442624"/>
    <n v="76"/>
    <s v="Delhi"/>
    <n v="441895"/>
    <s v="0"/>
    <m/>
    <s v="Hemant Kumar Gupta"/>
    <s v="Namit Malhotra"/>
    <x v="77"/>
    <n v="3081"/>
    <s v="Rushiraj"/>
    <m/>
    <m/>
    <s v="Premium Mismatched"/>
    <m/>
    <s v="Modification"/>
  </r>
  <r>
    <x v="2"/>
    <m/>
    <n v="111900"/>
    <s v="MCDO 14"/>
    <s v="OIC/23-24/948"/>
    <s v="111900/22/2024/266"/>
    <n v="0"/>
    <s v="3K MARINE SERVICES"/>
    <d v="2023-06-27T00:00:00"/>
    <d v="2024-06-26T00:00:00"/>
    <s v="MH-PRD-003"/>
    <s v="INLAND VESSELS"/>
    <n v="43125"/>
    <n v="14.998260869565218"/>
    <n v="6468"/>
    <s v="Mumbai"/>
    <s v="NE"/>
    <s v="NE"/>
    <m/>
    <s v="Lakshmanan Subramanian Iyer"/>
    <s v="Saikumar G Shirwatkar"/>
    <x v="86"/>
    <n v="3086"/>
    <s v="Rushiraj"/>
    <m/>
    <s v="No"/>
    <m/>
    <m/>
    <s v="NE"/>
  </r>
  <r>
    <x v="2"/>
    <m/>
    <n v="212203"/>
    <s v="CBO 13 N-34 C.PLACE"/>
    <s v="OIC/23-24/949"/>
    <s v="212203/48/2024/581"/>
    <n v="0"/>
    <s v="QRG ENTERPRISES LTD"/>
    <d v="2023-04-23T00:00:00"/>
    <d v="2024-03-31T00:00:00"/>
    <s v="MIST-PRD-052"/>
    <s v="MONEY INSURANCE"/>
    <n v="1178"/>
    <n v="16.468590831918508"/>
    <n v="194"/>
    <s v="Delhi"/>
    <s v="NE"/>
    <s v="NE"/>
    <m/>
    <s v="Vineet Khattar"/>
    <s v="Sumit Gupta"/>
    <x v="81"/>
    <n v="3075"/>
    <s v="Rushiraj"/>
    <m/>
    <s v="No"/>
    <m/>
    <m/>
    <s v="NE"/>
  </r>
  <r>
    <x v="2"/>
    <m/>
    <n v="212203"/>
    <s v="CBO 13 N-34 C.PLACE"/>
    <s v="OIC/23-24/950"/>
    <s v="212203/31/2024/559"/>
    <n v="0"/>
    <s v="LESSEE:AC(HQ) SOUTH DELHI M CORP"/>
    <d v="2023-06-07T00:00:00"/>
    <d v="2024-06-06T00:00:00"/>
    <s v="MOT-PRD-001"/>
    <s v="PRIVATE CAR"/>
    <n v="8706"/>
    <n v="13.26671261199173"/>
    <n v="1155"/>
    <s v="Delhi"/>
    <n v="443804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951"/>
    <s v="212203/31/2024/687"/>
    <n v="0"/>
    <s v="LESSEE POWER GRID CORPORATION OF INDIA LTD"/>
    <d v="2023-06-20T00:00:00"/>
    <d v="2024-06-19T00:00:00"/>
    <s v="MOT-PRD-012"/>
    <s v="PRIVATE CAR-(3 Years)"/>
    <n v="9682"/>
    <n v="14.996901466639125"/>
    <n v="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272200"/>
    <s v="DO 3 NEW DELHI"/>
    <s v="OIC/23-24/952"/>
    <s v="272200/31/2024/363"/>
    <n v="0"/>
    <s v="JCB INDIA LTD"/>
    <d v="2023-06-14T00:00:00"/>
    <d v="2024-06-13T00:00:00"/>
    <s v="MOT-PRD-006"/>
    <s v="MISCELANEOUS CLASS D VEHICLES"/>
    <n v="12981"/>
    <n v="12.495185270780372"/>
    <n v="1622"/>
    <s v="Delhi"/>
    <s v="NE"/>
    <s v="NE"/>
    <m/>
    <s v="Tejinder Pal Singh"/>
    <s v="Pushpinder Kaur"/>
    <x v="87"/>
    <n v="3079"/>
    <s v="Rushiraj"/>
    <m/>
    <s v="No"/>
    <m/>
    <m/>
    <s v="NE"/>
  </r>
  <r>
    <x v="2"/>
    <m/>
    <n v="212203"/>
    <s v="CBO 13 N-34 C.PLACE"/>
    <s v="OIC/23-24/953"/>
    <s v="212203/31/2024/636"/>
    <n v="0"/>
    <s v="MINISTRY OF INFO &amp; BROADCASTING"/>
    <d v="2023-06-18T00:00:00"/>
    <d v="2024-06-17T00:00:00"/>
    <s v="MOT-PRD-001"/>
    <s v="PRIVATE CAR"/>
    <n v="9224"/>
    <n v="13.356461405030357"/>
    <n v="1232"/>
    <s v="Delhi"/>
    <n v="443826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954"/>
    <s v="212203/31/2024/596"/>
    <n v="0"/>
    <s v="EAST DELHI MUNICIPAL CORPORATION"/>
    <d v="2023-06-11T00:00:00"/>
    <d v="2024-06-10T00:00:00"/>
    <s v="MOT-PRD-001"/>
    <s v="PRIVATE CAR"/>
    <n v="8512"/>
    <n v="13.228383458646617"/>
    <n v="1126"/>
    <s v="Delhi"/>
    <n v="443822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955"/>
    <s v="212203/31/2024/662"/>
    <n v="0"/>
    <s v="DIRECTORATE OF TRANSPORT"/>
    <d v="2023-06-22T00:00:00"/>
    <d v="2024-06-21T00:00:00"/>
    <s v="MOT-PRD-001"/>
    <s v="PRIVATE CAR"/>
    <n v="8522"/>
    <n v="13.224595165454119"/>
    <n v="1127"/>
    <s v="Delhi"/>
    <n v="443832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5600"/>
    <s v="DO 4 NEW DELHI"/>
    <s v="OIC/23-24/956"/>
    <s v="215600/48/2024/666"/>
    <n v="0"/>
    <s v="Lumax Ancillary Ltd"/>
    <d v="2023-04-01T00:00:00"/>
    <d v="2024-03-31T00:00:00"/>
    <s v="MIST-PRD-061"/>
    <s v="All RISK"/>
    <n v="626"/>
    <n v="12.460063897763579"/>
    <n v="78"/>
    <s v="Delhi"/>
    <n v="430568"/>
    <s v="0"/>
    <m/>
    <s v="Rohit Kumar Mendiratta"/>
    <s v="Prince Tayal"/>
    <x v="84"/>
    <n v="3076"/>
    <s v="Rushiraj"/>
    <m/>
    <m/>
    <m/>
    <m/>
    <s v="Updation  done in Saiba"/>
  </r>
  <r>
    <x v="2"/>
    <m/>
    <n v="212203"/>
    <s v="CBO 13 N-34 C.PLACE"/>
    <s v="OIC/23-24/957"/>
    <s v="212203/31/2024/556"/>
    <n v="0"/>
    <s v="LESSEE:AC(HQ) SOUTH DELHI M CORP"/>
    <d v="2023-06-07T00:00:00"/>
    <d v="2024-06-06T00:00:00"/>
    <s v="MOT-PRD-001"/>
    <s v="PRIVATE CAR"/>
    <n v="3358"/>
    <n v="10.482430017867779"/>
    <n v="352"/>
    <s v="Delhi"/>
    <n v="443801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958"/>
    <s v="510000/48/2023/765"/>
    <n v="6"/>
    <s v="Sutherland Global Services Private Limited"/>
    <d v="2022-06-01T00:00:00"/>
    <d v="2023-05-31T00:00:00"/>
    <s v="MIST-PRD-890"/>
    <s v="GROUP MEDICLAIM -TAILORMADE-RISK FLOATER"/>
    <n v="-1036"/>
    <n v="3"/>
    <n v="-31.08"/>
    <s v="Chennai"/>
    <n v="418715"/>
    <s v="NE"/>
    <m/>
    <s v="Payal Batra"/>
    <s v="Aas Mohammad"/>
    <x v="77"/>
    <n v="3081"/>
    <s v="Rushiraj"/>
    <m/>
    <m/>
    <m/>
    <m/>
    <s v="NE"/>
  </r>
  <r>
    <x v="2"/>
    <m/>
    <n v="411700"/>
    <s v="DO 7 CHENNAI"/>
    <s v="OIC/23-24/959"/>
    <s v="411700/48/2023/2426"/>
    <n v="8"/>
    <s v="FINANCIAL SOFTWARE &amp; SYSTEMS (P) LTD"/>
    <d v="2022-10-01T00:00:00"/>
    <d v="2023-09-30T00:00:00"/>
    <s v="MIST-PRD-890"/>
    <s v="GROUP MEDICLAIM -TAILORMADE-RISK FLOATER"/>
    <n v="4579"/>
    <n v="1"/>
    <n v="45.79"/>
    <s v="Chennai"/>
    <n v="408012"/>
    <s v="E7"/>
    <m/>
    <s v="Meenakshi Menon"/>
    <s v="Sudha.S"/>
    <x v="88"/>
    <n v="3069"/>
    <s v="Rushiraj"/>
    <m/>
    <m/>
    <m/>
    <m/>
    <s v="Saiba Error"/>
  </r>
  <r>
    <x v="2"/>
    <m/>
    <n v="510000"/>
    <s v="CBRO DELHI"/>
    <s v="OIC/23-24/960"/>
    <s v="510000/48/2023/392"/>
    <n v="12"/>
    <s v="NORTHERN MARINE MANAGEMENT (INDIA) PVTLTD"/>
    <d v="2022-04-30T00:00:00"/>
    <d v="2023-04-29T00:00:00"/>
    <s v="MIST-PRD-890"/>
    <s v="GROUP MEDICLAIM -TAILORMADE-RISK FLOATER"/>
    <n v="1330"/>
    <n v="5"/>
    <n v="66.5"/>
    <s v="Mumbai"/>
    <n v="382317"/>
    <s v="E11"/>
    <m/>
    <s v="Ashita Lotia"/>
    <s v="Arpita R Kochrekar"/>
    <x v="77"/>
    <n v="3081"/>
    <s v="Rushiraj"/>
    <m/>
    <m/>
    <m/>
    <m/>
    <s v="Updation  done in Saiba"/>
  </r>
  <r>
    <x v="2"/>
    <m/>
    <n v="510000"/>
    <s v="CBRO DELHI"/>
    <s v="OIC/23-24/961"/>
    <s v="510000/48/2023/1559"/>
    <n v="3"/>
    <s v="DENTSU NETWORK ADVERTISING PRIVATE LIMITED"/>
    <d v="2023-02-07T00:00:00"/>
    <d v="2023-12-31T00:00:00"/>
    <s v="MIST-PRD-890"/>
    <s v="GROUP MEDICLAIM -TAILORMADE-RISK FLOATER"/>
    <n v="-31233"/>
    <n v="5.0000000000000009"/>
    <n v="-1561.65"/>
    <s v="Delhi"/>
    <n v="430593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962"/>
    <s v="510000/48/2024/417"/>
    <n v="0"/>
    <s v="ARTEMIS MEDICARE SERVICES LIMITED"/>
    <d v="2023-06-13T00:00:00"/>
    <d v="2024-06-11T00:00:00"/>
    <s v="MIST-PRD-025"/>
    <s v="PLATE GLASS INSURANCE"/>
    <n v="625"/>
    <n v="12.48"/>
    <n v="78"/>
    <s v="Delhi"/>
    <n v="441894"/>
    <s v="0"/>
    <m/>
    <s v="Hemant Kumar Gupta"/>
    <s v="Namit Malhotra"/>
    <x v="77"/>
    <n v="3081"/>
    <s v="Rushiraj"/>
    <m/>
    <m/>
    <m/>
    <s v="Excess"/>
    <s v="Updation  done in Saiba"/>
  </r>
  <r>
    <x v="2"/>
    <m/>
    <n v="510000"/>
    <s v="CBRO DELHI"/>
    <s v="OIC/23-24/963"/>
    <s v="510000/48/2023/1559"/>
    <n v="4"/>
    <s v="DENTSU NETWORK ADVERTISING PRIVATE LIMITED"/>
    <d v="2023-02-07T00:00:00"/>
    <d v="2023-12-31T00:00:00"/>
    <s v="MIST-PRD-890"/>
    <s v="GROUP MEDICLAIM -TAILORMADE-RISK FLOATER"/>
    <n v="-16143"/>
    <n v="5"/>
    <n v="-807.15"/>
    <s v="Delhi"/>
    <n v="430593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964"/>
    <s v="510000/31/2024/41"/>
    <n v="0"/>
    <s v="JCB INDIA LTD"/>
    <d v="2023-06-16T00:00:00"/>
    <d v="2024-06-15T00:00:00"/>
    <s v="MOT-PRD-006"/>
    <s v="MISCELANEOUS CLASS D VEHICLES"/>
    <n v="13058"/>
    <n v="12.498085464849133"/>
    <n v="1632"/>
    <s v="Pune"/>
    <s v="NE"/>
    <s v="NE"/>
    <m/>
    <s v="Azmi Raza"/>
    <s v="Salman Shaikh"/>
    <x v="77"/>
    <n v="3081"/>
    <s v="Rushiraj"/>
    <m/>
    <s v="No"/>
    <m/>
    <m/>
    <s v="NE"/>
  </r>
  <r>
    <x v="2"/>
    <m/>
    <n v="212203"/>
    <s v="CBO 13 N-34 C.PLACE"/>
    <s v="OIC/23-24/965"/>
    <s v="212203/31/2024/530"/>
    <n v="0"/>
    <s v="EAST DELHI MUNICIPAL CORPORATION"/>
    <d v="2023-06-04T00:00:00"/>
    <d v="2024-06-03T00:00:00"/>
    <s v="MOT-PRD-001"/>
    <s v="PRIVATE CAR"/>
    <n v="8512"/>
    <n v="0"/>
    <n v="0"/>
    <s v="Delhi"/>
    <n v="443787"/>
    <s v="0"/>
    <m/>
    <s v="Saurabh Dwivedi"/>
    <s v="Mohit Mendiratta"/>
    <x v="81"/>
    <n v="3075"/>
    <s v="Rushiraj"/>
    <m/>
    <m/>
    <m/>
    <s v="Part"/>
    <s v="Updation  done in Saiba"/>
  </r>
  <r>
    <x v="2"/>
    <m/>
    <n v="212203"/>
    <s v="CBO 13 N-34 C.PLACE"/>
    <s v="OIC/23-24/966"/>
    <s v="212203/31/2024/533"/>
    <n v="0"/>
    <s v="PRASAR BHARTI DOORDARSHAN KENDRA"/>
    <d v="2023-06-05T00:00:00"/>
    <d v="2024-06-04T00:00:00"/>
    <s v="MOT-PRD-001"/>
    <s v="PRIVATE CAR"/>
    <n v="8663"/>
    <n v="0"/>
    <n v="0"/>
    <s v="Delhi"/>
    <n v="443790"/>
    <s v="0"/>
    <m/>
    <s v="Saurabh Dwivedi"/>
    <s v="Mohit Mendiratta"/>
    <x v="81"/>
    <n v="3075"/>
    <s v="Rushiraj"/>
    <m/>
    <m/>
    <m/>
    <s v="Part"/>
    <s v="Updation  done in Saiba"/>
  </r>
  <r>
    <x v="2"/>
    <m/>
    <n v="132500"/>
    <s v="DO - 7"/>
    <s v="OIC/23-24/967"/>
    <s v="132500/48/2024/25"/>
    <n v="0"/>
    <s v="RAKESH S GUPTA"/>
    <d v="2023-06-07T00:00:00"/>
    <d v="2024-06-06T00:00:00"/>
    <s v="MIST-PRD-003"/>
    <s v="PA INDIVIDUAL"/>
    <n v="11275"/>
    <n v="16.505543237250553"/>
    <n v="1861"/>
    <s v="Mumbai"/>
    <n v="442036"/>
    <s v="0"/>
    <m/>
    <s v="Kushal Bhatia"/>
    <s v="Anju Shukla"/>
    <x v="89"/>
    <s v="Invoice in process"/>
    <s v="Rushiraj"/>
    <m/>
    <m/>
    <m/>
    <s v="Excess"/>
    <s v="Invoice in Process"/>
  </r>
  <r>
    <x v="2"/>
    <m/>
    <n v="222105"/>
    <s v="KANPUR DEHAT"/>
    <s v="OIC/23-24/968"/>
    <s v="222105/48/2024/639"/>
    <n v="0"/>
    <s v="RAJEEV SNAIR"/>
    <d v="2023-07-09T00:00:00"/>
    <d v="2024-07-08T00:00:00"/>
    <s v="MIST-PRD-943"/>
    <s v="HAPPY FAMILY FLOATER POLICY-2021"/>
    <n v="33053"/>
    <n v="5.001058905394367"/>
    <n v="1653"/>
    <s v="Mumbai"/>
    <n v="441476"/>
    <s v="0"/>
    <m/>
    <s v="Kushal Bhatia"/>
    <s v="Anju Shukla"/>
    <x v="79"/>
    <n v="3078"/>
    <s v="Rushiraj"/>
    <m/>
    <m/>
    <m/>
    <s v="Part"/>
    <s v="Updation  done in Saiba"/>
  </r>
  <r>
    <x v="2"/>
    <m/>
    <n v="212203"/>
    <s v="CBO 13 N-34 C.PLACE"/>
    <s v="OIC/23-24/969"/>
    <s v="212203/31/2024/672"/>
    <n v="0"/>
    <s v="THE DIRECTOR ANERT"/>
    <d v="2023-06-24T00:00:00"/>
    <d v="2024-06-23T00:00:00"/>
    <s v="MOT-PRD-015"/>
    <s v="STANDALONE OWN DAMAGE(OD)-PRIVATE CAR"/>
    <n v="12728"/>
    <n v="15.006285355122564"/>
    <n v="1910"/>
    <s v="Delhi"/>
    <n v="443971"/>
    <s v="0"/>
    <m/>
    <s v="Saurabh Dwivedi"/>
    <s v="Mohit Mendiratta"/>
    <x v="81"/>
    <n v="3075"/>
    <s v="Rushiraj"/>
    <m/>
    <m/>
    <m/>
    <m/>
    <s v="Updation  done in Saiba"/>
  </r>
  <r>
    <x v="2"/>
    <m/>
    <n v="215600"/>
    <s v="DO 4 NEW DELHI"/>
    <s v="OIC/23-24/970"/>
    <s v="215600/48/2023/1883"/>
    <n v="11"/>
    <s v="HCL INFOSYSTEMS LTD"/>
    <d v="2022-10-01T00:00:00"/>
    <d v="2023-09-30T00:00:00"/>
    <s v="MIST-PRD-890"/>
    <s v="GROUP MEDICLAIM -TAILORMADE-RISK FLOATER"/>
    <n v="-211"/>
    <n v="7.5829383886255926"/>
    <n v="-16"/>
    <s v="Delhi"/>
    <n v="405703"/>
    <s v="NE"/>
    <m/>
    <s v="Abhishek Sharma"/>
    <s v="Ishita Sharma"/>
    <x v="84"/>
    <n v="3076"/>
    <s v="Rushiraj"/>
    <m/>
    <m/>
    <m/>
    <m/>
    <s v="NE"/>
  </r>
  <r>
    <x v="2"/>
    <m/>
    <n v="510000"/>
    <s v="CBRO DELHI"/>
    <s v="OIC/23-24/971"/>
    <s v="510000/48/2023/872"/>
    <n v="12"/>
    <s v="JCB INDUSTRIES PRIVATE LIMITED"/>
    <d v="2022-08-30T00:00:00"/>
    <d v="2023-05-31T00:00:00"/>
    <s v="MIST-PRD-890"/>
    <s v="GROUP MEDICLAIM -TAILORMADE-RISK FLOATER"/>
    <n v="18827"/>
    <n v="0"/>
    <n v="0"/>
    <s v="Delhi"/>
    <n v="387302"/>
    <s v="NE"/>
    <m/>
    <s v="Sonia Schofield"/>
    <s v="Vikas Saxena"/>
    <x v="77"/>
    <n v="3081"/>
    <s v="Rushiraj"/>
    <m/>
    <m/>
    <m/>
    <m/>
    <s v="NE"/>
  </r>
  <r>
    <x v="2"/>
    <m/>
    <n v="222105"/>
    <s v="KANPUR DEHAT"/>
    <s v="OIC/23-24/972"/>
    <s v="222105/48/2024/653"/>
    <n v="0"/>
    <s v="JITENDER SHARMA"/>
    <d v="2023-07-01T00:00:00"/>
    <d v="2024-06-30T00:00:00"/>
    <s v="MIST-PRD-943"/>
    <s v="HAPPY FAMILY FLOATER POLICY-2021"/>
    <n v="46462"/>
    <n v="4.9997847703499634"/>
    <n v="2323"/>
    <s v="Delhi"/>
    <s v="NE"/>
    <s v="NE"/>
    <m/>
    <s v="Kushal Bhatia"/>
    <s v="Ankit Kumar Gangwar"/>
    <x v="79"/>
    <n v="3078"/>
    <s v="Rushiraj"/>
    <m/>
    <s v="No"/>
    <m/>
    <m/>
    <s v="NE"/>
  </r>
  <r>
    <x v="2"/>
    <m/>
    <n v="212203"/>
    <s v="CBO 13 N-34 C.PLACE"/>
    <s v="OIC/23-24/973"/>
    <s v="212203/31/2024/629"/>
    <n v="1"/>
    <s v="GURUGRAM METROPOLITAN DEVELOPMENT A"/>
    <d v="2023-07-09T00:00:00"/>
    <d v="2023-07-09T00:00:00"/>
    <s v="MOT-PRD-001"/>
    <s v="PRIVATE CAR"/>
    <n v="-12919"/>
    <n v="13.824599427200248"/>
    <n v="-1786"/>
    <s v="Delhi"/>
    <s v="NE"/>
    <s v="NE"/>
    <m/>
    <s v="Suspense"/>
    <s v="Suspense"/>
    <x v="81"/>
    <n v="3075"/>
    <s v="Rushiraj"/>
    <m/>
    <m/>
    <m/>
    <m/>
    <s v="NE"/>
  </r>
  <r>
    <x v="2"/>
    <m/>
    <n v="163600"/>
    <s v="DO IV PUNE"/>
    <s v="OIC/23-24/974"/>
    <s v="163600/21/2024/8"/>
    <n v="0"/>
    <s v="RATHI DYE CHEM (P) LTD"/>
    <d v="2023-06-26T00:00:00"/>
    <m/>
    <s v="MC-PRD-001"/>
    <s v="MARINE CARGO - SINGLE VOYAGE (INLAND TRANSIT) POLICY"/>
    <n v="5848"/>
    <n v="20.00683994528044"/>
    <n v="1170"/>
    <s v="Pune"/>
    <s v="NE"/>
    <s v="NE"/>
    <m/>
    <s v="Smita Lokapure"/>
    <s v="Vishal Sushil Pachisia"/>
    <x v="83"/>
    <n v="3090"/>
    <s v="Rushiraj"/>
    <m/>
    <s v="No"/>
    <m/>
    <m/>
    <s v="NE"/>
  </r>
  <r>
    <x v="2"/>
    <m/>
    <n v="161800"/>
    <s v="DO CHINCHWAD"/>
    <s v="OIC/23-24/975"/>
    <s v="161800/48/2023/1961"/>
    <n v="7"/>
    <s v="GKN SINTER METALS PRIVATE LIMITED"/>
    <d v="2022-10-04T00:00:00"/>
    <d v="2023-10-03T00:00:00"/>
    <s v="MIST-PRD-890"/>
    <s v="GROUP MEDICLAIM -TAILORMADE-RISK FLOATER"/>
    <n v="-92241"/>
    <n v="7.5000054205830384"/>
    <n v="-6918.08"/>
    <s v="Pune"/>
    <n v="403493"/>
    <s v="NE"/>
    <m/>
    <s v="Amarjeet Sahu"/>
    <s v="Shahaji Dhage"/>
    <x v="90"/>
    <n v="3101"/>
    <s v="Rushiraj"/>
    <m/>
    <m/>
    <m/>
    <m/>
    <s v="NE"/>
  </r>
  <r>
    <x v="2"/>
    <m/>
    <n v="161800"/>
    <s v="DO CHINCHWAD"/>
    <s v="OIC/23-24/976"/>
    <s v="161800/48/2023/1961"/>
    <n v="6"/>
    <s v="GKN SINTER METALS PRIVATE LIMITED"/>
    <d v="2022-10-04T00:00:00"/>
    <d v="2023-10-03T00:00:00"/>
    <s v="MIST-PRD-890"/>
    <s v="GROUP MEDICLAIM -TAILORMADE-RISK FLOATER"/>
    <n v="58872"/>
    <n v="7.4999999999999991"/>
    <n v="4415.3999999999996"/>
    <s v="Pune"/>
    <n v="403493"/>
    <s v="NE"/>
    <m/>
    <s v="Amarjeet Sahu"/>
    <s v="Shahaji Dhage"/>
    <x v="90"/>
    <n v="3101"/>
    <s v="Rushiraj"/>
    <m/>
    <m/>
    <m/>
    <m/>
    <s v="NE"/>
  </r>
  <r>
    <x v="2"/>
    <m/>
    <n v="272200"/>
    <s v="DO 3 NEW DELHI"/>
    <s v="OIC/23-24/977"/>
    <s v="272200/48/2024/809"/>
    <n v="0"/>
    <s v="SUNITA SINGH"/>
    <d v="2023-06-24T00:00:00"/>
    <d v="2024-06-23T00:00:00"/>
    <s v="MIST-PRD-943"/>
    <s v="HAPPY FAMILY FLOATER POLICY-2021"/>
    <n v="16055"/>
    <n v="14.998442852693863"/>
    <n v="2408"/>
    <s v="Delhi"/>
    <n v="442896"/>
    <s v="0"/>
    <m/>
    <s v="Kushal Bhatia"/>
    <s v="Navneet Arora"/>
    <x v="87"/>
    <n v="3079"/>
    <s v="Rushiraj"/>
    <m/>
    <m/>
    <m/>
    <m/>
    <s v="Updation  done in Saiba"/>
  </r>
  <r>
    <x v="2"/>
    <m/>
    <n v="272200"/>
    <s v="DO 3 NEW DELHI"/>
    <s v="OIC/23-24/978"/>
    <s v="272200/31/2024/437"/>
    <n v="0"/>
    <s v=" HINDUSTAN ZINC LTD"/>
    <d v="2023-06-30T00:00:00"/>
    <d v="2024-06-29T00:00:00"/>
    <s v="MOT-PRD-006"/>
    <s v="MISCELANEOUS CLASS D VEHICLES"/>
    <n v="13492"/>
    <n v="12.496294100207532"/>
    <n v="1686"/>
    <s v="Ludhiana"/>
    <n v="442913"/>
    <s v="0"/>
    <m/>
    <s v="Anil Patil"/>
    <s v="Manisha Kirdkude"/>
    <x v="87"/>
    <n v="3079"/>
    <s v="Rushiraj"/>
    <m/>
    <m/>
    <m/>
    <s v="Excess"/>
    <s v="Updation  done in Saiba"/>
  </r>
  <r>
    <x v="2"/>
    <m/>
    <n v="540000"/>
    <s v="CBO BANGALORE"/>
    <s v="OIC/23-24/940"/>
    <s v="421300/48/2023/1353"/>
    <n v="6"/>
    <s v="CREATIVE SYNERGIES CONSULTING INDIA PVT LTD"/>
    <d v="2022-11-25T00:00:00"/>
    <d v="2023-11-24T00:00:00"/>
    <s v="MIST-PRD-890"/>
    <s v="GROUP MEDICLAIM -TAILORMADE-RISK FLOATER"/>
    <n v="35204"/>
    <n v="4"/>
    <n v="1408.16"/>
    <s v="Bangalore"/>
    <n v="430778"/>
    <s v="E5"/>
    <m/>
    <s v="Jaya Chitra.M"/>
    <s v="Aiyappa Parivaranayaka Mahadeva"/>
    <x v="78"/>
    <n v="3123"/>
    <s v="Rushiraj"/>
    <m/>
    <m/>
    <m/>
    <m/>
    <s v="Updation done in saiba"/>
  </r>
  <r>
    <x v="2"/>
    <m/>
    <n v="540000"/>
    <s v="CBO BANGALORE"/>
    <s v="OIC/23-24/980"/>
    <s v="421300/48/2023/1048"/>
    <n v="6"/>
    <s v="WAFER SPACE SEMICONDUCTOR TECHNOLOGIES PVT LTD"/>
    <d v="2022-09-08T00:00:00"/>
    <d v="2023-09-07T00:00:00"/>
    <s v="MIST-PRD-890"/>
    <s v="GROUP MEDICLAIM -TAILORMADE-RISK FLOATER"/>
    <n v="22043"/>
    <n v="7.5000226829378942"/>
    <n v="1653.23"/>
    <s v="Bangalore"/>
    <n v="404320"/>
    <s v="NE"/>
    <m/>
    <s v="Jaya Chitra.M"/>
    <s v="Deep Shikha"/>
    <x v="78"/>
    <n v="3123"/>
    <s v="Rushiraj"/>
    <m/>
    <m/>
    <m/>
    <m/>
    <s v="NE"/>
  </r>
  <r>
    <x v="2"/>
    <m/>
    <n v="212203"/>
    <s v="CBO 13 N-34 C.PLACE"/>
    <s v="OIC/23-24/981"/>
    <s v="212203/31/2024/687"/>
    <n v="1"/>
    <s v="LESSEE POWER GRID CORPORATION OF INDIA LTD"/>
    <d v="2023-06-20T00:00:00"/>
    <d v="2023-06-20T00:00:00"/>
    <s v="MOT-PRD-012"/>
    <s v="PRIVATE CAR-(3 Years)"/>
    <n v="-9682"/>
    <n v="14.996901466639125"/>
    <n v="-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414890"/>
    <s v="BC  SINGAPERUMAL KOIL"/>
    <s v="OIC/23-24/982"/>
    <s v="414890/31/2024/603"/>
    <n v="0"/>
    <s v="JOYSON ANAND ABHISHEK SAFETY SYSTEMS PVT LTD"/>
    <d v="2023-06-24T00:00:00"/>
    <d v="2024-06-23T00:00:00"/>
    <s v="MOT-PRD-006"/>
    <s v="MISCELANEOUS CLASS D VEHICLES"/>
    <n v="9876"/>
    <n v="12.494937221547184"/>
    <n v="1234"/>
    <s v="Chennai"/>
    <n v="439844"/>
    <s v="0"/>
    <m/>
    <s v="Meiyappan M"/>
    <s v="Raghunathan S"/>
    <x v="91"/>
    <n v="3071"/>
    <s v="Rushiraj"/>
    <m/>
    <m/>
    <m/>
    <s v="Excess"/>
    <s v="Updation  done in Saiba"/>
  </r>
  <r>
    <x v="2"/>
    <m/>
    <n v="510000"/>
    <s v="CBRO DELHI"/>
    <s v="OIC/23-24/983"/>
    <s v="510000/11/2024/122"/>
    <n v="0"/>
    <s v="ARTEMIS MEDICARE SERVICES LIMITED"/>
    <d v="2023-06-12T00:00:00"/>
    <d v="2024-06-11T00:00:00"/>
    <s v="FIR-PRD-006"/>
    <s v="STANDARD FIRE -- New Tariff"/>
    <n v="3936183"/>
    <n v="13.890741360348336"/>
    <n v="546765"/>
    <s v="Delhi"/>
    <n v="441887"/>
    <s v="0"/>
    <m/>
    <s v="Hemant Kumar Gupta"/>
    <s v="Namit Malhotra"/>
    <x v="77"/>
    <n v="3081"/>
    <s v="Rushiraj"/>
    <m/>
    <m/>
    <m/>
    <s v="Excess"/>
    <s v="Updation  done in Saiba"/>
  </r>
  <r>
    <x v="2"/>
    <m/>
    <n v="132000"/>
    <s v="DO JOGESHWARI"/>
    <s v="OIC/23-24/984"/>
    <s v="132000/11/2022/408"/>
    <n v="4"/>
    <s v=" Allied Blender &amp; Distillers Pvt Ltd"/>
    <d v="2021-09-02T00:00:00"/>
    <d v="2022-09-01T00:00:00"/>
    <s v="FIR-PRD-009"/>
    <s v="ORIENTAL BHARAT LAGHU UDYAM SURAKSHA POLICY"/>
    <n v="-81873"/>
    <n v="10.446667399508996"/>
    <n v="-8553"/>
    <s v="Mumbai"/>
    <n v="360471"/>
    <s v="NE"/>
    <m/>
    <s v="Susmeet Kaur"/>
    <s v="Pooja Yadav"/>
    <x v="80"/>
    <n v="3100"/>
    <s v="Rushiraj"/>
    <m/>
    <m/>
    <m/>
    <m/>
    <s v="NE"/>
  </r>
  <r>
    <x v="2"/>
    <m/>
    <n v="222105"/>
    <s v="KANPUR DEHAT"/>
    <s v="OIC/23-24/985"/>
    <s v="222105/48/2024/616"/>
    <n v="0"/>
    <s v="SANNE GANGADHAR"/>
    <d v="2023-06-26T00:00:00"/>
    <d v="2024-06-25T00:00:00"/>
    <s v="MIST-PRD-943"/>
    <s v="HAPPY FAMILY FLOATER POLICY-2021"/>
    <n v="32126"/>
    <n v="15.00031127435722"/>
    <n v="4819"/>
    <s v="Delhi"/>
    <n v="442901"/>
    <s v="0"/>
    <m/>
    <s v="Kushal Bhatia"/>
    <s v="Navneet Arora"/>
    <x v="79"/>
    <n v="3078"/>
    <s v="Rushiraj"/>
    <m/>
    <m/>
    <m/>
    <m/>
    <s v="Updation  done in Saiba"/>
  </r>
  <r>
    <x v="2"/>
    <m/>
    <n v="441202"/>
    <s v="BO NEYYATINKARA"/>
    <s v="OIC/23-24/986"/>
    <s v="441202/48/2023/727"/>
    <n v="15"/>
    <s v="TECHVERSANT INFOTECH PRIVATE LIMITED"/>
    <d v="2022-10-17T00:00:00"/>
    <d v="2023-10-16T00:00:00"/>
    <s v="MIST-PRD-890"/>
    <s v="GROUP MEDICLAIM -TAILORMADE-RISK FLOATER"/>
    <n v="52"/>
    <n v="5.7692307692307692"/>
    <n v="3"/>
    <s v="Chennai"/>
    <n v="405682"/>
    <s v="NE"/>
    <m/>
    <s v="Balakrishnan M"/>
    <s v="Balakrishnan.G"/>
    <x v="92"/>
    <n v="3072"/>
    <s v="Rushiraj"/>
    <m/>
    <m/>
    <m/>
    <m/>
    <s v="NE"/>
  </r>
  <r>
    <x v="2"/>
    <m/>
    <n v="540000"/>
    <s v="CBO BANGALORE"/>
    <s v="OIC/23-24/987"/>
    <s v="421300/48/2023/753"/>
    <n v="8"/>
    <s v="AUMA INDIA PRIVATE LIMITED"/>
    <d v="2022-08-10T00:00:00"/>
    <d v="2023-08-09T00:00:00"/>
    <s v="MIST-PRD-890"/>
    <s v="GROUP MEDICLAIM -TAILORMADE-RISK FLOATER"/>
    <n v="36030"/>
    <n v="6.9999999999999991"/>
    <n v="2522.1"/>
    <s v="Bangalore"/>
    <n v="423936"/>
    <s v="E3"/>
    <m/>
    <s v="Arun Kumar G.E."/>
    <s v="Karthik Rajappa"/>
    <x v="78"/>
    <n v="3123"/>
    <s v="Rushiraj"/>
    <m/>
    <m/>
    <m/>
    <s v="Part"/>
    <s v="Updation  done in Saiba"/>
  </r>
  <r>
    <x v="2"/>
    <m/>
    <n v="215600"/>
    <s v="DO 4 NEW DELHI"/>
    <s v="OIC/23-24/988"/>
    <s v="215600/48/2024/664"/>
    <n v="0"/>
    <s v="Lumax Ancillary Ltd"/>
    <d v="2023-04-01T00:00:00"/>
    <d v="2024-03-31T00:00:00"/>
    <s v="MIST-PRD-061"/>
    <s v="All RISK"/>
    <n v="2325"/>
    <n v="12.516129032258064"/>
    <n v="291"/>
    <s v="Delhi"/>
    <n v="430565"/>
    <s v="0"/>
    <m/>
    <s v="Rohit Kumar Mendiratta"/>
    <s v="Prince Tayal"/>
    <x v="84"/>
    <n v="3076"/>
    <s v="Rushiraj"/>
    <m/>
    <m/>
    <m/>
    <m/>
    <s v="Updation  done in Saiba"/>
  </r>
  <r>
    <x v="2"/>
    <m/>
    <n v="212203"/>
    <s v="CBO 13 N-34 C.PLACE"/>
    <s v="OIC/23-24/989"/>
    <s v="212203/31/2024/569"/>
    <n v="0"/>
    <s v="LESSEE:AC(HQ) SOUTH DELHI M CORP"/>
    <d v="2023-06-07T00:00:00"/>
    <d v="2024-06-06T00:00:00"/>
    <s v="MOT-PRD-001"/>
    <s v="PRIVATE CAR"/>
    <n v="8706"/>
    <n v="13.26671261199173"/>
    <n v="1155"/>
    <s v="Delhi"/>
    <n v="443814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990"/>
    <s v="212203/31/2024/557"/>
    <n v="0"/>
    <s v="LESSEE:AC(HQ) SOUTH DELHI M CORP"/>
    <d v="2023-06-07T00:00:00"/>
    <d v="2024-06-06T00:00:00"/>
    <s v="MOT-PRD-001"/>
    <s v="PRIVATE CAR"/>
    <n v="3690"/>
    <n v="10.894308943089431"/>
    <n v="402"/>
    <s v="Delhi"/>
    <n v="443802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991"/>
    <s v="212203/31/2024/572"/>
    <n v="0"/>
    <s v="ENERGY EFFICIENCY SERVICES LIMITED"/>
    <d v="2023-06-07T00:00:00"/>
    <d v="2024-06-06T00:00:00"/>
    <s v="MOT-PRD-001"/>
    <s v="PRIVATE CAR"/>
    <n v="9689"/>
    <n v="13.437919289916399"/>
    <n v="1302"/>
    <s v="Delhi"/>
    <n v="443817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992"/>
    <s v="212203/31/2024/562"/>
    <n v="0"/>
    <s v="LESSEE:AC(HQ) SOUTH DELHI M CORP"/>
    <d v="2023-06-07T00:00:00"/>
    <d v="2024-06-06T00:00:00"/>
    <s v="MOT-PRD-001"/>
    <s v="PRIVATE CAR"/>
    <n v="3690"/>
    <n v="10.894308943089431"/>
    <n v="402"/>
    <s v="Delhi"/>
    <n v="443807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993"/>
    <s v="510000/48/2024/410"/>
    <n v="0"/>
    <s v="JCB INDIA LIMITED"/>
    <d v="2023-06-27T00:00:00"/>
    <d v="2024-05-31T00:00:00"/>
    <s v="MIST-PRD-751"/>
    <s v="BURGLARY"/>
    <n v="500"/>
    <n v="12.6"/>
    <n v="63"/>
    <s v="Delhi"/>
    <n v="0"/>
    <n v="0"/>
    <m/>
    <s v="Darvesh Panchal"/>
    <s v="Rohit Kumar Mehndiratta"/>
    <x v="77"/>
    <n v="3081"/>
    <s v="Rushiraj"/>
    <m/>
    <s v="No"/>
    <m/>
    <m/>
    <s v="Updation done in saiba"/>
  </r>
  <r>
    <x v="2"/>
    <m/>
    <n v="222105"/>
    <s v="KANPUR DEHAT"/>
    <s v="OIC/23-24/994"/>
    <s v="222105/48/2024/513"/>
    <n v="0"/>
    <s v="MS MAHVISH ASHRAF"/>
    <d v="2023-06-22T00:00:00"/>
    <d v="2024-06-21T00:00:00"/>
    <s v="MIST-PRD-094"/>
    <s v="ORIENTAL MEDICLAIM INSURANCE POLICY(INDIVIDUAL)"/>
    <n v="9352"/>
    <n v="30.004277159965785"/>
    <n v="2806"/>
    <s v="Delhi"/>
    <n v="440113"/>
    <s v="0"/>
    <m/>
    <s v="Kushal Bhatia"/>
    <s v="Navneet Arora"/>
    <x v="79"/>
    <n v="3078"/>
    <s v="Rushiraj"/>
    <m/>
    <m/>
    <m/>
    <s v="Excess"/>
    <s v="Updation  done in Saiba"/>
  </r>
  <r>
    <x v="2"/>
    <m/>
    <n v="212200"/>
    <s v="NEW DELHI DO 10"/>
    <s v="OIC/23-24/995"/>
    <s v="212200/11/2024/32"/>
    <n v="0"/>
    <s v=" EXCEL PACK PVT LTD"/>
    <d v="2023-06-15T00:00:00"/>
    <d v="2024-06-14T00:00:00"/>
    <s v="FIR-PRD-009"/>
    <s v="ORIENTAL BHARAT LAGHU UDYAM SURAKSHA POLICY"/>
    <n v="166296"/>
    <n v="17.297469572328858"/>
    <n v="28765"/>
    <s v="Delhi"/>
    <s v="NE"/>
    <s v="NE"/>
    <m/>
    <s v="Aradhana Dwivedi"/>
    <s v="Amit Wali"/>
    <x v="82"/>
    <n v="3074"/>
    <s v="Rushiraj"/>
    <m/>
    <s v="No"/>
    <m/>
    <m/>
    <s v="NE"/>
  </r>
  <r>
    <x v="2"/>
    <m/>
    <n v="510000"/>
    <s v="CBRO DELHI"/>
    <s v="OIC/23-24/996"/>
    <s v="510000/48/2024/51"/>
    <n v="2"/>
    <s v="LADY BAMFORD CHARITABLE TRUST"/>
    <d v="2023-04-18T00:00:00"/>
    <d v="2024-03-17T00:00:00"/>
    <s v="MIST-PRD-890"/>
    <s v="GROUP MEDICLAIM -TAILORMADE-RISK FLOATER"/>
    <n v="27762"/>
    <n v="7.5"/>
    <n v="2082.15"/>
    <s v="Delhi"/>
    <n v="428430"/>
    <s v="NE"/>
    <m/>
    <s v="Sarfuddin Ansari"/>
    <s v="Gagan Sharma"/>
    <x v="77"/>
    <n v="3081"/>
    <s v="Rushiraj"/>
    <m/>
    <m/>
    <m/>
    <m/>
    <s v="NE"/>
  </r>
  <r>
    <x v="2"/>
    <m/>
    <n v="510000"/>
    <s v="CBRO DELHI"/>
    <s v="OIC/23-24/997"/>
    <s v="510000/11/2024/121"/>
    <n v="0"/>
    <s v="JCB INDIA LTD"/>
    <d v="2023-06-01T00:00:00"/>
    <d v="2024-05-31T00:00:00"/>
    <s v="FIR-PRD-003"/>
    <s v="INDUSTRIAL ALL RISK POLICY"/>
    <n v="16932527"/>
    <n v="16.500006171553721"/>
    <n v="2793868"/>
    <s v="Pune"/>
    <n v="441862"/>
    <s v="0"/>
    <m/>
    <s v="Darvesh Panchal"/>
    <s v="Rohit Kumar Mehndiratta"/>
    <x v="77"/>
    <n v="3081"/>
    <s v="Rushiraj"/>
    <m/>
    <m/>
    <m/>
    <s v="Excess"/>
    <s v="Updation  done in Saiba"/>
  </r>
  <r>
    <x v="2"/>
    <m/>
    <n v="510000"/>
    <s v="CBRO DELHI"/>
    <s v="OIC/23-24/998"/>
    <s v="510000/11/2024/105"/>
    <n v="0"/>
    <s v="JCB POWER PRODUCTS INDIA PVT LTD"/>
    <d v="2023-06-01T00:00:00"/>
    <d v="2024-05-31T00:00:00"/>
    <s v="FIR-PRD-010"/>
    <s v="ORIENTAL BHARAT SOOKSHMA UDYAM SURAKSHA POLICY"/>
    <n v="16239"/>
    <n v="15.992364061826468"/>
    <n v="2597"/>
    <s v="Delhi"/>
    <s v="NE"/>
    <s v="NE"/>
    <m/>
    <s v="Darvesh Panchal"/>
    <s v="Rohit Kumar Mehndiratta"/>
    <x v="77"/>
    <n v="3081"/>
    <s v="Rushiraj"/>
    <m/>
    <s v="No"/>
    <m/>
    <m/>
    <s v="NE"/>
  </r>
  <r>
    <x v="2"/>
    <m/>
    <n v="431500"/>
    <s v="DO IV HYDERABAD"/>
    <s v="OIC/23-24/999"/>
    <s v="431500/48/2023/3633"/>
    <n v="5"/>
    <s v="WAVEMAKER INDIA PRIVATE LIMITED"/>
    <d v="2023-03-12T00:00:00"/>
    <d v="2024-03-11T00:00:00"/>
    <s v="MIST-PRD-001"/>
    <s v="GPA - NAMED"/>
    <n v="-679"/>
    <n v="7.5007363770250368"/>
    <n v="-50.93"/>
    <s v="Hyderabad"/>
    <n v="424818"/>
    <s v="NE"/>
    <m/>
    <s v="Prasanna Vadhana"/>
    <s v="Manisha Marda"/>
    <x v="93"/>
    <n v="3082"/>
    <s v="Rushiraj"/>
    <m/>
    <m/>
    <m/>
    <m/>
    <s v="NE"/>
  </r>
  <r>
    <x v="2"/>
    <m/>
    <n v="442600"/>
    <s v="DO  THODUPUZHA"/>
    <s v="OIC/23-24/1000"/>
    <s v="442600/11/2024/25"/>
    <n v="0"/>
    <s v=" Epsilon Carbon Pvt Ltd"/>
    <d v="2023-06-01T00:00:00"/>
    <d v="2023-08-31T00:00:00"/>
    <s v="FIR-PRD-012"/>
    <s v="ORIENTAL INSURANCE - FLEXI BHARAT LAGHU UDYAM SURAKSHA"/>
    <n v="60855"/>
    <n v="21.999835674965084"/>
    <n v="13388"/>
    <s v="Mumbai"/>
    <s v="NE"/>
    <s v="NE"/>
    <m/>
    <s v="Susmeet Kaur"/>
    <s v="Pooja Yadav"/>
    <x v="94"/>
    <n v="3073"/>
    <s v="Rushiraj"/>
    <m/>
    <s v="No"/>
    <m/>
    <m/>
    <s v="NE"/>
  </r>
  <r>
    <x v="2"/>
    <m/>
    <n v="510000"/>
    <s v="CBRO DELHI"/>
    <s v="OIC/23-24/1001"/>
    <s v="510000/48/2023/641"/>
    <n v="13"/>
    <s v="SUTHERLAND GLOBAL SERVICES PRIVATE LIMITED"/>
    <d v="2022-07-08T00:00:00"/>
    <d v="2023-07-07T00:00:00"/>
    <s v="MIST-PRD-890"/>
    <s v="GROUP MEDICLAIM -TAILORMADE-RISK FLOATER"/>
    <n v="38082"/>
    <n v="2.4998687043747703"/>
    <n v="952"/>
    <s v="Chennai"/>
    <n v="398818"/>
    <s v="NE"/>
    <m/>
    <s v="Payal Batra"/>
    <s v="Aas Mohammad"/>
    <x v="77"/>
    <n v="3081"/>
    <s v="Rushiraj"/>
    <m/>
    <m/>
    <m/>
    <m/>
    <s v="NE"/>
  </r>
  <r>
    <x v="2"/>
    <m/>
    <n v="421100"/>
    <s v="CBU Bangalore"/>
    <s v="OIC/23-24/1002"/>
    <s v="421100/48/2024/199"/>
    <n v="0"/>
    <s v="INFOSTRETCH CORPORATION INDIA PRIVATE LIMITED"/>
    <d v="2023-05-01T00:00:00"/>
    <d v="2024-04-30T00:00:00"/>
    <s v="MIST-PRD-890"/>
    <s v="GROUP MEDICLAIM -TAILORMADE-RISK FLOATER"/>
    <n v="4162162"/>
    <n v="4.999997597402503"/>
    <n v="208108"/>
    <s v="Pune"/>
    <n v="444219"/>
    <n v="0"/>
    <m/>
    <s v="Sheetal Gurav"/>
    <s v="Renny Ignatius Peter"/>
    <x v="95"/>
    <n v="3065"/>
    <s v="Rushiraj"/>
    <m/>
    <s v="No"/>
    <m/>
    <m/>
    <s v="Updation done in saiba"/>
  </r>
  <r>
    <x v="2"/>
    <m/>
    <n v="510000"/>
    <s v="CBRO DELHI"/>
    <s v="OIC/23-24/1003"/>
    <s v="510000/48/2023/1561"/>
    <n v="3"/>
    <s v="DENTSU ADVERTISING AND MEDIA SERVICES INDIA PRIVATE LIMITED"/>
    <d v="2023-01-12T00:00:00"/>
    <d v="2023-12-31T00:00:00"/>
    <s v="MIST-PRD-890"/>
    <s v="GROUP MEDICLAIM -TAILORMADE-RISK FLOATER"/>
    <n v="26665"/>
    <n v="5"/>
    <n v="1333.25"/>
    <s v="Delhi"/>
    <n v="430579"/>
    <s v="NE"/>
    <m/>
    <s v="Amit Pandey"/>
    <s v="Niladri Mangal Choudhury"/>
    <x v="77"/>
    <n v="3081"/>
    <s v="Rushiraj"/>
    <m/>
    <m/>
    <m/>
    <m/>
    <s v="NE"/>
  </r>
  <r>
    <x v="2"/>
    <m/>
    <n v="540000"/>
    <s v="CBO BANGALORE"/>
    <s v="OIC/23-24/1004"/>
    <s v="421300/48/2024/396"/>
    <n v="1"/>
    <s v="WAFER SPACE SEMICONDUCTOR TECHNOLOGIES PVT LTD"/>
    <d v="2023-04-17T00:00:00"/>
    <d v="2024-04-16T00:00:00"/>
    <s v="MIST-PRD-890"/>
    <s v="GROUP MEDICLAIM -TAILORMADE-RISK FLOATER"/>
    <n v="1375000"/>
    <n v="7.5"/>
    <n v="103125"/>
    <s v="Bangalore"/>
    <n v="441188"/>
    <s v="0"/>
    <m/>
    <s v="Jaya Chitra.M"/>
    <s v="Deep Shikha"/>
    <x v="78"/>
    <n v="3123"/>
    <s v="Rushiraj"/>
    <m/>
    <m/>
    <m/>
    <m/>
    <s v="Saiba Error"/>
  </r>
  <r>
    <x v="2"/>
    <m/>
    <n v="510000"/>
    <s v="CBRO DELHI"/>
    <s v="OIC/23-24/1005"/>
    <s v="510000/48/2023/1609"/>
    <n v="2"/>
    <s v="DENTSU WEBCHUTNEY PRIVATE LIMITED"/>
    <d v="2023-02-03T00:00:00"/>
    <d v="2024-02-02T00:00:00"/>
    <s v="MIST-PRD-890"/>
    <s v="GROUP MEDICLAIM -TAILORMADE-RISK FLOATER"/>
    <n v="2422"/>
    <n v="0.5"/>
    <n v="12.11"/>
    <s v="Delhi"/>
    <n v="434025"/>
    <s v="NE"/>
    <m/>
    <s v="Amit Pandey"/>
    <s v="Niladri Mangal Choudhury"/>
    <x v="77"/>
    <n v="3081"/>
    <s v="Rushiraj"/>
    <m/>
    <m/>
    <m/>
    <m/>
    <s v="NE"/>
  </r>
  <r>
    <x v="2"/>
    <m/>
    <n v="540000"/>
    <s v="CBO BANGALORE"/>
    <s v="OIC/23-24/979"/>
    <s v="421300/48/2023/1150"/>
    <n v="4"/>
    <s v="ATRIA CONVERGENCE TECHNOLOGIES LIMITED"/>
    <d v="2022-12-01T00:00:00"/>
    <d v="2023-11-30T00:00:00"/>
    <s v="MIST-PRD-001"/>
    <s v="GPA - NAMED"/>
    <n v="-161"/>
    <n v="7.4534161490683228"/>
    <n v="-12"/>
    <s v="Bangalore"/>
    <n v="414345"/>
    <s v="E4"/>
    <m/>
    <s v="Jayachitra M"/>
    <s v="Vinod Kumar Heggadadevanapura Thammaiah"/>
    <x v="78"/>
    <n v="3123"/>
    <s v="Rushiraj"/>
    <m/>
    <m/>
    <m/>
    <m/>
    <s v="Updation done in saiba"/>
  </r>
  <r>
    <x v="2"/>
    <m/>
    <n v="212203"/>
    <s v="CBO 13 N-34 C.PLACE"/>
    <s v="OIC/23-24/1007"/>
    <s v="212203/31/2024/534"/>
    <n v="0"/>
    <s v="PRASAR BHARTI DOORDARSHAN KENDRA"/>
    <d v="2023-06-05T00:00:00"/>
    <d v="2024-06-04T00:00:00"/>
    <s v="MOT-PRD-001"/>
    <s v="PRIVATE CAR"/>
    <n v="8471"/>
    <n v="0"/>
    <n v="0"/>
    <s v="Delhi"/>
    <n v="443791"/>
    <s v="0"/>
    <m/>
    <s v="Saurabh Dwivedi"/>
    <s v="Mohit Mendiratta"/>
    <x v="81"/>
    <n v="3075"/>
    <s v="Rushiraj"/>
    <m/>
    <m/>
    <m/>
    <s v="Part"/>
    <s v="Updation  done in Saiba"/>
  </r>
  <r>
    <x v="2"/>
    <m/>
    <n v="212203"/>
    <s v="CBO 13 N-34 C.PLACE"/>
    <s v="OIC/23-24/1008"/>
    <s v="212203/31/2024/590"/>
    <n v="0"/>
    <s v="TRANSLATIONAL H S T I"/>
    <d v="2023-06-09T00:00:00"/>
    <d v="2024-06-08T00:00:00"/>
    <s v="MOT-PRD-015"/>
    <s v="STANDALONE OWN DAMAGE(OD)-PRIVATE CAR"/>
    <n v="8851"/>
    <n v="14.992656197039882"/>
    <n v="1327"/>
    <s v="Delhi"/>
    <n v="443959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009"/>
    <s v="212203/31/2024/733"/>
    <n v="0"/>
    <s v="THE DIRECTOR ANERT"/>
    <d v="2023-06-28T00:00:00"/>
    <d v="2024-06-27T00:00:00"/>
    <s v="MOT-PRD-015"/>
    <s v="STANDALONE OWN DAMAGE(OD)-PRIVATE CAR"/>
    <n v="8871"/>
    <n v="14.99267275391726"/>
    <n v="1330"/>
    <s v="Delhi"/>
    <n v="443974"/>
    <s v="0"/>
    <m/>
    <s v="Saurabh Dwivedi"/>
    <s v="Mohit Mendiratta"/>
    <x v="81"/>
    <n v="3075"/>
    <s v="Rushiraj"/>
    <m/>
    <m/>
    <m/>
    <m/>
    <s v="Updation  done in Saiba"/>
  </r>
  <r>
    <x v="2"/>
    <m/>
    <n v="132000"/>
    <s v="DO JOGESHWARI"/>
    <s v="OIC/23-24/1010"/>
    <s v="132000/11/2022/409"/>
    <n v="3"/>
    <s v=" Allied Blender &amp; Distillers Pvt Ltd"/>
    <d v="2021-09-02T00:00:00"/>
    <d v="2022-09-01T00:00:00"/>
    <s v="FIR-PRD-009"/>
    <s v="ORIENTAL BHARAT LAGHU UDYAM SURAKSHA POLICY"/>
    <n v="-68208"/>
    <n v="10.105852685901946"/>
    <n v="-6893"/>
    <s v="Mumbai"/>
    <n v="360468"/>
    <s v="NE"/>
    <m/>
    <s v="Susmeet Kaur"/>
    <s v="Pooja Yadav"/>
    <x v="80"/>
    <n v="3100"/>
    <s v="Rushiraj"/>
    <m/>
    <m/>
    <m/>
    <m/>
    <s v="NE"/>
  </r>
  <r>
    <x v="2"/>
    <m/>
    <n v="510000"/>
    <s v="CBRO DELHI"/>
    <s v="OIC/23-24/1011"/>
    <s v="510000/48/2023/752"/>
    <n v="16"/>
    <s v="JCB INDIA LTD"/>
    <d v="2022-06-01T00:00:00"/>
    <d v="2023-05-31T00:00:00"/>
    <s v="MIST-PRD-890"/>
    <s v="GROUP MEDICLAIM -TAILORMADE-RISK FLOATER"/>
    <n v="46903"/>
    <n v="0"/>
    <n v="0"/>
    <s v="Pune"/>
    <n v="402796"/>
    <s v="NE"/>
    <m/>
    <s v="Atul Chordiya"/>
    <s v="Amit Rokade"/>
    <x v="77"/>
    <n v="3081"/>
    <s v="Rushiraj"/>
    <m/>
    <m/>
    <m/>
    <m/>
    <s v="NE"/>
  </r>
  <r>
    <x v="2"/>
    <m/>
    <n v="212203"/>
    <s v="CBO 13 N-34 C.PLACE"/>
    <s v="OIC/23-24/1012"/>
    <s v="212203/31/2024/565"/>
    <n v="0"/>
    <s v="LESSEE:AC(HQ) SOUTH DELHI M CORP"/>
    <d v="2023-06-07T00:00:00"/>
    <d v="2024-06-06T00:00:00"/>
    <s v="MOT-PRD-001"/>
    <s v="PRIVATE CAR"/>
    <n v="8706"/>
    <n v="13.26671261199173"/>
    <n v="1155"/>
    <s v="Delhi"/>
    <n v="443810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013"/>
    <s v="510000/48/2023/1562"/>
    <n v="3"/>
    <s v="Fractal Ink Design Studio Private Limited"/>
    <d v="2023-02-07T00:00:00"/>
    <d v="2023-12-31T00:00:00"/>
    <s v="MIST-PRD-890"/>
    <s v="GROUP MEDICLAIM -TAILORMADE-RISK FLOATER"/>
    <n v="10080"/>
    <n v="5"/>
    <n v="504"/>
    <s v="Delhi"/>
    <n v="430684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014"/>
    <s v="510000/48/2023/1411"/>
    <n v="8"/>
    <s v="HAYS BUSINESS SOLUTIONS PVT LTD"/>
    <d v="2023-01-01T00:00:00"/>
    <d v="2023-12-31T00:00:00"/>
    <s v="MIST-PRD-890"/>
    <s v="GROUP MEDICLAIM -TAILORMADE-RISK FLOATER"/>
    <n v="-92175"/>
    <n v="7.5000054244643346"/>
    <n v="-6913.13"/>
    <s v="Delhi"/>
    <n v="421505"/>
    <s v="E2"/>
    <m/>
    <s v="Abhishek Sharma"/>
    <s v="Ishita Sharma"/>
    <x v="77"/>
    <n v="3081"/>
    <s v="Rushiraj"/>
    <m/>
    <m/>
    <m/>
    <s v="Part"/>
    <s v="Updation  done in Saiba"/>
  </r>
  <r>
    <x v="2"/>
    <m/>
    <n v="215600"/>
    <s v="DO 4 NEW DELHI"/>
    <s v="OIC/23-24/1015"/>
    <s v="215600/31/2024/258"/>
    <n v="0"/>
    <s v=" DELHIVERY LTD"/>
    <d v="2023-06-16T00:00:00"/>
    <d v="2024-06-15T00:00:00"/>
    <s v="MOT-PRD-003"/>
    <s v="GCCV"/>
    <n v="78419"/>
    <n v="7.9993368953952482"/>
    <n v="6273"/>
    <s v="Delhi"/>
    <s v="NE"/>
    <s v="NE"/>
    <m/>
    <s v="Saurabh Dwivedi"/>
    <s v="Santosh Kumar Gupta"/>
    <x v="84"/>
    <n v="3076"/>
    <s v="Rushiraj"/>
    <m/>
    <s v="No"/>
    <m/>
    <m/>
    <s v="NE"/>
  </r>
  <r>
    <x v="2"/>
    <m/>
    <n v="212203"/>
    <s v="CBO 13 N-34 C.PLACE"/>
    <s v="OIC/23-24/1016"/>
    <s v="212203/31/2024/574"/>
    <n v="0"/>
    <s v="ENERGY EFFICIENCY SERVICES LTD"/>
    <d v="2023-06-08T00:00:00"/>
    <d v="2024-06-07T00:00:00"/>
    <s v="MOT-PRD-015"/>
    <s v="STANDALONE OWN DAMAGE(OD)-PRIVATE CAR"/>
    <n v="8914"/>
    <n v="15.010096477451201"/>
    <n v="1338"/>
    <s v="Delhi"/>
    <n v="443956"/>
    <s v="0"/>
    <m/>
    <s v="Saurabh Dwivedi"/>
    <s v="Mohit Mendiratta"/>
    <x v="81"/>
    <n v="3075"/>
    <s v="Rushiraj"/>
    <m/>
    <m/>
    <m/>
    <m/>
    <s v="Updation  done in Saiba"/>
  </r>
  <r>
    <x v="2"/>
    <m/>
    <n v="510000"/>
    <s v="CBRO DELHI"/>
    <s v="OIC/23-24/1017"/>
    <s v="510000/48/2023/1563"/>
    <n v="2"/>
    <s v="MILESTONE BRANDCOM PRIVATE LIMITED"/>
    <d v="2023-02-07T00:00:00"/>
    <d v="2023-12-31T00:00:00"/>
    <s v="MIST-PRD-890"/>
    <s v="GROUP MEDICLAIM -TAILORMADE-RISK FLOATER"/>
    <n v="-4270"/>
    <n v="5"/>
    <n v="-213.5"/>
    <s v="Delhi"/>
    <n v="430683"/>
    <s v="NE"/>
    <m/>
    <s v="Amit Pandey"/>
    <s v="Niladri Mangal Choudhury"/>
    <x v="77"/>
    <n v="3081"/>
    <s v="Rushiraj"/>
    <m/>
    <m/>
    <m/>
    <m/>
    <s v="NE"/>
  </r>
  <r>
    <x v="2"/>
    <m/>
    <n v="212203"/>
    <s v="CBO 13 N-34 C.PLACE"/>
    <s v="OIC/23-24/1018"/>
    <s v="212203/31/2024/597"/>
    <n v="0"/>
    <s v="ENERGY EFFICIENCY SERVICES LIMITED"/>
    <d v="2023-06-11T00:00:00"/>
    <d v="2024-06-10T00:00:00"/>
    <s v="MOT-PRD-001"/>
    <s v="PRIVATE CAR"/>
    <n v="18869"/>
    <n v="13.747416397265356"/>
    <n v="2594"/>
    <s v="Delhi"/>
    <n v="443823"/>
    <s v="0"/>
    <m/>
    <s v="Saurabh Dwivedi"/>
    <s v="Mohit Mendiratta"/>
    <x v="81"/>
    <n v="3075"/>
    <s v="Rushiraj"/>
    <m/>
    <m/>
    <m/>
    <m/>
    <s v="Modification"/>
  </r>
  <r>
    <x v="2"/>
    <m/>
    <n v="212203"/>
    <s v="CBO 13 N-34 C.PLACE"/>
    <s v="OIC/23-24/1019"/>
    <s v="212203/31/2024/765"/>
    <n v="0"/>
    <s v="EXPORT CREDIT GUARANTEE CORPORATION"/>
    <d v="2023-07-04T00:00:00"/>
    <d v="2024-07-03T00:00:00"/>
    <s v="MOT-PRD-015"/>
    <s v="STANDALONE OWN DAMAGE(OD)-PRIVATE CAR"/>
    <n v="8111"/>
    <n v="14.991986191591666"/>
    <n v="1216"/>
    <s v="Delhi"/>
    <s v="NE"/>
    <s v="NE"/>
    <m/>
    <s v="Suspense"/>
    <s v="Suspense"/>
    <x v="81"/>
    <n v="3075"/>
    <s v="Rushiraj"/>
    <m/>
    <s v="No"/>
    <m/>
    <m/>
    <s v="NE"/>
  </r>
  <r>
    <x v="2"/>
    <m/>
    <n v="212203"/>
    <s v="CBO 13 N-34 C.PLACE"/>
    <s v="OIC/23-24/1020"/>
    <s v="212203/31/2024/769"/>
    <n v="0"/>
    <s v="EXPORT CREDIT GUARANTEE CORPORATION"/>
    <d v="2023-07-04T00:00:00"/>
    <d v="2024-07-03T00:00:00"/>
    <s v="MOT-PRD-015"/>
    <s v="STANDALONE OWN DAMAGE(OD)-PRIVATE CAR"/>
    <n v="8111"/>
    <n v="14.991986191591666"/>
    <n v="1216"/>
    <s v="Delhi"/>
    <s v="NE"/>
    <s v="NE"/>
    <m/>
    <s v="Suspense"/>
    <s v="Suspense"/>
    <x v="81"/>
    <n v="3075"/>
    <s v="Rushiraj"/>
    <m/>
    <s v="No"/>
    <m/>
    <m/>
    <s v="NE"/>
  </r>
  <r>
    <x v="2"/>
    <m/>
    <n v="411700"/>
    <s v="DO 7 CHENNAI"/>
    <s v="OIC/23-24/1021"/>
    <s v="411700/48/2023/2420"/>
    <n v="11"/>
    <s v="FINANCIAL SOFTWARE &amp; SYSTEMS (P) LTD"/>
    <d v="2022-10-01T00:00:00"/>
    <d v="2023-09-30T00:00:00"/>
    <s v="MIST-PRD-890"/>
    <s v="GROUP MEDICLAIM -TAILORMADE-RISK FLOATER"/>
    <n v="-50998"/>
    <n v="1.0000392172242047"/>
    <n v="-510"/>
    <s v="Chennai"/>
    <n v="407988"/>
    <s v="E8"/>
    <m/>
    <s v="Meenakshi Menon"/>
    <s v="Sudha.S"/>
    <x v="88"/>
    <n v="3069"/>
    <s v="Rushiraj"/>
    <m/>
    <m/>
    <m/>
    <m/>
    <s v="Saiba Error"/>
  </r>
  <r>
    <x v="2"/>
    <m/>
    <n v="510000"/>
    <s v="CBRO DELHI"/>
    <s v="OIC/23-24/1022"/>
    <s v="510000/48/2023/1580"/>
    <n v="2"/>
    <s v="DENTSU ADVERTISING AND MEDIA SERVICES INDIA PRIVATE LIMITED"/>
    <d v="2023-02-07T00:00:00"/>
    <d v="2023-12-31T00:00:00"/>
    <s v="MIST-PRD-001"/>
    <s v="GPA - NAMED"/>
    <n v="-560"/>
    <n v="7.5000000000000009"/>
    <n v="-42"/>
    <s v="Delhi"/>
    <n v="429605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023"/>
    <s v="510000/48/2023/1557"/>
    <n v="2"/>
    <s v="SOKRATI TECHNOLOGIES PRIVATE LIMITED"/>
    <d v="2023-01-12T00:00:00"/>
    <d v="2023-12-31T00:00:00"/>
    <s v="MIST-PRD-890"/>
    <s v="GROUP MEDICLAIM -TAILORMADE-RISK FLOATER"/>
    <n v="-180304"/>
    <n v="5.0000000000000009"/>
    <n v="-9015.2000000000007"/>
    <s v="Delhi"/>
    <n v="430690"/>
    <s v="NE"/>
    <m/>
    <s v="Amit Pandey"/>
    <s v="Niladri Mangal Choudhury"/>
    <x v="77"/>
    <n v="3081"/>
    <s v="Rushiraj"/>
    <m/>
    <m/>
    <m/>
    <m/>
    <s v="NE"/>
  </r>
  <r>
    <x v="2"/>
    <m/>
    <n v="540000"/>
    <s v="CBO BANGALORE"/>
    <s v="OIC/23-24/1024"/>
    <s v="421300/48/2023/1267"/>
    <n v="3"/>
    <s v="FRESHALICIOUS SUPER BAZAAR PRIVATE LIMITED"/>
    <d v="2022-12-24T00:00:00"/>
    <d v="2023-12-23T00:00:00"/>
    <s v="MIST-PRD-001"/>
    <s v="GPA - NAMED"/>
    <n v="241896"/>
    <n v="7.4999173198399314"/>
    <n v="18142"/>
    <s v="Bangalore"/>
    <s v="NE"/>
    <s v="NE"/>
    <m/>
    <s v="Jaya Chitra.M"/>
    <s v="Raghuram P S"/>
    <x v="78"/>
    <n v="3123"/>
    <s v="Rushiraj"/>
    <m/>
    <m/>
    <m/>
    <m/>
    <s v="NE"/>
  </r>
  <r>
    <x v="2"/>
    <m/>
    <n v="112400"/>
    <s v="MRO 1 Aviation Cell"/>
    <s v="OIC/23-24/1025"/>
    <s v="112400/43/2024/45"/>
    <n v="0"/>
    <s v="JET SERVE AVIATION PRIVATE LIMITED"/>
    <d v="2023-06-05T00:00:00"/>
    <d v="2024-06-04T00:00:00"/>
    <s v="AVI-PRD-011"/>
    <s v="HULL WAR RISK"/>
    <n v="7875"/>
    <n v="9.980952380952381"/>
    <n v="786"/>
    <s v="Delhi"/>
    <n v="436324"/>
    <s v="0"/>
    <m/>
    <s v="Vineet Khattar"/>
    <s v="Varun Malik"/>
    <x v="96"/>
    <n v="3087"/>
    <s v="Rushiraj"/>
    <m/>
    <m/>
    <m/>
    <m/>
    <s v="Updation  done in Saiba"/>
  </r>
  <r>
    <x v="2"/>
    <m/>
    <n v="540000"/>
    <s v="CBO BANGALORE"/>
    <s v="OIC/23-24/1026"/>
    <s v="540000/48/2024/40"/>
    <n v="0"/>
    <s v="KERN-LIEBERS (INDIA) PRIVATE LIMITED"/>
    <d v="2023-07-03T00:00:00"/>
    <d v="2024-07-02T00:00:00"/>
    <s v="MIST-PRD-052"/>
    <s v="MONEY INSURANCE"/>
    <n v="1188"/>
    <n v="12.542087542087542"/>
    <n v="149"/>
    <s v="Bangalore"/>
    <n v="441722"/>
    <s v="0"/>
    <m/>
    <s v="Anusha Jaiswal"/>
    <s v="Priya Pant"/>
    <x v="78"/>
    <n v="3123"/>
    <s v="Rushiraj"/>
    <m/>
    <m/>
    <m/>
    <m/>
    <s v="Updation  done in Saiba"/>
  </r>
  <r>
    <x v="2"/>
    <m/>
    <n v="412300"/>
    <s v="DO 13 CHENNAI"/>
    <s v="OIC/23-24/1027"/>
    <s v="412300/48/2023/1096"/>
    <n v="14"/>
    <s v="FULCRUM CRES PVT LTD"/>
    <d v="2022-10-01T00:00:00"/>
    <d v="2023-09-30T00:00:00"/>
    <s v="MIST-PRD-890"/>
    <s v="GROUP MEDICLAIM -TAILORMADE-RISK FLOATER"/>
    <n v="14994"/>
    <n v="7.5"/>
    <n v="1124.55"/>
    <s v="Chennai"/>
    <n v="405493"/>
    <s v="E8"/>
    <m/>
    <s v="Meenakshi Menon"/>
    <s v="Sathyendra Chandra Bose N"/>
    <x v="97"/>
    <n v="3070"/>
    <s v="Rushiraj"/>
    <m/>
    <m/>
    <m/>
    <m/>
    <s v="Updation  done in Saiba"/>
  </r>
  <r>
    <x v="2"/>
    <m/>
    <n v="540000"/>
    <s v="CBO BANGALORE"/>
    <s v="OIC/23-24/1028"/>
    <s v="421300/48/2023/1354"/>
    <n v="7"/>
    <s v="FRESHALICIOUS SUPER BAZAAR PRIVATE LIMITED"/>
    <d v="2022-12-15T00:00:00"/>
    <d v="2023-12-14T00:00:00"/>
    <s v="MIST-PRD-890"/>
    <s v="GROUP MEDICLAIM -TAILORMADE-RISK FLOATER"/>
    <n v="1614372"/>
    <n v="7.5726040838171134"/>
    <n v="122250"/>
    <s v="Bangalore"/>
    <n v="413729"/>
    <s v="NE"/>
    <m/>
    <s v="Jaya Chitra.M"/>
    <s v="Raghuram P S"/>
    <x v="78"/>
    <n v="3123"/>
    <s v="Rushiraj"/>
    <m/>
    <m/>
    <m/>
    <m/>
    <s v="NE"/>
  </r>
  <r>
    <x v="2"/>
    <m/>
    <n v="272200"/>
    <s v="DO 3 NEW DELHI"/>
    <s v="OIC/23-24/1029"/>
    <s v="272200/31/2024/378"/>
    <n v="0"/>
    <s v="MAHAJAN OVERSEAS PVT LTD"/>
    <d v="2023-06-18T00:00:00"/>
    <d v="2024-06-17T00:00:00"/>
    <s v="MOT-PRD-003"/>
    <s v="GCCV"/>
    <n v="19369"/>
    <n v="7.5068408281274204"/>
    <n v="1454"/>
    <s v="Delhi"/>
    <n v="439592"/>
    <s v="0"/>
    <m/>
    <s v="Saurabh Dwivedi"/>
    <s v="Sekhar Gurung"/>
    <x v="87"/>
    <n v="3079"/>
    <s v="Rushiraj"/>
    <m/>
    <m/>
    <m/>
    <s v="Excess"/>
    <s v="Updation  done in Saiba"/>
  </r>
  <r>
    <x v="2"/>
    <m/>
    <n v="212203"/>
    <s v="CBO 13 N-34 C.PLACE"/>
    <s v="OIC/23-24/1030"/>
    <s v="212203/31/2024/629"/>
    <n v="0"/>
    <s v="GURUGRAM METROPOLITAN DEVELOPMENT A"/>
    <d v="2023-07-09T00:00:00"/>
    <d v="2024-07-08T00:00:00"/>
    <s v="MOT-PRD-001"/>
    <s v="PRIVATE CAR"/>
    <n v="12919"/>
    <n v="13.824599427200248"/>
    <n v="1786"/>
    <s v="Delhi"/>
    <s v="NE"/>
    <s v="NE"/>
    <m/>
    <s v="Suspense"/>
    <s v="Suspense"/>
    <x v="81"/>
    <n v="3075"/>
    <s v="Rushiraj"/>
    <m/>
    <s v="No"/>
    <m/>
    <m/>
    <s v="NE"/>
  </r>
  <r>
    <x v="2"/>
    <m/>
    <n v="431500"/>
    <s v="DO IV HYDERABAD"/>
    <s v="OIC/23-24/1031"/>
    <s v="431500/48/2023/3634"/>
    <n v="9"/>
    <s v="WAVEMAKER INDIA PRIVATE LIMITED"/>
    <d v="2023-03-15T00:00:00"/>
    <d v="2024-03-14T00:00:00"/>
    <s v="MIST-PRD-890"/>
    <s v="GROUP MEDICLAIM -TAILORMADE-RISK FLOATER"/>
    <n v="242059"/>
    <n v="2.5000020656121027"/>
    <n v="6051.48"/>
    <s v="Hyderabad"/>
    <n v="424816"/>
    <s v="NE"/>
    <m/>
    <s v="Prasanna Vadhana"/>
    <s v="Manisha Marda"/>
    <x v="93"/>
    <n v="3082"/>
    <s v="Rushiraj"/>
    <m/>
    <m/>
    <m/>
    <m/>
    <s v="NE"/>
  </r>
  <r>
    <x v="2"/>
    <m/>
    <n v="411400"/>
    <s v="DO 4 CHENNAI"/>
    <s v="OIC/23-24/1032"/>
    <s v="411400/48/2023/956"/>
    <n v="1"/>
    <s v="AMRUTANJAN HEALTH CARE LIMITED"/>
    <d v="2023-02-07T00:00:00"/>
    <d v="2024-02-06T00:00:00"/>
    <s v="MIST-PRD-001"/>
    <s v="GPA - NAMED"/>
    <n v="-616"/>
    <n v="7.5"/>
    <n v="-46.2"/>
    <s v="Chennai"/>
    <n v="416843"/>
    <s v="NE"/>
    <m/>
    <s v="Balakrishnan M"/>
    <s v="Akshayah Manoharan"/>
    <x v="98"/>
    <n v="3099"/>
    <s v="Rushiraj"/>
    <m/>
    <m/>
    <m/>
    <m/>
    <s v="NE"/>
  </r>
  <r>
    <x v="2"/>
    <m/>
    <n v="272200"/>
    <s v="DO 3 NEW DELHI"/>
    <s v="OIC/23-24/1033"/>
    <s v="272200/31/2024/344"/>
    <n v="0"/>
    <s v=" TRUPATI LIFE SCIENCE PRIVATE LIMITED"/>
    <d v="2023-06-13T00:00:00"/>
    <d v="2024-06-12T00:00:00"/>
    <s v="MOT-PRD-001"/>
    <s v="PRIVATE CAR"/>
    <n v="4242"/>
    <n v="8.8637435172088637"/>
    <n v="376"/>
    <s v="Ludhiana"/>
    <n v="437320"/>
    <s v="0"/>
    <m/>
    <s v="Prem Parkash"/>
    <s v="HImanshu Arora"/>
    <x v="87"/>
    <n v="3079"/>
    <s v="Rushiraj"/>
    <m/>
    <m/>
    <m/>
    <s v="Excess"/>
    <s v="Updation  done in Saiba"/>
  </r>
  <r>
    <x v="2"/>
    <m/>
    <n v="112500"/>
    <s v="MCDO 22"/>
    <s v="OIC/23-24/1034"/>
    <s v="112500/48/2023/2451"/>
    <n v="8"/>
    <s v="METTLER-TOLEDO INDIA PVT LTD"/>
    <d v="2022-11-18T00:00:00"/>
    <d v="2023-11-17T00:00:00"/>
    <s v="MIST-PRD-890"/>
    <s v="GROUP MEDICLAIM -TAILORMADE-RISK FLOATER"/>
    <n v="7092"/>
    <n v="5"/>
    <n v="354.6"/>
    <s v="Mumbai"/>
    <n v="416893"/>
    <s v="NE"/>
    <m/>
    <s v="Ashita Lotia"/>
    <s v="Arpita R Kochrekar"/>
    <x v="99"/>
    <n v="3088"/>
    <s v="Rushiraj"/>
    <m/>
    <m/>
    <m/>
    <m/>
    <s v="NE"/>
  </r>
  <r>
    <x v="2"/>
    <m/>
    <n v="414890"/>
    <s v="BC  SINGAPERUMAL KOIL"/>
    <s v="OIC/23-24/1035"/>
    <s v="414890/31/2024/653"/>
    <n v="0"/>
    <s v="SVIJAYA KUMAR"/>
    <d v="2023-06-30T00:00:00"/>
    <d v="2024-06-29T00:00:00"/>
    <s v="MOT-PRD-001"/>
    <s v="PRIVATE CAR"/>
    <n v="5321"/>
    <n v="2.4807367036271377"/>
    <n v="132"/>
    <s v="Chennai"/>
    <n v="440999"/>
    <s v="0"/>
    <m/>
    <s v="Raghunathan S"/>
    <s v="Vinoth Kumar E"/>
    <x v="91"/>
    <n v="3071"/>
    <s v="Rushiraj"/>
    <m/>
    <m/>
    <m/>
    <s v="Part"/>
    <s v="Updation  done in Saiba"/>
  </r>
  <r>
    <x v="2"/>
    <m/>
    <n v="540000"/>
    <s v="CBO BANGALORE"/>
    <s v="OIC/23-24/1006"/>
    <s v="421300/48/2023/1352"/>
    <n v="6"/>
    <s v="CREATIVE SYNERGIES CONSULTING INDIA PVT LTD"/>
    <d v="2022-11-25T00:00:00"/>
    <d v="2023-11-24T00:00:00"/>
    <s v="MIST-PRD-890"/>
    <s v="GROUP MEDICLAIM -TAILORMADE-RISK FLOATER"/>
    <n v="145346"/>
    <n v="4"/>
    <n v="5813.84"/>
    <s v="Bangalore"/>
    <n v="430789"/>
    <s v="E6"/>
    <m/>
    <s v="Jaya Chitra.M"/>
    <s v="Aiyappa Parivaranayaka Mahadeva"/>
    <x v="78"/>
    <n v="3123"/>
    <s v="Rushiraj"/>
    <m/>
    <m/>
    <m/>
    <m/>
    <s v="Updation done in saiba"/>
  </r>
  <r>
    <x v="2"/>
    <m/>
    <n v="222105"/>
    <s v="KANPUR DEHAT"/>
    <s v="OIC/23-24/1037"/>
    <s v="222105/48/2024/514"/>
    <n v="0"/>
    <s v="MS SUBHADRA THAPA"/>
    <d v="2023-06-25T00:00:00"/>
    <d v="2024-06-24T00:00:00"/>
    <s v="MIST-PRD-094"/>
    <s v="ORIENTAL MEDICLAIM INSURANCE POLICY(INDIVIDUAL)"/>
    <n v="5274"/>
    <n v="29.996207811907471"/>
    <n v="1582"/>
    <s v="Delhi"/>
    <n v="440361"/>
    <s v="0"/>
    <m/>
    <s v="Kushal Bhatia"/>
    <s v="Navneet Arora"/>
    <x v="79"/>
    <n v="3078"/>
    <s v="Rushiraj"/>
    <m/>
    <m/>
    <m/>
    <s v="Excess"/>
    <s v="Updation  done in Saiba"/>
  </r>
  <r>
    <x v="2"/>
    <m/>
    <n v="222105"/>
    <s v="KANPUR DEHAT"/>
    <s v="OIC/23-24/1038"/>
    <s v="222105/48/2024/440"/>
    <n v="0"/>
    <s v="PURVI M MATHUR"/>
    <d v="2023-06-13T00:00:00"/>
    <d v="2024-06-12T00:00:00"/>
    <s v="MIST-PRD-943"/>
    <s v="HAPPY FAMILY FLOATER POLICY-2021"/>
    <n v="31193"/>
    <n v="7.4984772224537553"/>
    <n v="2339"/>
    <s v="Delhi"/>
    <n v="442835"/>
    <s v="0"/>
    <m/>
    <s v="Kushal Bhatia"/>
    <s v="Navneet Arora"/>
    <x v="79"/>
    <n v="3078"/>
    <s v="Rushiraj"/>
    <m/>
    <m/>
    <m/>
    <s v="Part"/>
    <s v="Updation  done in Saiba"/>
  </r>
  <r>
    <x v="2"/>
    <m/>
    <n v="132000"/>
    <s v="DO JOGESHWARI"/>
    <s v="OIC/23-24/1039"/>
    <s v="132000/11/2022/415"/>
    <n v="3"/>
    <s v=" Allied Blender &amp; Distillers Pvt Ltd"/>
    <d v="2021-09-02T00:00:00"/>
    <d v="2022-09-01T00:00:00"/>
    <s v="FIR-PRD-010"/>
    <s v="ORIENTAL BHARAT SOOKSHMA UDYAM SURAKSHA POLICY"/>
    <n v="-2711"/>
    <n v="10.660272962006641"/>
    <n v="-289"/>
    <s v="Mumbai"/>
    <n v="360496"/>
    <s v="NE"/>
    <m/>
    <s v="Susmeet Kaur"/>
    <s v="Pooja Yadav"/>
    <x v="80"/>
    <n v="3100"/>
    <s v="Rushiraj"/>
    <m/>
    <m/>
    <m/>
    <m/>
    <s v="NE"/>
  </r>
  <r>
    <x v="2"/>
    <m/>
    <n v="540000"/>
    <s v="CBO BANGALORE"/>
    <s v="OIC/23-24/1040"/>
    <s v="421300/48/2023/819"/>
    <n v="2"/>
    <s v="STEER ENGINEERING PVT LTD"/>
    <d v="2022-08-13T00:00:00"/>
    <d v="2023-08-12T00:00:00"/>
    <s v="MIST-PRD-001"/>
    <s v="GPA - NAMED"/>
    <n v="463"/>
    <n v="7.5593952483801301"/>
    <n v="35"/>
    <s v="Bangalore"/>
    <n v="401726"/>
    <s v="NE"/>
    <m/>
    <s v="Jayachitra M"/>
    <s v="Karthik Rajaram"/>
    <x v="78"/>
    <n v="3123"/>
    <s v="Rushiraj"/>
    <m/>
    <m/>
    <m/>
    <m/>
    <s v="NE"/>
  </r>
  <r>
    <x v="2"/>
    <m/>
    <n v="510000"/>
    <s v="CBRO DELHI"/>
    <s v="OIC/23-24/1041"/>
    <s v="510000/48/2023/1565"/>
    <n v="4"/>
    <s v="TAPROOT DENTSU INDIA COMMUNICATION PRIVATE LIMITED"/>
    <d v="2023-02-07T00:00:00"/>
    <d v="2023-12-31T00:00:00"/>
    <s v="MIST-PRD-890"/>
    <s v="GROUP MEDICLAIM -TAILORMADE-RISK FLOATER"/>
    <n v="4074"/>
    <n v="4.9999999999999991"/>
    <n v="203.7"/>
    <s v="Delhi"/>
    <n v="430636"/>
    <s v="NE"/>
    <m/>
    <s v="Amit Pandey"/>
    <s v="Niladri Mangal Choudhury"/>
    <x v="77"/>
    <n v="3081"/>
    <s v="Rushiraj"/>
    <m/>
    <m/>
    <m/>
    <m/>
    <s v="NE"/>
  </r>
  <r>
    <x v="2"/>
    <m/>
    <n v="212203"/>
    <s v="CBO 13 N-34 C.PLACE"/>
    <s v="OIC/23-24/1042"/>
    <s v="212203/31/2024/564"/>
    <n v="0"/>
    <s v="LESSEE:AC(HQ) SOUTH DELHI M CORP"/>
    <d v="2023-06-07T00:00:00"/>
    <d v="2024-06-06T00:00:00"/>
    <s v="MOT-PRD-001"/>
    <s v="PRIVATE CAR"/>
    <n v="8706"/>
    <n v="13.26671261199173"/>
    <n v="1155"/>
    <s v="Delhi"/>
    <n v="443809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043"/>
    <s v="212203/31/2024/713"/>
    <n v="0"/>
    <s v="OFFICE OF THE DEPUTY COMMISSIONER,"/>
    <d v="2023-06-25T00:00:00"/>
    <d v="2024-06-24T00:00:00"/>
    <s v="MOT-PRD-001"/>
    <s v="PRIVATE CAR"/>
    <n v="8716"/>
    <n v="13.262964662689308"/>
    <n v="1156"/>
    <s v="Delhi"/>
    <n v="443837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044"/>
    <s v="212203/31/2024/620"/>
    <n v="0"/>
    <s v="NHPC LIMITED"/>
    <d v="2023-06-16T00:00:00"/>
    <d v="2024-06-15T00:00:00"/>
    <s v="MOT-PRD-015"/>
    <s v="STANDALONE OWN DAMAGE(OD)-PRIVATE CAR"/>
    <n v="8935"/>
    <n v="14.997202014549526"/>
    <n v="1340"/>
    <s v="Delhi"/>
    <n v="443968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045"/>
    <s v="212203/31/2024/550"/>
    <n v="0"/>
    <s v="LESSEE:AC(HQ) SOUTH DELHI M CORP"/>
    <d v="2023-06-07T00:00:00"/>
    <d v="2024-06-06T00:00:00"/>
    <s v="MOT-PRD-001"/>
    <s v="PRIVATE CAR"/>
    <n v="8706"/>
    <n v="13.26671261199173"/>
    <n v="1155"/>
    <s v="Delhi"/>
    <n v="443795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046"/>
    <s v="212203/31/2024/560"/>
    <n v="0"/>
    <s v="LESSEE:AC(HQ) SOUTH DELHI M CORP"/>
    <d v="2023-06-07T00:00:00"/>
    <d v="2024-06-06T00:00:00"/>
    <s v="MOT-PRD-001"/>
    <s v="PRIVATE CAR"/>
    <n v="3358"/>
    <n v="10.482430017867779"/>
    <n v="352"/>
    <s v="Delhi"/>
    <n v="443805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047"/>
    <s v="510000/48/2024/411"/>
    <n v="0"/>
    <s v="JCB INDIA LIMITED"/>
    <d v="2023-06-27T00:00:00"/>
    <d v="2024-05-31T00:00:00"/>
    <s v="MIST-PRD-751"/>
    <s v="BURGLARY"/>
    <n v="1998"/>
    <n v="12.512512512512512"/>
    <n v="250"/>
    <s v="Delhi"/>
    <n v="0"/>
    <n v="0"/>
    <m/>
    <s v="Darvesh Panchal"/>
    <s v="Rohit Kumar Mehndiratta"/>
    <x v="77"/>
    <n v="3081"/>
    <s v="Rushiraj"/>
    <m/>
    <s v="No"/>
    <m/>
    <m/>
    <s v="Updation done in saiba"/>
  </r>
  <r>
    <x v="2"/>
    <m/>
    <n v="421100"/>
    <s v="CBU Bangalore"/>
    <s v="OIC/23-24/1048"/>
    <s v="421100/48/2023/287"/>
    <n v="8"/>
    <s v="ADAPTY SOLUTIONS PRIVATE LIMITED"/>
    <d v="2022-07-20T00:00:00"/>
    <d v="2023-07-19T00:00:00"/>
    <s v="MIST-PRD-001"/>
    <s v="GPA - NAMED"/>
    <n v="-643"/>
    <n v="7.4650077760497666"/>
    <n v="-48"/>
    <s v="Pune"/>
    <n v="406303"/>
    <s v="NE"/>
    <m/>
    <s v="Sheetal Gurav"/>
    <s v="Renny Ignatius Peter"/>
    <x v="95"/>
    <n v="3065"/>
    <s v="Rushiraj"/>
    <m/>
    <m/>
    <m/>
    <m/>
    <s v="NE"/>
  </r>
  <r>
    <x v="2"/>
    <m/>
    <n v="510000"/>
    <s v="CBRO DELHI"/>
    <s v="OIC/23-24/1049"/>
    <s v="510000/48/2023/1565"/>
    <n v="3"/>
    <s v="TAPROOT DENTSU INDIA COMMUNICATION PRIVATE LIMITED"/>
    <d v="2023-02-07T00:00:00"/>
    <d v="2023-12-31T00:00:00"/>
    <s v="MIST-PRD-890"/>
    <s v="GROUP MEDICLAIM -TAILORMADE-RISK FLOATER"/>
    <n v="5627"/>
    <n v="5"/>
    <n v="281.35000000000002"/>
    <s v="Delhi"/>
    <n v="430636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050"/>
    <s v="510000/11/2024/129"/>
    <n v="0"/>
    <s v="JCB INDIA LIMITED"/>
    <d v="2023-06-01T00:00:00"/>
    <d v="2024-05-31T00:00:00"/>
    <s v="FIR-PRD-003"/>
    <s v="INDUSTRIAL ALL RISK POLICY"/>
    <n v="12820279"/>
    <n v="16.499991926852761"/>
    <n v="2115345"/>
    <s v="Delhi"/>
    <n v="441870"/>
    <s v="0"/>
    <m/>
    <s v="Darvesh Panchal"/>
    <s v="Rohit Kumar Mehndiratta"/>
    <x v="77"/>
    <n v="3081"/>
    <s v="Rushiraj"/>
    <m/>
    <m/>
    <m/>
    <s v="Excess"/>
    <s v="Updation  done in Saiba"/>
  </r>
  <r>
    <x v="2"/>
    <m/>
    <n v="510000"/>
    <s v="CBRO DELHI"/>
    <s v="OIC/23-24/1051"/>
    <s v="510000/48/2024/114"/>
    <n v="2"/>
    <s v="CARGO PARTNER LOGISTICS INDIA PRIVATE LIMITED"/>
    <d v="2023-04-16T00:00:00"/>
    <d v="2024-04-15T00:00:00"/>
    <s v="MIST-PRD-890"/>
    <s v="GROUP MEDICLAIM -TAILORMADE-RISK FLOATER"/>
    <n v="-153662"/>
    <n v="3"/>
    <n v="-4609.8599999999997"/>
    <s v="Delhi"/>
    <n v="434150"/>
    <s v="NE"/>
    <m/>
    <s v="Vitty Pandita"/>
    <s v="Ashish Saxena"/>
    <x v="77"/>
    <n v="3081"/>
    <s v="Rushiraj"/>
    <m/>
    <m/>
    <m/>
    <s v="Policy no not updated in Saiba"/>
    <s v="NE"/>
  </r>
  <r>
    <x v="2"/>
    <m/>
    <n v="215600"/>
    <s v="DO 4 NEW DELHI"/>
    <s v="OIC/23-24/1052"/>
    <s v="215600/48/2024/669"/>
    <n v="0"/>
    <s v="LUMAX CORNAGLIA AUTO TECHNOLOGIES PVTLTD"/>
    <d v="2023-04-01T00:00:00"/>
    <d v="2024-03-31T00:00:00"/>
    <s v="MIST-PRD-061"/>
    <s v="All RISK"/>
    <n v="4568"/>
    <n v="12.5"/>
    <n v="571"/>
    <s v="Delhi"/>
    <n v="426843"/>
    <s v="0"/>
    <m/>
    <s v="Rohit Kumar Mendiratta"/>
    <s v="Prince Tayal"/>
    <x v="84"/>
    <n v="3076"/>
    <s v="Rushiraj"/>
    <m/>
    <m/>
    <m/>
    <s v="Excess"/>
    <s v="Updation  done in Saiba"/>
  </r>
  <r>
    <x v="2"/>
    <m/>
    <n v="132200"/>
    <s v="DO - 2"/>
    <s v="OIC/23-24/1053"/>
    <s v="132200/48/2024/66"/>
    <n v="0"/>
    <s v="Vaishno Container Yard -CFS (A Division of Kestrel Aviation Pvt Ltd)"/>
    <d v="2023-06-02T00:00:00"/>
    <d v="2024-06-01T00:00:00"/>
    <s v="MIST-PRD-031"/>
    <s v="PUBLIC LIABILITY INDUSTRIAL"/>
    <n v="650000"/>
    <n v="12.5"/>
    <n v="81250"/>
    <s v="Mumbai"/>
    <s v="NE"/>
    <s v="NE"/>
    <m/>
    <s v="Susmeet Kaur"/>
    <s v="Shriram Giri"/>
    <x v="100"/>
    <n v="3089"/>
    <s v="Rushiraj"/>
    <m/>
    <s v="No"/>
    <m/>
    <m/>
    <s v="NE"/>
  </r>
  <r>
    <x v="2"/>
    <m/>
    <n v="510000"/>
    <s v="CBRO DELHI"/>
    <s v="OIC/23-24/1054"/>
    <s v="510000/48/2023/1406"/>
    <n v="4"/>
    <s v="Bharat Stars Services Private Limited"/>
    <d v="2023-01-30T00:00:00"/>
    <d v="2023-12-20T00:00:00"/>
    <s v="MIST-PRD-890"/>
    <s v="GROUP MEDICLAIM -TAILORMADE-RISK FLOATER"/>
    <n v="228643"/>
    <n v="2.1800011371439321"/>
    <n v="4984.42"/>
    <s v="Delhi"/>
    <n v="423165"/>
    <s v="NE"/>
    <m/>
    <s v="Rajiv Choudhary"/>
    <s v="Kamal Bora"/>
    <x v="77"/>
    <n v="3081"/>
    <s v="Rushiraj"/>
    <m/>
    <m/>
    <m/>
    <m/>
    <s v="NE"/>
  </r>
  <r>
    <x v="2"/>
    <m/>
    <n v="212203"/>
    <s v="CBO 13 N-34 C.PLACE"/>
    <s v="OIC/23-24/1055"/>
    <s v="212203/31/2024/749"/>
    <n v="0"/>
    <s v="POWER FOUNDATION OF INDIA"/>
    <d v="2023-06-27T00:00:00"/>
    <d v="2024-06-26T00:00:00"/>
    <s v="MOT-PRD-012"/>
    <s v="PRIVATE CAR-(3 Years)"/>
    <n v="7710"/>
    <n v="15.006485084306098"/>
    <n v="1157"/>
    <s v="Delhi"/>
    <n v="443952"/>
    <s v="0"/>
    <m/>
    <s v="Saurabh Dwivedi"/>
    <s v="Mohit Mendiratta"/>
    <x v="81"/>
    <n v="3075"/>
    <s v="Rushiraj"/>
    <m/>
    <m/>
    <m/>
    <m/>
    <s v="Updation  done in Saiba"/>
  </r>
  <r>
    <x v="2"/>
    <m/>
    <n v="215600"/>
    <s v="DO 4 NEW DELHI"/>
    <s v="OIC/23-24/1056"/>
    <s v="215600/31/2024/255"/>
    <n v="0"/>
    <s v=" DELHIVERY LTD"/>
    <d v="2023-06-16T00:00:00"/>
    <d v="2024-06-15T00:00:00"/>
    <s v="MOT-PRD-003"/>
    <s v="GCCV"/>
    <n v="78419"/>
    <n v="7.9993368953952482"/>
    <n v="6273"/>
    <s v="Delhi"/>
    <s v="NE"/>
    <s v="NE"/>
    <m/>
    <s v="Saurabh Dwivedi"/>
    <s v="Santosh Kumar Gupta"/>
    <x v="84"/>
    <n v="3076"/>
    <s v="Rushiraj"/>
    <m/>
    <s v="No"/>
    <m/>
    <m/>
    <s v="NE"/>
  </r>
  <r>
    <x v="2"/>
    <m/>
    <n v="510000"/>
    <s v="CBRO DELHI"/>
    <s v="OIC/23-24/1057"/>
    <s v="510000/48/2023/1564"/>
    <n v="4"/>
    <s v="PERFECT RELATIONS PRIVATE LIMITED"/>
    <d v="2023-02-07T00:00:00"/>
    <d v="2023-12-31T00:00:00"/>
    <s v="MIST-PRD-890"/>
    <s v="GROUP MEDICLAIM -TAILORMADE-RISK FLOATER"/>
    <n v="-17684"/>
    <n v="5"/>
    <n v="-884.2"/>
    <s v="Delhi"/>
    <n v="430681"/>
    <s v="NE"/>
    <m/>
    <s v="Amit Pandey"/>
    <s v="Niladri Mangal Choudhury"/>
    <x v="77"/>
    <n v="3081"/>
    <s v="Rushiraj"/>
    <m/>
    <m/>
    <m/>
    <m/>
    <s v="NE"/>
  </r>
  <r>
    <x v="2"/>
    <m/>
    <n v="411700"/>
    <s v="DO 7 CHENNAI"/>
    <s v="OIC/23-24/1058"/>
    <s v="411700/48/2023/2423"/>
    <n v="11"/>
    <s v="FINANCIAL SOFTWARE &amp; SYSTEMS (P) LTD"/>
    <d v="2022-10-01T00:00:00"/>
    <d v="2023-09-30T00:00:00"/>
    <s v="MIST-PRD-890"/>
    <s v="GROUP MEDICLAIM -TAILORMADE-RISK FLOATER"/>
    <n v="-44082"/>
    <n v="1.4994782450886983"/>
    <n v="-661"/>
    <s v="Chennai"/>
    <n v="409570"/>
    <s v="E7"/>
    <m/>
    <s v="Meenakshi Menon"/>
    <s v="Sudha.S"/>
    <x v="88"/>
    <n v="3069"/>
    <s v="Rushiraj"/>
    <m/>
    <m/>
    <m/>
    <m/>
    <s v="Saiba Error"/>
  </r>
  <r>
    <x v="2"/>
    <m/>
    <n v="212203"/>
    <s v="CBO 13 N-34 C.PLACE"/>
    <s v="OIC/23-24/1059"/>
    <s v="212203/31/2024/683"/>
    <n v="1"/>
    <s v="LESSEE POWER GRID CORPORATION OF INDIA LTD"/>
    <d v="2023-06-20T00:00:00"/>
    <d v="2023-06-20T00:00:00"/>
    <s v="MOT-PRD-012"/>
    <s v="PRIVATE CAR-(3 Years)"/>
    <n v="-9682"/>
    <n v="14.996901466639125"/>
    <n v="-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212203"/>
    <s v="CBO 13 N-34 C.PLACE"/>
    <s v="OIC/23-24/1060"/>
    <s v="212203/31/2024/634"/>
    <n v="0"/>
    <s v="MINISTRY OF INFO &amp; BROADCASTING"/>
    <d v="2023-06-18T00:00:00"/>
    <d v="2024-06-17T00:00:00"/>
    <s v="MOT-PRD-001"/>
    <s v="PRIVATE CAR"/>
    <n v="10062"/>
    <n v="13.496322798648379"/>
    <n v="1358"/>
    <s v="Delhi"/>
    <n v="443824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061"/>
    <s v="510000/48/2023/675"/>
    <n v="20"/>
    <s v="JCB INDIA LTD"/>
    <d v="2022-06-01T00:00:00"/>
    <d v="2023-05-31T00:00:00"/>
    <s v="MIST-PRD-890"/>
    <s v="GROUP MEDICLAIM -TAILORMADE-RISK FLOATER"/>
    <n v="-1938148"/>
    <n v="0"/>
    <n v="0"/>
    <s v="Delhi"/>
    <n v="387255"/>
    <s v="NE"/>
    <m/>
    <s v="Atul Chordiya"/>
    <s v="Amit Rokade"/>
    <x v="77"/>
    <n v="3081"/>
    <s v="Rushiraj"/>
    <m/>
    <m/>
    <m/>
    <m/>
    <s v="NE"/>
  </r>
  <r>
    <x v="2"/>
    <m/>
    <n v="212203"/>
    <s v="CBO 13 N-34 C.PLACE"/>
    <s v="OIC/23-24/1062"/>
    <s v="212203/31/2024/536"/>
    <n v="0"/>
    <s v="EAST DELHI MUNICIPAL CORPORATION"/>
    <d v="2023-06-05T00:00:00"/>
    <d v="2024-06-04T00:00:00"/>
    <s v="MOT-PRD-001"/>
    <s v="PRIVATE CAR"/>
    <n v="8512"/>
    <n v="0"/>
    <n v="0"/>
    <s v="Delhi"/>
    <n v="443793"/>
    <s v="0"/>
    <m/>
    <s v="Saurabh Dwivedi"/>
    <s v="Mohit Mendiratta"/>
    <x v="81"/>
    <n v="3075"/>
    <s v="Rushiraj"/>
    <m/>
    <m/>
    <m/>
    <s v="Part"/>
    <s v="Updation  done in Saiba"/>
  </r>
  <r>
    <x v="2"/>
    <m/>
    <n v="272200"/>
    <s v="DO 3 NEW DELHI"/>
    <s v="OIC/23-24/1063"/>
    <s v="272200/31/2024/436"/>
    <n v="0"/>
    <s v="RAM PRATAP"/>
    <d v="2023-07-01T00:00:00"/>
    <d v="2024-06-30T00:00:00"/>
    <s v="MOT-PRD-001"/>
    <s v="PRIVATE CAR"/>
    <n v="2464"/>
    <n v="7.508116883116883"/>
    <n v="185"/>
    <s v="Ludhiana"/>
    <n v="441283"/>
    <s v="0"/>
    <m/>
    <s v="Tejinder Pal Singh"/>
    <s v="Pushpinder Kaur"/>
    <x v="87"/>
    <n v="3079"/>
    <s v="Rushiraj"/>
    <m/>
    <m/>
    <m/>
    <s v="Excess"/>
    <s v="Updation  done in Saiba"/>
  </r>
  <r>
    <x v="2"/>
    <m/>
    <n v="212203"/>
    <s v="CBO 13 N-34 C.PLACE"/>
    <s v="OIC/23-24/1064"/>
    <s v="212203/31/2024/688"/>
    <n v="0"/>
    <s v="LESSEE POWER GRID CORPORATION OF INDIA LTD"/>
    <d v="2023-06-20T00:00:00"/>
    <d v="2024-06-19T00:00:00"/>
    <s v="MOT-PRD-012"/>
    <s v="PRIVATE CAR-(3 Years)"/>
    <n v="9682"/>
    <n v="14.996901466639125"/>
    <n v="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510000"/>
    <s v="CBRO DELHI"/>
    <s v="OIC/23-24/1065"/>
    <s v="510000/31/2024/42"/>
    <n v="0"/>
    <s v="JCB INDIA LTD"/>
    <d v="2023-06-16T00:00:00"/>
    <d v="2024-06-15T00:00:00"/>
    <s v="MOT-PRD-006"/>
    <s v="MISCELANEOUS CLASS D VEHICLES"/>
    <n v="13049"/>
    <n v="12.491378649704957"/>
    <n v="1630"/>
    <s v="Pune"/>
    <s v="NE"/>
    <s v="NE"/>
    <m/>
    <s v="Azmi Raza"/>
    <s v="Salman Shaikh"/>
    <x v="77"/>
    <n v="3081"/>
    <s v="Rushiraj"/>
    <m/>
    <s v="No"/>
    <m/>
    <m/>
    <s v="NE"/>
  </r>
  <r>
    <x v="2"/>
    <m/>
    <n v="212203"/>
    <s v="CBO 13 N-34 C.PLACE"/>
    <s v="OIC/23-24/1066"/>
    <s v="212203/31/2024/531"/>
    <n v="0"/>
    <s v="PLANNING &amp; DEVELOPMENT DEPARTMENT"/>
    <d v="2023-06-05T00:00:00"/>
    <d v="2024-06-04T00:00:00"/>
    <s v="MOT-PRD-001"/>
    <s v="PRIVATE CAR"/>
    <n v="8471"/>
    <n v="0"/>
    <n v="0"/>
    <s v="Delhi"/>
    <n v="443788"/>
    <s v="0"/>
    <m/>
    <s v="Saurabh Dwivedi"/>
    <s v="Mohit Mendiratta"/>
    <x v="81"/>
    <n v="3075"/>
    <s v="Rushiraj"/>
    <m/>
    <m/>
    <m/>
    <s v="Part"/>
    <s v="Updation  done in Saiba"/>
  </r>
  <r>
    <x v="2"/>
    <m/>
    <n v="212203"/>
    <s v="CBO 13 N-34 C.PLACE"/>
    <s v="OIC/23-24/1067"/>
    <s v="212203/31/2024/767"/>
    <n v="0"/>
    <s v="EXPORT CREDIT GUARANTEE CORPORATION"/>
    <d v="2023-07-04T00:00:00"/>
    <d v="2024-07-03T00:00:00"/>
    <s v="MOT-PRD-015"/>
    <s v="STANDALONE OWN DAMAGE(OD)-PRIVATE CAR"/>
    <n v="8111"/>
    <n v="14.991986191591666"/>
    <n v="1216"/>
    <s v="Delhi"/>
    <s v="NE"/>
    <s v="NE"/>
    <m/>
    <s v="Suspense"/>
    <s v="Suspense"/>
    <x v="81"/>
    <n v="3075"/>
    <s v="Rushiraj"/>
    <m/>
    <s v="No"/>
    <m/>
    <m/>
    <s v="NE"/>
  </r>
  <r>
    <x v="2"/>
    <m/>
    <n v="212203"/>
    <s v="CBO 13 N-34 C.PLACE"/>
    <s v="OIC/23-24/1068"/>
    <s v="212203/31/2024/699"/>
    <n v="0"/>
    <s v="LESSEE POWER GRID CORPORATION OF INDIA LTD"/>
    <d v="2023-06-21T00:00:00"/>
    <d v="2024-06-20T00:00:00"/>
    <s v="MOT-PRD-012"/>
    <s v="PRIVATE CAR-(3 Years)"/>
    <n v="8870"/>
    <n v="15.005636978579481"/>
    <n v="1331"/>
    <s v="Delhi"/>
    <n v="443946"/>
    <s v="0"/>
    <m/>
    <s v="Saurabh Dwivedi"/>
    <s v="Mohit Mendiratta"/>
    <x v="81"/>
    <n v="3075"/>
    <s v="Rushiraj"/>
    <m/>
    <m/>
    <m/>
    <m/>
    <s v="Updation  done in Saiba"/>
  </r>
  <r>
    <x v="2"/>
    <m/>
    <n v="510000"/>
    <s v="CBRO DELHI"/>
    <s v="OIC/23-24/1069"/>
    <s v="510000/48/2023/1568"/>
    <n v="4"/>
    <s v="WAT MEDIA PRIVATE LIMITED"/>
    <d v="2023-02-07T00:00:00"/>
    <d v="2023-12-31T00:00:00"/>
    <s v="MIST-PRD-890"/>
    <s v="GROUP MEDICLAIM -TAILORMADE-RISK FLOATER"/>
    <n v="-25831"/>
    <n v="5"/>
    <n v="-1291.55"/>
    <s v="Delhi"/>
    <n v="430615"/>
    <s v="NE"/>
    <m/>
    <s v="Amit Pandey"/>
    <s v="Niladri Mangal Choudhury"/>
    <x v="77"/>
    <n v="3081"/>
    <s v="Rushiraj"/>
    <m/>
    <m/>
    <m/>
    <m/>
    <s v="NE"/>
  </r>
  <r>
    <x v="2"/>
    <m/>
    <n v="163900"/>
    <s v="DO 5 PUNE"/>
    <s v="OIC/23-24/1070"/>
    <s v="163900/48/2023/2307"/>
    <n v="7"/>
    <s v="AVALARA TECHNOLOGIES PRIVATE LIMITED"/>
    <d v="2022-08-24T00:00:00"/>
    <d v="2023-08-23T00:00:00"/>
    <s v="MIST-PRD-890"/>
    <s v="GROUP MEDICLAIM -TAILORMADE-RISK FLOATER"/>
    <n v="13505"/>
    <n v="7.500037023324694"/>
    <n v="1012.88"/>
    <s v="Pune"/>
    <n v="404474"/>
    <s v="NE"/>
    <m/>
    <s v="Atul Chordiya"/>
    <s v="Sachin Kumar"/>
    <x v="101"/>
    <n v="3091"/>
    <s v="Rushiraj"/>
    <m/>
    <m/>
    <m/>
    <m/>
    <s v="NE"/>
  </r>
  <r>
    <x v="2"/>
    <m/>
    <n v="132000"/>
    <s v="DO JOGESHWARI"/>
    <s v="OIC/23-24/1071"/>
    <s v="132000/11/2022/412"/>
    <n v="3"/>
    <s v=" Allied Blender &amp; Distillers Pvt Ltd"/>
    <d v="2021-09-02T00:00:00"/>
    <d v="2022-09-01T00:00:00"/>
    <s v="FIR-PRD-009"/>
    <s v="ORIENTAL BHARAT LAGHU UDYAM SURAKSHA POLICY"/>
    <n v="-22978"/>
    <n v="10.544869005135347"/>
    <n v="-2423"/>
    <s v="Mumbai"/>
    <n v="360485"/>
    <s v="NE"/>
    <m/>
    <s v="Susmeet Kaur"/>
    <s v="Pooja Yadav"/>
    <x v="80"/>
    <n v="3100"/>
    <s v="Rushiraj"/>
    <m/>
    <m/>
    <m/>
    <m/>
    <s v="NE"/>
  </r>
  <r>
    <x v="2"/>
    <m/>
    <n v="163900"/>
    <s v="DO 5 PUNE"/>
    <s v="OIC/23-24/1072"/>
    <s v="163900/48/2024/1036"/>
    <n v="0"/>
    <s v="WRITER BUSINESS SERVICES PVT LTD"/>
    <d v="2023-06-20T00:00:00"/>
    <d v="2024-06-19T00:00:00"/>
    <s v="MIST-PRD-049"/>
    <s v="SPECIAL CONTINGENCY - POLICY"/>
    <n v="15502"/>
    <n v="12.50161269513611"/>
    <n v="1938"/>
    <s v="Mumbai"/>
    <n v="441070"/>
    <s v="0"/>
    <m/>
    <s v="Susmeet Kaur"/>
    <s v="Amit Rajaram Patkar"/>
    <x v="101"/>
    <n v="3091"/>
    <s v="Rushiraj"/>
    <m/>
    <m/>
    <m/>
    <m/>
    <s v="Updation  done in Saiba"/>
  </r>
  <r>
    <x v="2"/>
    <m/>
    <n v="272200"/>
    <s v="DO 3 NEW DELHI"/>
    <s v="OIC/23-24/1073"/>
    <s v="272200/31/2024/364"/>
    <n v="0"/>
    <s v="JCB INDIA LTD"/>
    <d v="2023-06-14T00:00:00"/>
    <d v="2024-06-13T00:00:00"/>
    <s v="MOT-PRD-006"/>
    <s v="MISCELANEOUS CLASS D VEHICLES"/>
    <n v="12981"/>
    <n v="12.495185270780372"/>
    <n v="1622"/>
    <s v="Delhi"/>
    <s v="NE"/>
    <s v="NE"/>
    <m/>
    <s v="Tejinder Pal Singh"/>
    <s v="Pushpinder Kaur"/>
    <x v="87"/>
    <n v="3079"/>
    <s v="Rushiraj"/>
    <m/>
    <s v="No"/>
    <m/>
    <m/>
    <s v="NE"/>
  </r>
  <r>
    <x v="2"/>
    <m/>
    <n v="163900"/>
    <s v="DO 5 PUNE"/>
    <s v="OIC/23-24/1074"/>
    <s v="163900/48/2024/922"/>
    <n v="0"/>
    <s v="ECA Infrastructure India PvtLtd"/>
    <d v="2023-06-19T00:00:00"/>
    <d v="2024-06-18T00:00:00"/>
    <s v="MIST-PRD-060"/>
    <s v="EMPLOYERS LIABILITY"/>
    <n v="35032"/>
    <n v="12.5"/>
    <n v="4379"/>
    <s v="Pune"/>
    <s v="NE"/>
    <s v="NE"/>
    <m/>
    <s v="Suspense"/>
    <s v="Suspense"/>
    <x v="101"/>
    <n v="3091"/>
    <s v="Rushiraj"/>
    <m/>
    <s v="No"/>
    <m/>
    <m/>
    <s v="NE"/>
  </r>
  <r>
    <x v="2"/>
    <m/>
    <n v="510000"/>
    <s v="CBRO DELHI"/>
    <s v="OIC/23-24/1075"/>
    <s v="510000/31/2024/35"/>
    <n v="0"/>
    <s v="JCB INDIA LIMITED"/>
    <d v="2023-06-01T00:00:00"/>
    <d v="2024-05-31T00:00:00"/>
    <s v="MOT-PRD-006"/>
    <s v="MISCELANEOUS CLASS D VEHICLES"/>
    <n v="13169"/>
    <n v="12.491457210114664"/>
    <n v="1645"/>
    <s v="Delhi"/>
    <s v="NE"/>
    <s v="NE"/>
    <m/>
    <s v="Tejinder Pal Singh"/>
    <s v="Pushpinder Kaur"/>
    <x v="77"/>
    <n v="3081"/>
    <s v="Rushiraj"/>
    <m/>
    <s v="No"/>
    <m/>
    <m/>
    <s v="NE"/>
  </r>
  <r>
    <x v="2"/>
    <m/>
    <n v="212203"/>
    <s v="CBO 13 N-34 C.PLACE"/>
    <s v="OIC/23-24/1076"/>
    <s v="212203/31/2024/592"/>
    <n v="0"/>
    <s v="ENERGY EFFICIENCY SERVICES LIMITED"/>
    <d v="2023-06-09T00:00:00"/>
    <d v="2024-06-08T00:00:00"/>
    <s v="MOT-PRD-015"/>
    <s v="STANDALONE OWN DAMAGE(OD)-PRIVATE CAR"/>
    <n v="13915"/>
    <n v="14.991016888250089"/>
    <n v="2086"/>
    <s v="Delhi"/>
    <n v="443961"/>
    <s v="0"/>
    <m/>
    <s v="Saurabh Dwivedi"/>
    <s v="Mohit Mendiratta"/>
    <x v="81"/>
    <n v="3075"/>
    <s v="Rushiraj"/>
    <m/>
    <m/>
    <m/>
    <m/>
    <s v="Updation  done in Saiba"/>
  </r>
  <r>
    <x v="2"/>
    <m/>
    <n v="442600"/>
    <s v="DO  THODUPUZHA"/>
    <s v="OIC/23-24/1077"/>
    <s v="442600/11/2023/137"/>
    <n v="1"/>
    <s v=" AMTRADE"/>
    <d v="2023-02-03T00:00:00"/>
    <d v="2024-02-02T00:00:00"/>
    <s v="FIR-PRD-009"/>
    <s v="ORIENTAL BHARAT LAGHU UDYAM SURAKSHA POLICY"/>
    <n v="15058"/>
    <n v="12.710851374684552"/>
    <n v="1914"/>
    <s v="Mumbai"/>
    <n v="428862"/>
    <s v="NE"/>
    <m/>
    <s v="Shakuntala Jewani"/>
    <s v="Avinash C.Rane"/>
    <x v="94"/>
    <n v="3073"/>
    <s v="Rushiraj"/>
    <m/>
    <m/>
    <m/>
    <m/>
    <s v="NE"/>
  </r>
  <r>
    <x v="2"/>
    <m/>
    <n v="163600"/>
    <s v="DO IV PUNE"/>
    <s v="OIC/23-24/1078"/>
    <s v="163600/21/2024/3/0003"/>
    <n v="0"/>
    <s v="RATHI DYE CHEM (P) LTD"/>
    <d v="2023-06-07T00:00:00"/>
    <d v="2024-05-31T00:00:00"/>
    <s v="MC-PRD-015"/>
    <s v="MARINE CARGO - OPEN COVER"/>
    <n v="804"/>
    <n v="20.024875621890548"/>
    <n v="161"/>
    <s v="Pune"/>
    <s v="NE"/>
    <s v="NE"/>
    <m/>
    <s v="Smita Lokapure"/>
    <s v="Vishal Sushil Pachisia"/>
    <x v="83"/>
    <n v="3090"/>
    <s v="Rushiraj"/>
    <m/>
    <s v="No"/>
    <m/>
    <m/>
    <s v="NE"/>
  </r>
  <r>
    <x v="2"/>
    <m/>
    <n v="233600"/>
    <s v="DO RAJPURA"/>
    <s v="OIC/23-24/1079"/>
    <s v="233600/48/2023/1973"/>
    <n v="10"/>
    <s v="HUDL INDIA PRIVATE LIMITED"/>
    <d v="2023-02-25T00:00:00"/>
    <d v="2024-02-24T00:00:00"/>
    <s v="MIST-PRD-001"/>
    <s v="GPA - NAMED"/>
    <n v="-2553"/>
    <n v="7.5001958480219342"/>
    <n v="-191.48"/>
    <s v="Mumbai"/>
    <n v="421676"/>
    <s v="NE"/>
    <m/>
    <s v="Ashita Lotia"/>
    <s v="Manpreet Kaur Gill"/>
    <x v="102"/>
    <n v="3084"/>
    <s v="Rushiraj"/>
    <m/>
    <m/>
    <m/>
    <m/>
    <s v="NE"/>
  </r>
  <r>
    <x v="2"/>
    <m/>
    <n v="510000"/>
    <s v="CBRO DELHI"/>
    <s v="OIC/23-24/1080"/>
    <s v="510000/48/2024/230"/>
    <n v="1"/>
    <s v="NUCLEUS SOFTWARE EXPORT LIMITED"/>
    <d v="2023-04-01T00:00:00"/>
    <d v="2024-03-31T00:00:00"/>
    <s v="MIST-PRD-001"/>
    <s v="GPA - NAMED"/>
    <n v="-269"/>
    <n v="7.4349442379182156"/>
    <n v="-20"/>
    <s v="Delhi"/>
    <n v="435803"/>
    <s v="NE"/>
    <m/>
    <s v="Abhishek Sharma"/>
    <s v="Ishita Sharma"/>
    <x v="77"/>
    <n v="3081"/>
    <s v="Rushiraj"/>
    <m/>
    <m/>
    <m/>
    <m/>
    <s v="NE"/>
  </r>
  <r>
    <x v="2"/>
    <m/>
    <n v="510000"/>
    <s v="CBRO DELHI"/>
    <s v="OIC/23-24/1081"/>
    <s v="510000/48/2023/634"/>
    <n v="11"/>
    <s v="SUTHERLAND GLOBAL SERVICES PRIVATE LIMITED"/>
    <d v="2022-04-30T00:00:00"/>
    <d v="2023-04-29T00:00:00"/>
    <s v="MIST-PRD-890"/>
    <s v="GROUP MEDICLAIM -TAILORMADE-RISK FLOATER"/>
    <n v="15881"/>
    <n v="2.4998425791826713"/>
    <n v="397"/>
    <s v="Chennai"/>
    <n v="398828"/>
    <s v="NE"/>
    <m/>
    <s v="Payal Batra"/>
    <s v="Aas Mohammad"/>
    <x v="77"/>
    <n v="3081"/>
    <s v="Rushiraj"/>
    <m/>
    <m/>
    <m/>
    <m/>
    <s v="NE"/>
  </r>
  <r>
    <x v="2"/>
    <m/>
    <n v="112400"/>
    <s v="MRO 1 Aviation Cell"/>
    <s v="OIC/23-24/1082"/>
    <s v="112400/43/2024/44"/>
    <n v="0"/>
    <s v="JET SERVE AVIATION PRIVATE LIMITED"/>
    <d v="2023-06-05T00:00:00"/>
    <d v="2024-06-04T00:00:00"/>
    <s v="AVI-PRD-037"/>
    <s v="HULL ALL RISK"/>
    <n v="403125"/>
    <n v="9.9996279069767446"/>
    <n v="40311"/>
    <s v="Delhi"/>
    <n v="436322"/>
    <s v="0"/>
    <m/>
    <s v="Vineet Khattar"/>
    <s v="Varun Malik"/>
    <x v="96"/>
    <n v="3087"/>
    <s v="Rushiraj"/>
    <m/>
    <m/>
    <m/>
    <m/>
    <s v="Updation  done in Saiba"/>
  </r>
  <r>
    <x v="2"/>
    <m/>
    <n v="272200"/>
    <s v="DO 3 NEW DELHI"/>
    <s v="OIC/23-24/1083"/>
    <s v="272200/31/2024/427"/>
    <n v="0"/>
    <s v=" Humboldt Wedag India Pvt Ltd"/>
    <d v="2023-06-29T00:00:00"/>
    <d v="2024-06-28T00:00:00"/>
    <s v="MOT-PRD-006"/>
    <s v="MISCELANEOUS CLASS D VEHICLES"/>
    <n v="10289"/>
    <n v="12.489065992807854"/>
    <n v="1285"/>
    <s v="Delhi"/>
    <n v="440660"/>
    <s v="0"/>
    <m/>
    <s v="Saurabh Dwivedi"/>
    <s v="Sekhar Gurung"/>
    <x v="87"/>
    <n v="3079"/>
    <s v="Rushiraj"/>
    <m/>
    <m/>
    <m/>
    <s v="Excess"/>
    <s v="Updation  done in Saiba"/>
  </r>
  <r>
    <x v="2"/>
    <m/>
    <n v="421200"/>
    <s v="DO2 BANGALORE"/>
    <s v="OIC/23-24/1084"/>
    <s v="421200/48/2023/4443"/>
    <n v="6"/>
    <s v="Mobileum Technologies Private Limited"/>
    <d v="2023-01-10T00:00:00"/>
    <d v="2024-01-09T00:00:00"/>
    <s v="MIST-PRD-890"/>
    <s v="GROUP MEDICLAIM -TAILORMADE-RISK FLOATER"/>
    <n v="-213512"/>
    <n v="7.4998126568998469"/>
    <n v="-16013"/>
    <s v="Mumbai"/>
    <n v="441196"/>
    <s v="E5"/>
    <m/>
    <s v="Saraswati Shetty"/>
    <s v="Pravin Arun Jagtap"/>
    <x v="103"/>
    <n v="3098"/>
    <s v="Rushiraj"/>
    <m/>
    <m/>
    <s v="Premium Mismatched"/>
    <m/>
    <s v="Modification"/>
  </r>
  <r>
    <x v="2"/>
    <m/>
    <n v="510000"/>
    <s v="CBRO DELHI"/>
    <s v="OIC/23-24/1085"/>
    <s v="510000/48/2023/1174"/>
    <n v="5"/>
    <s v="TRUEBLUE INDIA LLP"/>
    <d v="2022-11-01T00:00:00"/>
    <d v="2023-10-31T00:00:00"/>
    <s v="MIST-PRD-890"/>
    <s v="GROUP MEDICLAIM -TAILORMADE-RISK FLOATER"/>
    <n v="-123587"/>
    <n v="7.5000040457329664"/>
    <n v="-9269.0300000000007"/>
    <s v="Delhi"/>
    <n v="419473"/>
    <s v="NE"/>
    <m/>
    <s v="Amit Pandey"/>
    <s v="Rakesh Kumar Singh"/>
    <x v="77"/>
    <n v="3081"/>
    <s v="Rushiraj"/>
    <m/>
    <m/>
    <m/>
    <m/>
    <s v="NE"/>
  </r>
  <r>
    <x v="2"/>
    <m/>
    <n v="222105"/>
    <s v="KANPUR DEHAT"/>
    <s v="OIC/23-24/1086"/>
    <s v="222105/48/2024/582"/>
    <n v="0"/>
    <s v=" SURENDER SINGH BHANDARI,"/>
    <d v="2023-06-21T00:00:00"/>
    <d v="2024-06-20T00:00:00"/>
    <s v="MIST-PRD-943"/>
    <s v="HAPPY FAMILY FLOATER POLICY-2021"/>
    <n v="32861"/>
    <n v="7.5012933264355919"/>
    <n v="2465"/>
    <s v="Delhi"/>
    <n v="441059"/>
    <s v="0"/>
    <m/>
    <s v="Kushal Bhatia"/>
    <s v="Navneet Arora"/>
    <x v="79"/>
    <n v="3078"/>
    <s v="Rushiraj"/>
    <m/>
    <m/>
    <m/>
    <s v="Part"/>
    <s v="Updation  done in Saiba"/>
  </r>
  <r>
    <x v="2"/>
    <m/>
    <n v="212203"/>
    <s v="CBO 13 N-34 C.PLACE"/>
    <s v="OIC/23-24/1087"/>
    <s v="212203/31/2024/760"/>
    <n v="0"/>
    <s v="POWER FOUNDATION OF INDIA"/>
    <d v="2023-06-28T00:00:00"/>
    <d v="2024-06-27T00:00:00"/>
    <s v="MOT-PRD-012"/>
    <s v="PRIVATE CAR-(3 Years)"/>
    <n v="9434"/>
    <n v="14.998940004239982"/>
    <n v="1415"/>
    <s v="Delhi"/>
    <n v="443953"/>
    <s v="0"/>
    <m/>
    <s v="Saurabh Dwivedi"/>
    <s v="Mohit Mendiratta"/>
    <x v="81"/>
    <n v="3075"/>
    <s v="Rushiraj"/>
    <m/>
    <m/>
    <m/>
    <m/>
    <s v="Updation  done in Saiba"/>
  </r>
  <r>
    <x v="2"/>
    <m/>
    <n v="431500"/>
    <s v="DO IV HYDERABAD"/>
    <s v="OIC/23-24/1088"/>
    <s v="431500/48/2023/3634"/>
    <n v="8"/>
    <s v="WAVEMAKER INDIA PRIVATE LIMITED"/>
    <d v="2023-03-15T00:00:00"/>
    <d v="2024-03-14T00:00:00"/>
    <s v="MIST-PRD-890"/>
    <s v="GROUP MEDICLAIM -TAILORMADE-RISK FLOATER"/>
    <n v="-58888"/>
    <n v="2.5"/>
    <n v="-1472.2"/>
    <s v="Hyderabad"/>
    <n v="424816"/>
    <s v="NE"/>
    <m/>
    <s v="Prasanna Vadhana"/>
    <s v="Manisha Marda"/>
    <x v="93"/>
    <n v="3082"/>
    <s v="Rushiraj"/>
    <m/>
    <m/>
    <m/>
    <m/>
    <s v="NE"/>
  </r>
  <r>
    <x v="2"/>
    <m/>
    <n v="212203"/>
    <s v="CBO 13 N-34 C.PLACE"/>
    <s v="OIC/23-24/1089"/>
    <s v="212203/31/2024/689"/>
    <n v="1"/>
    <s v="LESSEE POWER GRID CORPORATION OF INDIA LTD"/>
    <d v="2023-06-20T00:00:00"/>
    <d v="2023-06-20T00:00:00"/>
    <s v="MOT-PRD-012"/>
    <s v="PRIVATE CAR-(3 Years)"/>
    <n v="-9682"/>
    <n v="14.996901466639125"/>
    <n v="-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212203"/>
    <s v="CBO 13 N-34 C.PLACE"/>
    <s v="OIC/23-24/1090"/>
    <s v="212203/31/2024/712"/>
    <n v="0"/>
    <s v="OFFICE OF THE DEPUTY COMMISSIONER,"/>
    <d v="2023-06-25T00:00:00"/>
    <d v="2024-06-24T00:00:00"/>
    <s v="MOT-PRD-001"/>
    <s v="PRIVATE CAR"/>
    <n v="8522"/>
    <n v="13.224595165454119"/>
    <n v="1127"/>
    <s v="Delhi"/>
    <n v="443836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091"/>
    <s v="212203/31/2024/697"/>
    <n v="0"/>
    <s v="LESSEE POWER GRID CORPORATION OF INDIA LTD"/>
    <d v="2023-06-21T00:00:00"/>
    <d v="2024-06-20T00:00:00"/>
    <s v="MOT-PRD-012"/>
    <s v="PRIVATE CAR-(3 Years)"/>
    <n v="8870"/>
    <n v="15.005636978579481"/>
    <n v="1331"/>
    <s v="Delhi"/>
    <n v="443944"/>
    <n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092"/>
    <s v="212203/31/2024/683"/>
    <n v="0"/>
    <s v="LESSEE POWER GRID CORPORATION OF INDIA LTD"/>
    <d v="2023-06-20T00:00:00"/>
    <d v="2024-06-19T00:00:00"/>
    <s v="MOT-PRD-012"/>
    <s v="PRIVATE CAR-(3 Years)"/>
    <n v="9682"/>
    <n v="14.996901466639125"/>
    <n v="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212203"/>
    <s v="CBO 13 N-34 C.PLACE"/>
    <s v="OIC/23-24/1093"/>
    <s v="212203/31/2024/686"/>
    <n v="0"/>
    <s v="LESSEE POWER GRID CORPORATION OF INDIA LTD"/>
    <d v="2023-06-20T00:00:00"/>
    <d v="2024-06-19T00:00:00"/>
    <s v="MOT-PRD-012"/>
    <s v="PRIVATE CAR-(3 Years)"/>
    <n v="9682"/>
    <n v="14.996901466639125"/>
    <n v="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111200"/>
    <s v="CBU-3 MUMBAI"/>
    <s v="OIC/23-24/1094"/>
    <s v="111200/48/2024/424"/>
    <n v="0"/>
    <s v="KABIR SEHGAL"/>
    <d v="2023-06-26T00:00:00"/>
    <d v="2024-06-25T00:00:00"/>
    <s v="MIST-PRD-003"/>
    <s v="PA INDIVIDUAL"/>
    <n v="37500"/>
    <n v="16.501333333333335"/>
    <n v="6188"/>
    <s v="Mumbai"/>
    <n v="442013"/>
    <s v="0"/>
    <m/>
    <s v="Kushal Bhatia"/>
    <s v="Anju Shukla"/>
    <x v="104"/>
    <n v="3085"/>
    <s v="Rushiraj"/>
    <m/>
    <m/>
    <m/>
    <s v="Excess"/>
    <s v="Updation  done in Saiba"/>
  </r>
  <r>
    <x v="2"/>
    <m/>
    <n v="215600"/>
    <s v="DO 4 NEW DELHI"/>
    <s v="OIC/23-24/1095"/>
    <s v="215600/31/2024/256"/>
    <n v="0"/>
    <s v=" DELHIVERY LTD"/>
    <d v="2023-06-16T00:00:00"/>
    <d v="2024-06-15T00:00:00"/>
    <s v="MOT-PRD-003"/>
    <s v="GCCV"/>
    <n v="78419"/>
    <n v="7.9993368953952482"/>
    <n v="6273"/>
    <s v="Delhi"/>
    <s v="NE"/>
    <s v="NE"/>
    <m/>
    <s v="Saurabh Dwivedi"/>
    <s v="Santosh Kumar Gupta"/>
    <x v="84"/>
    <n v="3076"/>
    <s v="Rushiraj"/>
    <m/>
    <s v="No"/>
    <m/>
    <m/>
    <s v="NE"/>
  </r>
  <r>
    <x v="2"/>
    <m/>
    <n v="212200"/>
    <s v="NEW DELHI DO 10"/>
    <s v="OIC/23-24/1096"/>
    <s v="212200/48/2024/266"/>
    <n v="0"/>
    <s v=" EXCEL PACK PVT LTD"/>
    <d v="2023-06-13T00:00:00"/>
    <d v="2024-06-12T00:00:00"/>
    <s v="MIST-PRD-753"/>
    <s v="BURGLARY FLOATER"/>
    <n v="1458"/>
    <n v="12.482853223593965"/>
    <n v="182"/>
    <s v="Delhi"/>
    <s v="NE"/>
    <s v="NE"/>
    <m/>
    <s v="Aradhana Dwivedi"/>
    <s v="Amit Wali"/>
    <x v="82"/>
    <n v="3074"/>
    <s v="Rushiraj"/>
    <m/>
    <s v="No"/>
    <m/>
    <m/>
    <s v="NE"/>
  </r>
  <r>
    <x v="2"/>
    <m/>
    <n v="215600"/>
    <s v="DO 4 NEW DELHI"/>
    <s v="OIC/23-24/1097"/>
    <s v="215600/48/2024/663"/>
    <n v="0"/>
    <s v="Lumax Auto Technologies Ltd"/>
    <d v="2023-04-01T00:00:00"/>
    <d v="2024-03-31T00:00:00"/>
    <s v="MIST-PRD-061"/>
    <s v="All RISK"/>
    <n v="5342"/>
    <n v="12.504679895170348"/>
    <n v="668"/>
    <s v="Delhi"/>
    <n v="430610"/>
    <s v="0"/>
    <m/>
    <s v="Rohit Kumar Mendiratta"/>
    <s v="Prince Tayal"/>
    <x v="84"/>
    <n v="3076"/>
    <s v="Rushiraj"/>
    <m/>
    <m/>
    <m/>
    <m/>
    <s v="Updation  done in Saiba"/>
  </r>
  <r>
    <x v="2"/>
    <m/>
    <n v="212203"/>
    <s v="CBO 13 N-34 C.PLACE"/>
    <s v="OIC/23-24/1098"/>
    <s v="212203/31/2024/575"/>
    <n v="0"/>
    <s v="ENERGY EFFICIENCY SERVICES LTD"/>
    <d v="2023-06-08T00:00:00"/>
    <d v="2024-06-07T00:00:00"/>
    <s v="MOT-PRD-015"/>
    <s v="STANDALONE OWN DAMAGE(OD)-PRIVATE CAR"/>
    <n v="8914"/>
    <n v="15.010096477451201"/>
    <n v="1338"/>
    <s v="Delhi"/>
    <n v="443957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099"/>
    <s v="212203/31/2024/528"/>
    <n v="0"/>
    <s v="EAST DELHI MUNICIPAL CORPORATION"/>
    <d v="2023-06-04T00:00:00"/>
    <d v="2024-06-03T00:00:00"/>
    <s v="MOT-PRD-001"/>
    <s v="PRIVATE CAR"/>
    <n v="8711"/>
    <n v="0"/>
    <n v="0"/>
    <s v="Delhi"/>
    <n v="443785"/>
    <s v="0"/>
    <m/>
    <s v="Saurabh Dwivedi"/>
    <s v="Mohit Mendiratta"/>
    <x v="81"/>
    <n v="3075"/>
    <s v="Rushiraj"/>
    <m/>
    <m/>
    <m/>
    <s v="Part"/>
    <s v="Updation  done in Saiba"/>
  </r>
  <r>
    <x v="2"/>
    <m/>
    <n v="510000"/>
    <s v="CBRO DELHI"/>
    <s v="OIC/23-24/1100"/>
    <s v="510000/48/2023/1560"/>
    <n v="3"/>
    <s v="DENTSU WEBCHUTNEY PRIVATE LIMITED"/>
    <d v="2023-02-07T00:00:00"/>
    <d v="2023-12-31T00:00:00"/>
    <s v="MIST-PRD-890"/>
    <s v="GROUP MEDICLAIM -TAILORMADE-RISK FLOATER"/>
    <n v="11419"/>
    <n v="5.0000000000000009"/>
    <n v="570.95000000000005"/>
    <s v="Delhi"/>
    <n v="430685"/>
    <s v="NE"/>
    <m/>
    <s v="Amit Pandey"/>
    <s v="Niladri Mangal Choudhury"/>
    <x v="77"/>
    <n v="3081"/>
    <s v="Rushiraj"/>
    <m/>
    <m/>
    <m/>
    <m/>
    <s v="NE"/>
  </r>
  <r>
    <x v="2"/>
    <m/>
    <n v="540000"/>
    <s v="CBO BANGALORE"/>
    <s v="OIC/23-24/1036"/>
    <s v="421300/48/2023/928"/>
    <n v="7"/>
    <s v="ATRIA CONVERGENCE TECHNOLOGIES LIMITED"/>
    <d v="2022-09-03T00:00:00"/>
    <d v="2023-09-02T00:00:00"/>
    <s v="MIST-PRD-890"/>
    <s v="GROUP MEDICLAIM -TAILORMADE-RISK FLOATER"/>
    <n v="11191"/>
    <n v="5"/>
    <n v="559.54999999999995"/>
    <s v="Bangalore"/>
    <n v="401739"/>
    <s v="E6"/>
    <m/>
    <s v="Jayachitra M"/>
    <s v="Vinod Kumar Heggadadevanapura Thammaiah"/>
    <x v="78"/>
    <n v="3123"/>
    <s v="Rushiraj"/>
    <m/>
    <m/>
    <m/>
    <m/>
    <s v="Updation done in saiba"/>
  </r>
  <r>
    <x v="2"/>
    <m/>
    <n v="212203"/>
    <s v="CBO 13 N-34 C.PLACE"/>
    <s v="OIC/23-24/1102"/>
    <s v="212203/31/2024/663"/>
    <n v="0"/>
    <s v="DIRECTORATE OF TRANSPORT"/>
    <d v="2023-06-22T00:00:00"/>
    <d v="2024-06-21T00:00:00"/>
    <s v="MOT-PRD-001"/>
    <s v="PRIVATE CAR"/>
    <n v="8522"/>
    <n v="13.224595165454119"/>
    <n v="1127"/>
    <s v="Delhi"/>
    <n v="443833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103"/>
    <s v="510000/31/2024/43"/>
    <n v="0"/>
    <s v="JCB INDIA LTD"/>
    <d v="2023-06-16T00:00:00"/>
    <d v="2024-06-15T00:00:00"/>
    <s v="MOT-PRD-006"/>
    <s v="MISCELANEOUS CLASS D VEHICLES"/>
    <n v="12776"/>
    <n v="12.5"/>
    <n v="1597"/>
    <s v="Pune"/>
    <s v="NE"/>
    <s v="NE"/>
    <m/>
    <s v="Azmi Raza"/>
    <s v="Salman Shaikh"/>
    <x v="77"/>
    <n v="3081"/>
    <s v="Rushiraj"/>
    <m/>
    <s v="No"/>
    <m/>
    <m/>
    <s v="NE"/>
  </r>
  <r>
    <x v="2"/>
    <m/>
    <n v="212203"/>
    <s v="CBO 13 N-34 C.PLACE"/>
    <s v="OIC/23-24/1104"/>
    <s v="212203/31/2024/734"/>
    <n v="0"/>
    <s v="THE DIRECTOR ANERT"/>
    <d v="2023-06-28T00:00:00"/>
    <d v="2024-06-27T00:00:00"/>
    <s v="MOT-PRD-015"/>
    <s v="STANDALONE OWN DAMAGE(OD)-PRIVATE CAR"/>
    <n v="8871"/>
    <n v="14.99267275391726"/>
    <n v="1330"/>
    <s v="Delhi"/>
    <n v="443975"/>
    <s v="0"/>
    <m/>
    <s v="Saurabh Dwivedi"/>
    <s v="Mohit Mendiratta"/>
    <x v="81"/>
    <n v="3075"/>
    <s v="Rushiraj"/>
    <m/>
    <m/>
    <m/>
    <m/>
    <s v="Updation  done in Saiba"/>
  </r>
  <r>
    <x v="2"/>
    <m/>
    <n v="510000"/>
    <s v="CBRO DELHI"/>
    <s v="OIC/23-24/1105"/>
    <s v="510000/48/2023/1618"/>
    <n v="2"/>
    <s v="DENTSU AEGIS NETWORK INDIA PRIVATE LIMITED"/>
    <d v="2023-02-03T00:00:00"/>
    <d v="2024-02-02T00:00:00"/>
    <s v="MIST-PRD-890"/>
    <s v="GROUP MEDICLAIM -TAILORMADE-RISK FLOATER"/>
    <n v="-31739"/>
    <n v="0.50001575348939786"/>
    <n v="-158.69999999999999"/>
    <s v="Delhi"/>
    <n v="434030"/>
    <s v="E1"/>
    <m/>
    <s v="Amit Pandey"/>
    <s v="Niladri Mangal Choudhury"/>
    <x v="77"/>
    <n v="3081"/>
    <s v="Rushiraj"/>
    <m/>
    <m/>
    <m/>
    <s v="Part"/>
    <s v="Updation  done in Saiba"/>
  </r>
  <r>
    <x v="2"/>
    <m/>
    <n v="510000"/>
    <s v="CBRO DELHI"/>
    <s v="OIC/23-24/1106"/>
    <s v="510000/48/2024/426"/>
    <n v="0"/>
    <s v="ARTEMIS MEDICARE SERVICES LIMITED"/>
    <d v="2023-06-13T00:00:00"/>
    <d v="2024-06-11T00:00:00"/>
    <s v="MIST-PRD-031"/>
    <s v="PUBLIC LIABILITY INDUSTRIAL"/>
    <n v="133202"/>
    <n v="12.499812315130404"/>
    <n v="16650"/>
    <s v="Delhi"/>
    <n v="440236"/>
    <s v="0"/>
    <m/>
    <s v="Hemant Kumar Gupta"/>
    <s v="Namit Malhotra"/>
    <x v="77"/>
    <n v="3081"/>
    <s v="Rushiraj"/>
    <m/>
    <m/>
    <m/>
    <s v="Excess"/>
    <s v="Updation  done in Saiba"/>
  </r>
  <r>
    <x v="2"/>
    <m/>
    <n v="412300"/>
    <s v="DO 13 CHENNAI"/>
    <s v="OIC/23-24/1107"/>
    <s v="412300/48/2023/1362"/>
    <n v="12"/>
    <s v="FULCRUM CRES PVT LTD"/>
    <d v="2022-11-08T00:00:00"/>
    <d v="2023-11-07T00:00:00"/>
    <s v="MIST-PRD-001"/>
    <s v="GPA - NAMED"/>
    <n v="-112"/>
    <n v="7.1428571428571423"/>
    <n v="-8"/>
    <s v="Chennai"/>
    <n v="405492"/>
    <s v="E11"/>
    <m/>
    <s v="Meenakshi Menon"/>
    <s v="Sathyendra Chandra Bose N"/>
    <x v="97"/>
    <n v="3070"/>
    <s v="Rushiraj"/>
    <m/>
    <m/>
    <m/>
    <m/>
    <s v="Updation  done in Saiba"/>
  </r>
  <r>
    <x v="2"/>
    <m/>
    <n v="510000"/>
    <s v="CBRO DELHI"/>
    <s v="OIC/23-24/1108"/>
    <s v="510000/48/2023/678"/>
    <n v="6"/>
    <s v="JCB POWER PRODUCTS INDIA PVT LTD"/>
    <d v="2022-06-01T00:00:00"/>
    <d v="2023-05-31T00:00:00"/>
    <s v="MIST-PRD-890"/>
    <s v="GROUP MEDICLAIM -TAILORMADE-RISK FLOATER"/>
    <n v="3690"/>
    <n v="0"/>
    <n v="0"/>
    <s v="Delhi"/>
    <n v="387274"/>
    <s v="NE"/>
    <m/>
    <s v="Sonia Schofield"/>
    <s v="Vikas Saxena"/>
    <x v="77"/>
    <n v="3081"/>
    <s v="Rushiraj"/>
    <m/>
    <m/>
    <m/>
    <m/>
    <s v="NE"/>
  </r>
  <r>
    <x v="2"/>
    <m/>
    <n v="212203"/>
    <s v="CBO 13 N-34 C.PLACE"/>
    <s v="OIC/23-24/1109"/>
    <s v="212203/31/2024/535"/>
    <n v="0"/>
    <s v="PRASAR BHARTI DOORDARSHAN KENDRA"/>
    <d v="2023-06-05T00:00:00"/>
    <d v="2024-06-04T00:00:00"/>
    <s v="MOT-PRD-001"/>
    <s v="PRIVATE CAR"/>
    <n v="8471"/>
    <n v="0"/>
    <n v="0"/>
    <s v="Delhi"/>
    <n v="443792"/>
    <s v="0"/>
    <m/>
    <s v="Saurabh Dwivedi"/>
    <s v="Mohit Mendiratta"/>
    <x v="81"/>
    <n v="3075"/>
    <s v="Rushiraj"/>
    <m/>
    <m/>
    <m/>
    <s v="Part"/>
    <s v="Updation  done in Saiba"/>
  </r>
  <r>
    <x v="2"/>
    <m/>
    <n v="442600"/>
    <s v="DO  THODUPUZHA"/>
    <s v="OIC/23-24/1110"/>
    <s v="442600/48/2024/231"/>
    <n v="0"/>
    <s v=" Epsilon Carbon Pvt Ltd"/>
    <d v="2023-06-01T00:00:00"/>
    <d v="2023-08-31T00:00:00"/>
    <s v="MIST-PRD-751"/>
    <s v="BURGLARY"/>
    <n v="3000"/>
    <n v="12.5"/>
    <n v="375"/>
    <s v="Mumbai"/>
    <s v="NE"/>
    <s v="NE"/>
    <m/>
    <s v="Susmeet Kaur"/>
    <s v="Pooja Yadav"/>
    <x v="94"/>
    <n v="3073"/>
    <s v="Rushiraj"/>
    <m/>
    <s v="No"/>
    <m/>
    <m/>
    <s v="NE"/>
  </r>
  <r>
    <x v="2"/>
    <m/>
    <n v="222105"/>
    <s v="KANPUR DEHAT"/>
    <s v="OIC/23-24/1111"/>
    <s v="222105/48/2024/401"/>
    <n v="0"/>
    <s v="Sheela Rani"/>
    <d v="2023-06-06T00:00:00"/>
    <d v="2024-06-05T00:00:00"/>
    <s v="MIST-PRD-943"/>
    <s v="HAPPY FAMILY FLOATER POLICY-2021"/>
    <n v="46372"/>
    <n v="5.0008625894936598"/>
    <n v="2319"/>
    <s v="Delhi"/>
    <n v="438386"/>
    <s v="0"/>
    <m/>
    <s v="Kushal Bhatia"/>
    <s v="Navneet Arora"/>
    <x v="79"/>
    <n v="3078"/>
    <s v="Rushiraj"/>
    <m/>
    <m/>
    <m/>
    <s v="Part"/>
    <s v="Updation  done in Saiba"/>
  </r>
  <r>
    <x v="2"/>
    <m/>
    <n v="510000"/>
    <s v="CBRO DELHI"/>
    <s v="OIC/23-24/1112"/>
    <s v="510000/48/2023/1411"/>
    <n v="7"/>
    <s v="HAYS BUSINESS SOLUTIONS PVT LTD"/>
    <d v="2023-01-01T00:00:00"/>
    <d v="2023-12-31T00:00:00"/>
    <s v="MIST-PRD-890"/>
    <s v="GROUP MEDICLAIM -TAILORMADE-RISK FLOATER"/>
    <n v="-115443"/>
    <n v="7.500004331141775"/>
    <n v="-8658.23"/>
    <s v="Delhi"/>
    <n v="421505"/>
    <s v="E1"/>
    <m/>
    <s v="Abhishek Sharma"/>
    <s v="Ishita Sharma"/>
    <x v="77"/>
    <n v="3081"/>
    <s v="Rushiraj"/>
    <m/>
    <m/>
    <m/>
    <m/>
    <s v="Updation  done in Saiba"/>
  </r>
  <r>
    <x v="2"/>
    <m/>
    <n v="233406"/>
    <s v="CBO 3 LUDHIANA"/>
    <s v="OIC/23-24/1113"/>
    <s v="233406/11/2024/209"/>
    <n v="0"/>
    <s v="Shri Gopal Ji Dyeing House"/>
    <d v="2023-06-02T00:00:00"/>
    <d v="2024-06-01T00:00:00"/>
    <s v="FIR-PRD-012"/>
    <s v="ORIENTAL INSURANCE - FLEXI BHARAT LAGHU UDYAM SURAKSHA"/>
    <n v="97774"/>
    <n v="21.999713625299158"/>
    <n v="21510"/>
    <s v="Ludhiana"/>
    <s v="NE"/>
    <s v="NE"/>
    <m/>
    <s v="Suspense"/>
    <s v="Suspense"/>
    <x v="105"/>
    <n v="3083"/>
    <s v="Rushiraj"/>
    <m/>
    <s v="No"/>
    <m/>
    <m/>
    <s v="NE"/>
  </r>
  <r>
    <x v="2"/>
    <m/>
    <n v="212203"/>
    <s v="CBO 13 N-34 C.PLACE"/>
    <s v="OIC/23-24/1114"/>
    <s v="212203/31/2024/595"/>
    <n v="0"/>
    <s v="ENERGY EFFICIENCY SERVICES LIMITED"/>
    <d v="2023-06-11T00:00:00"/>
    <d v="2024-06-10T00:00:00"/>
    <s v="MOT-PRD-001"/>
    <s v="PRIVATE CAR"/>
    <n v="8618"/>
    <n v="13.239730796008354"/>
    <n v="1141"/>
    <s v="Delhi"/>
    <n v="443821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115"/>
    <s v="212203/31/2024/686"/>
    <n v="1"/>
    <s v="LESSEE POWER GRID CORPORATION OF INDIA LTD"/>
    <d v="2023-06-20T00:00:00"/>
    <d v="2023-06-20T00:00:00"/>
    <s v="MOT-PRD-012"/>
    <s v="PRIVATE CAR-(3 Years)"/>
    <n v="-9682"/>
    <n v="14.996901466639125"/>
    <n v="-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212203"/>
    <s v="CBO 13 N-34 C.PLACE"/>
    <s v="OIC/23-24/1116"/>
    <s v="212203/31/2024/552"/>
    <n v="0"/>
    <s v="LESSEE:AC(HQ) SOUTH DELHI M CORP"/>
    <d v="2023-06-07T00:00:00"/>
    <d v="2024-06-06T00:00:00"/>
    <s v="MOT-PRD-001"/>
    <s v="PRIVATE CAR"/>
    <n v="8706"/>
    <n v="13.26671261199173"/>
    <n v="1155"/>
    <s v="Delhi"/>
    <n v="443797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72200"/>
    <s v="DO 3 NEW DELHI"/>
    <s v="OIC/23-24/1117"/>
    <s v="272200/31/2024/311"/>
    <n v="0"/>
    <s v="GAURAV GUPTA"/>
    <d v="2023-06-06T00:00:00"/>
    <d v="2024-06-05T00:00:00"/>
    <s v="MOT-PRD-001"/>
    <s v="PRIVATE CAR"/>
    <n v="16255"/>
    <n v="2.4976930175330665"/>
    <n v="406"/>
    <s v="Ludhiana"/>
    <n v="435966"/>
    <s v="0"/>
    <m/>
    <s v="Prem Parkash"/>
    <s v="HImanshu Arora"/>
    <x v="87"/>
    <n v="3079"/>
    <s v="Rushiraj"/>
    <m/>
    <m/>
    <m/>
    <s v="Part"/>
    <s v="Updation  done in Saiba"/>
  </r>
  <r>
    <x v="2"/>
    <m/>
    <n v="212203"/>
    <s v="CBO 13 N-34 C.PLACE"/>
    <s v="OIC/23-24/1118"/>
    <s v="212203/31/2024/731"/>
    <n v="0"/>
    <s v="THE DIRECTOR ANERT"/>
    <d v="2023-06-28T00:00:00"/>
    <d v="2024-06-27T00:00:00"/>
    <s v="MOT-PRD-015"/>
    <s v="STANDALONE OWN DAMAGE(OD)-PRIVATE CAR"/>
    <n v="8851"/>
    <n v="14.992656197039882"/>
    <n v="1327"/>
    <s v="Delhi"/>
    <n v="443972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119"/>
    <s v="212203/31/2024/735"/>
    <n v="0"/>
    <s v="THE DIRECTOR ANERT"/>
    <d v="2023-06-28T00:00:00"/>
    <d v="2024-06-27T00:00:00"/>
    <s v="MOT-PRD-015"/>
    <s v="STANDALONE OWN DAMAGE(OD)-PRIVATE CAR"/>
    <n v="8871"/>
    <n v="14.99267275391726"/>
    <n v="1330"/>
    <s v="Delhi"/>
    <n v="443976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120"/>
    <s v="212203/31/2024/568"/>
    <n v="0"/>
    <s v="LESSEE:AC(HQ) SOUTH DELHI M CORP"/>
    <d v="2023-06-07T00:00:00"/>
    <d v="2024-06-06T00:00:00"/>
    <s v="MOT-PRD-001"/>
    <s v="PRIVATE CAR"/>
    <n v="8706"/>
    <n v="13.26671261199173"/>
    <n v="1155"/>
    <s v="Delhi"/>
    <n v="443813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121"/>
    <s v="212203/31/2024/570"/>
    <n v="0"/>
    <s v="LESSEE:AC(HQ) SOUTH DELHI M CORP"/>
    <d v="2023-06-07T00:00:00"/>
    <d v="2024-06-06T00:00:00"/>
    <s v="MOT-PRD-001"/>
    <s v="PRIVATE CAR"/>
    <n v="3275"/>
    <n v="10.381679389312977"/>
    <n v="340"/>
    <s v="Delhi"/>
    <n v="443815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122"/>
    <s v="212203/31/2024/529"/>
    <n v="0"/>
    <s v="EAST DELHI MUNICIPAL CORPORATION"/>
    <d v="2023-06-04T00:00:00"/>
    <d v="2024-06-03T00:00:00"/>
    <s v="MOT-PRD-001"/>
    <s v="PRIVATE CAR"/>
    <n v="8512"/>
    <n v="0"/>
    <n v="0"/>
    <s v="Delhi"/>
    <n v="443786"/>
    <s v="0"/>
    <m/>
    <s v="Saurabh Dwivedi"/>
    <s v="Mohit Mendiratta"/>
    <x v="81"/>
    <n v="3075"/>
    <s v="Rushiraj"/>
    <m/>
    <m/>
    <m/>
    <s v="Part"/>
    <s v="Updation  done in Saiba"/>
  </r>
  <r>
    <x v="2"/>
    <m/>
    <n v="510000"/>
    <s v="CBRO DELHI"/>
    <s v="OIC/23-24/1123"/>
    <s v="510000/31/2024/30"/>
    <n v="0"/>
    <s v="JCB INDIA LIMITED"/>
    <d v="2023-06-01T00:00:00"/>
    <d v="2024-05-31T00:00:00"/>
    <s v="MOT-PRD-006"/>
    <s v="MISCELANEOUS CLASS D VEHICLES"/>
    <n v="13247"/>
    <n v="12.500943609873934"/>
    <n v="1656"/>
    <s v="Delhi"/>
    <s v="NE"/>
    <s v="NE"/>
    <m/>
    <s v="Tejinder Pal Singh"/>
    <s v="Pushpinder Kaur"/>
    <x v="77"/>
    <n v="3081"/>
    <s v="Rushiraj"/>
    <m/>
    <s v="No"/>
    <m/>
    <m/>
    <s v="NE"/>
  </r>
  <r>
    <x v="2"/>
    <m/>
    <n v="272200"/>
    <s v="DO 3 NEW DELHI"/>
    <s v="OIC/23-24/1124"/>
    <s v="272200/31/2024/292"/>
    <n v="0"/>
    <s v="JCB INDIA LTD"/>
    <d v="2023-06-01T00:00:00"/>
    <d v="2024-05-31T00:00:00"/>
    <s v="MOT-PRD-006"/>
    <s v="MISCELANEOUS CLASS D VEHICLES"/>
    <n v="12981"/>
    <n v="12.495185270780372"/>
    <n v="1622"/>
    <s v="Delhi"/>
    <s v="NE"/>
    <s v="NE"/>
    <m/>
    <s v="Tejinder Pal Singh"/>
    <s v="Pushpinder Kaur"/>
    <x v="87"/>
    <n v="3079"/>
    <s v="Rushiraj"/>
    <m/>
    <s v="No"/>
    <m/>
    <m/>
    <s v="NE"/>
  </r>
  <r>
    <x v="2"/>
    <m/>
    <n v="215600"/>
    <s v="DO 4 NEW DELHI"/>
    <s v="OIC/23-24/1125"/>
    <s v="215600/48/2023/1308"/>
    <n v="6"/>
    <s v=" TIMEX GROUP PRECISION ENGINEERING LTD"/>
    <d v="2022-08-04T00:00:00"/>
    <d v="2023-08-03T00:00:00"/>
    <s v="MIST-PRD-890"/>
    <s v="GROUP MEDICLAIM -TAILORMADE-RISK FLOATER"/>
    <n v="39621"/>
    <n v="6.5000126195704295"/>
    <n v="2575.37"/>
    <s v="Delhi"/>
    <n v="397244"/>
    <s v="NE"/>
    <m/>
    <s v="Raju Kumar"/>
    <s v="Sarfuddin Ansari"/>
    <x v="84"/>
    <n v="3076"/>
    <s v="Rushiraj"/>
    <m/>
    <m/>
    <m/>
    <m/>
    <s v="NE"/>
  </r>
  <r>
    <x v="2"/>
    <m/>
    <n v="510000"/>
    <s v="CBRO DELHI"/>
    <s v="OIC/23-24/1126"/>
    <s v="510000/48/2023/1611"/>
    <n v="2"/>
    <s v="Fractal Ink Design Studio Private Limited"/>
    <d v="2023-02-03T00:00:00"/>
    <d v="2024-02-02T00:00:00"/>
    <s v="MIST-PRD-890"/>
    <s v="GROUP MEDICLAIM -TAILORMADE-RISK FLOATER"/>
    <n v="25733"/>
    <n v="0.50001943030350138"/>
    <n v="128.66999999999999"/>
    <s v="Delhi"/>
    <n v="432602"/>
    <s v="NE"/>
    <m/>
    <s v="Amit Pandey"/>
    <s v="Niladri Mangal Choudhury"/>
    <x v="77"/>
    <n v="3081"/>
    <s v="Rushiraj"/>
    <m/>
    <m/>
    <m/>
    <m/>
    <s v="NE"/>
  </r>
  <r>
    <x v="2"/>
    <m/>
    <n v="431500"/>
    <s v="DO IV HYDERABAD"/>
    <s v="OIC/23-24/1127"/>
    <s v="431500/48/2023/3635"/>
    <n v="4"/>
    <s v="WAVEMAKER INDIA PRIVATE LIMITED"/>
    <d v="2023-03-15T00:00:00"/>
    <d v="2024-03-14T00:00:00"/>
    <s v="MIST-PRD-890"/>
    <s v="GROUP MEDICLAIM -TAILORMADE-RISK FLOATER"/>
    <n v="3767"/>
    <n v="7.5001327316166702"/>
    <n v="282.52999999999997"/>
    <s v="Hyderabad"/>
    <n v="424815"/>
    <s v="NE"/>
    <m/>
    <s v="Prasanna Vadhana"/>
    <s v="Manisha Marda"/>
    <x v="93"/>
    <n v="3082"/>
    <s v="Rushiraj"/>
    <m/>
    <m/>
    <m/>
    <m/>
    <s v="NE"/>
  </r>
  <r>
    <x v="2"/>
    <m/>
    <n v="411400"/>
    <s v="DO 4 CHENNAI"/>
    <s v="OIC/23-24/1128"/>
    <s v="411400/48/2023/956"/>
    <n v="2"/>
    <s v="AMRUTANJAN HEALTH CARE LIMITED"/>
    <d v="2023-02-07T00:00:00"/>
    <d v="2024-02-06T00:00:00"/>
    <s v="MIST-PRD-001"/>
    <s v="GPA - NAMED"/>
    <n v="374"/>
    <n v="7.5"/>
    <n v="28.05"/>
    <s v="Chennai"/>
    <n v="416843"/>
    <s v="NE"/>
    <m/>
    <s v="Balakrishnan M"/>
    <s v="Akshayah Manoharan"/>
    <x v="98"/>
    <n v="3099"/>
    <s v="Rushiraj"/>
    <m/>
    <m/>
    <m/>
    <m/>
    <s v="NE"/>
  </r>
  <r>
    <x v="2"/>
    <m/>
    <n v="233600"/>
    <s v="DO RAJPURA"/>
    <s v="OIC/23-24/1129"/>
    <s v="233600/48/2023/1976"/>
    <n v="11"/>
    <s v="HUDL INDIA PRIVATE LIMITED"/>
    <d v="2023-02-25T00:00:00"/>
    <d v="2024-02-24T00:00:00"/>
    <s v="MIST-PRD-010"/>
    <s v="GROUP MEDICLAIM -TAILORMADE"/>
    <n v="85233"/>
    <n v="7.4994427041169498"/>
    <n v="6392"/>
    <s v="Mumbai"/>
    <n v="421681"/>
    <s v="NE"/>
    <m/>
    <s v="Ashita Lotia"/>
    <s v="Manpreet Kaur Gill"/>
    <x v="102"/>
    <n v="3084"/>
    <s v="Rushiraj"/>
    <m/>
    <m/>
    <m/>
    <m/>
    <s v="NE"/>
  </r>
  <r>
    <x v="2"/>
    <m/>
    <n v="510000"/>
    <s v="CBRO DELHI"/>
    <s v="OIC/23-24/1130"/>
    <s v="510000/11/2024/128"/>
    <n v="0"/>
    <s v="JCB INDIA LIMITED"/>
    <d v="2023-06-01T00:00:00"/>
    <d v="2024-05-31T00:00:00"/>
    <s v="FIR-PRD-006"/>
    <s v="STANDARD FIRE -- New Tariff"/>
    <n v="12739058"/>
    <n v="16.499987675697842"/>
    <n v="2101943"/>
    <s v="Delhi"/>
    <n v="444350"/>
    <n v="0"/>
    <m/>
    <s v="Darvesh Panchal"/>
    <s v="Rohit Kumar Mehndiratta"/>
    <x v="77"/>
    <n v="3081"/>
    <s v="Rushiraj"/>
    <m/>
    <s v="No"/>
    <m/>
    <m/>
    <s v="Updation done in saiba"/>
  </r>
  <r>
    <x v="2"/>
    <m/>
    <n v="272200"/>
    <s v="DO 3 NEW DELHI"/>
    <s v="OIC/23-24/1131"/>
    <s v="272200/31/2024/345"/>
    <n v="0"/>
    <s v="JCB INDIA LTD"/>
    <d v="2023-06-12T00:00:00"/>
    <d v="2024-06-11T00:00:00"/>
    <s v="MOT-PRD-006"/>
    <s v="MISCELANEOUS CLASS D VEHICLES"/>
    <n v="12981"/>
    <n v="12.495185270780372"/>
    <n v="1622"/>
    <s v="Delhi"/>
    <s v="NE"/>
    <s v="NE"/>
    <m/>
    <s v="Tejinder Pal Singh"/>
    <s v="Pushpinder Kaur"/>
    <x v="87"/>
    <n v="3079"/>
    <s v="Rushiraj"/>
    <m/>
    <s v="No"/>
    <m/>
    <m/>
    <s v="NE"/>
  </r>
  <r>
    <x v="2"/>
    <m/>
    <n v="423100"/>
    <s v="DO 11 BANGALORE"/>
    <s v="OIC/23-24/1132"/>
    <s v="423100/48/2024/534"/>
    <n v="0"/>
    <s v="SANGEETHS"/>
    <d v="2023-06-16T00:00:00"/>
    <d v="2024-06-15T00:00:00"/>
    <s v="MIST-PRD-094"/>
    <s v="ORIENTAL MEDICLAIM INSURANCE POLICY(INDIVIDUAL)"/>
    <n v="4524"/>
    <n v="29.995579133510166"/>
    <n v="1357"/>
    <s v="Bangalore"/>
    <s v="NE"/>
    <s v="NE"/>
    <m/>
    <s v="Suspense"/>
    <s v="Suspense"/>
    <x v="106"/>
    <n v="3067"/>
    <s v="Rushiraj"/>
    <m/>
    <s v="No"/>
    <m/>
    <m/>
    <s v="NE"/>
  </r>
  <r>
    <x v="2"/>
    <m/>
    <n v="540000"/>
    <s v="CBO BANGALORE"/>
    <s v="OIC/23-24/1133"/>
    <s v="421300/48/2023/818"/>
    <n v="2"/>
    <s v="STEER ENGINEERING PVT LTD"/>
    <d v="2022-08-13T00:00:00"/>
    <d v="2023-08-12T00:00:00"/>
    <s v="MIST-PRD-001"/>
    <s v="GPA - NAMED"/>
    <n v="583"/>
    <n v="7.5471698113207548"/>
    <n v="44"/>
    <s v="Bangalore"/>
    <n v="401715"/>
    <s v="NE"/>
    <m/>
    <s v="Jayachitra M"/>
    <s v="Karthik Rajaram"/>
    <x v="78"/>
    <n v="3123"/>
    <s v="Rushiraj"/>
    <m/>
    <m/>
    <m/>
    <m/>
    <s v="NE"/>
  </r>
  <r>
    <x v="2"/>
    <m/>
    <n v="272300"/>
    <s v="DO 21 NEW DELHI"/>
    <s v="OIC/23-24/1134"/>
    <s v="272300/48/2024/890"/>
    <n v="0"/>
    <s v="PARIVAR SEVA SANSTHA"/>
    <d v="2023-07-01T00:00:00"/>
    <d v="2024-06-30T00:00:00"/>
    <s v="MIST-PRD-751"/>
    <s v="BURGLARY"/>
    <n v="3000"/>
    <n v="16.566666666666666"/>
    <n v="497"/>
    <s v="Delhi"/>
    <n v="441578"/>
    <s v="0"/>
    <m/>
    <s v="Hemant Kumar Gupta"/>
    <s v="Sasank S"/>
    <x v="76"/>
    <n v="3080"/>
    <s v="Rushiraj"/>
    <m/>
    <m/>
    <m/>
    <s v="Excess"/>
    <s v="Updation  done in Saiba"/>
  </r>
  <r>
    <x v="2"/>
    <m/>
    <n v="510000"/>
    <s v="CBRO DELHI"/>
    <s v="OIC/23-24/1135"/>
    <s v="510000/48/2024/155"/>
    <n v="3"/>
    <s v="NUCLEUS SOFTWARE EXPORT LIMITED"/>
    <d v="2023-04-01T00:00:00"/>
    <d v="2024-03-31T00:00:00"/>
    <s v="MIST-PRD-890"/>
    <s v="GROUP MEDICLAIM -TAILORMADE-RISK FLOATER"/>
    <n v="20489"/>
    <n v="0"/>
    <n v="0"/>
    <s v="Delhi"/>
    <n v="435884"/>
    <s v="E1"/>
    <m/>
    <s v="Abhishek Sharma"/>
    <s v="Ishita Sharma"/>
    <x v="77"/>
    <n v="3081"/>
    <s v="Rushiraj"/>
    <m/>
    <m/>
    <m/>
    <m/>
    <s v="Updation  done in Saiba"/>
  </r>
  <r>
    <x v="2"/>
    <m/>
    <n v="212203"/>
    <s v="CBO 13 N-34 C.PLACE"/>
    <s v="OIC/23-24/1136"/>
    <s v="212203/31/2024/688"/>
    <n v="1"/>
    <s v="LESSEE POWER GRID CORPORATION OF INDIA LTD"/>
    <d v="2023-06-20T00:00:00"/>
    <d v="2023-06-20T00:00:00"/>
    <s v="MOT-PRD-012"/>
    <s v="PRIVATE CAR-(3 Years)"/>
    <n v="-9682"/>
    <n v="14.996901466639125"/>
    <n v="-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510000"/>
    <s v="CBRO DELHI"/>
    <s v="OIC/23-24/1137"/>
    <s v="510000/48/2023/1567"/>
    <n v="4"/>
    <s v="ULTIMEDIA E-SOLUTIONS PRIVATE LIMITED"/>
    <d v="2023-02-07T00:00:00"/>
    <d v="2023-12-31T00:00:00"/>
    <s v="MIST-PRD-890"/>
    <s v="GROUP MEDICLAIM -TAILORMADE-RISK FLOATER"/>
    <n v="20023"/>
    <n v="5"/>
    <n v="1001.15"/>
    <s v="Delhi"/>
    <n v="430631"/>
    <s v="NE"/>
    <m/>
    <s v="Amit Pandey"/>
    <s v="Niladri Mangal Choudhury"/>
    <x v="77"/>
    <n v="3081"/>
    <s v="Rushiraj"/>
    <m/>
    <m/>
    <m/>
    <m/>
    <s v="NE"/>
  </r>
  <r>
    <x v="2"/>
    <m/>
    <n v="222105"/>
    <s v="KANPUR DEHAT"/>
    <s v="OIC/23-24/1138"/>
    <s v="222105/48/2024/581"/>
    <n v="0"/>
    <s v=" ABHISHEK BHATIA,"/>
    <d v="2023-06-21T00:00:00"/>
    <d v="2024-06-20T00:00:00"/>
    <s v="MIST-PRD-943"/>
    <s v="HAPPY FAMILY FLOATER POLICY-2021"/>
    <n v="37491"/>
    <n v="15.000933557387105"/>
    <n v="5624"/>
    <s v="Delhi"/>
    <n v="441061"/>
    <s v="0"/>
    <m/>
    <s v="Kushal Bhatia"/>
    <s v="Navneet Arora"/>
    <x v="79"/>
    <n v="3078"/>
    <s v="Rushiraj"/>
    <m/>
    <m/>
    <m/>
    <m/>
    <s v="Updation  done in Saiba"/>
  </r>
  <r>
    <x v="2"/>
    <m/>
    <n v="540000"/>
    <s v="CBO BANGALORE"/>
    <s v="OIC/23-24/1101"/>
    <s v="421300/48/2023/1317"/>
    <n v="5"/>
    <s v="CREATIVE SYNERGIES CONSULTING INDIA PVT LTD"/>
    <d v="2023-02-07T00:00:00"/>
    <d v="2024-02-06T00:00:00"/>
    <s v="MIST-PRD-001"/>
    <s v="GPA - NAMED"/>
    <n v="3961"/>
    <n v="7.4981065387528405"/>
    <n v="297"/>
    <s v="Bangalore"/>
    <n v="418819"/>
    <s v="E4"/>
    <m/>
    <s v="Jaya Chitra.M"/>
    <s v="Aiyappa Parivaranayaka Mahadeva"/>
    <x v="78"/>
    <n v="3123"/>
    <s v="Rushiraj"/>
    <m/>
    <m/>
    <m/>
    <m/>
    <s v="Updation done in saiba"/>
  </r>
  <r>
    <x v="2"/>
    <m/>
    <n v="212203"/>
    <s v="CBO 13 N-34 C.PLACE"/>
    <s v="OIC/23-24/1140"/>
    <s v="212203/31/2024/698"/>
    <n v="0"/>
    <s v="LESSEE POWER GRID CORPORATION OF INDIA LTD"/>
    <d v="2023-06-21T00:00:00"/>
    <d v="2024-06-20T00:00:00"/>
    <s v="MOT-PRD-012"/>
    <s v="PRIVATE CAR-(3 Years)"/>
    <n v="8870"/>
    <n v="15.005636978579481"/>
    <n v="1331"/>
    <s v="Delhi"/>
    <n v="443945"/>
    <s v="0"/>
    <m/>
    <s v="Saurabh Dwivedi"/>
    <s v="Mohit Mendiratta"/>
    <x v="81"/>
    <n v="3075"/>
    <s v="Rushiraj"/>
    <m/>
    <m/>
    <m/>
    <m/>
    <s v="Updation  done in Saiba"/>
  </r>
  <r>
    <x v="2"/>
    <m/>
    <n v="510000"/>
    <s v="CBRO DELHI"/>
    <s v="OIC/23-24/1141"/>
    <s v="510000/48/2023/633"/>
    <n v="11"/>
    <s v="Sutherland Global Services Private Limited"/>
    <d v="2022-04-30T00:00:00"/>
    <d v="2023-04-29T00:00:00"/>
    <s v="MIST-PRD-890"/>
    <s v="GROUP MEDICLAIM -TAILORMADE-RISK FLOATER"/>
    <n v="8496"/>
    <n v="2.4952919020715632"/>
    <n v="212"/>
    <s v="Chennai"/>
    <n v="398830"/>
    <s v="NE"/>
    <m/>
    <s v="Payal Batra"/>
    <s v="Aas Mohammad"/>
    <x v="77"/>
    <n v="3081"/>
    <s v="Rushiraj"/>
    <m/>
    <m/>
    <m/>
    <m/>
    <s v="NE"/>
  </r>
  <r>
    <x v="2"/>
    <m/>
    <n v="510000"/>
    <s v="CBRO DELHI"/>
    <s v="OIC/23-24/1142"/>
    <s v="510000/48/2023/719"/>
    <n v="11"/>
    <s v="JCB INDIA LTD"/>
    <d v="2022-06-01T00:00:00"/>
    <d v="2023-05-31T00:00:00"/>
    <s v="MIST-PRD-001"/>
    <s v="GPA - NAMED"/>
    <n v="1063"/>
    <n v="7.5258701787394164"/>
    <n v="80"/>
    <s v="Pune"/>
    <n v="402805"/>
    <s v="NE"/>
    <m/>
    <s v="Atul Chordiya"/>
    <s v="Amit Rokade"/>
    <x v="77"/>
    <n v="3081"/>
    <s v="Rushiraj"/>
    <m/>
    <m/>
    <m/>
    <m/>
    <s v="NE"/>
  </r>
  <r>
    <x v="2"/>
    <m/>
    <n v="212203"/>
    <s v="CBO 13 N-34 C.PLACE"/>
    <s v="OIC/23-24/1143"/>
    <s v="212203/31/2024/684"/>
    <n v="0"/>
    <s v="LESSEE POWER GRID CORPORATION OF INDIA LTD"/>
    <d v="2023-06-20T00:00:00"/>
    <d v="2024-06-19T00:00:00"/>
    <s v="MOT-PRD-012"/>
    <s v="PRIVATE CAR-(3 Years)"/>
    <n v="9682"/>
    <n v="14.996901466639125"/>
    <n v="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132000"/>
    <s v="DO JOGESHWARI"/>
    <s v="OIC/23-24/1144"/>
    <s v="132000/11/2022/405"/>
    <n v="3"/>
    <s v=" Allied Blender &amp; Distillers Pvt Ltd"/>
    <d v="2021-09-02T00:00:00"/>
    <d v="2022-09-01T00:00:00"/>
    <s v="FIR-PRD-006"/>
    <s v="STANDARD FIRE -- New Tariff"/>
    <n v="-302411"/>
    <n v="10.318077054075413"/>
    <n v="-31203"/>
    <s v="Mumbai"/>
    <n v="360464"/>
    <s v="NE"/>
    <m/>
    <s v="Susmeet Kaur"/>
    <s v="Pooja Yadav"/>
    <x v="80"/>
    <n v="3100"/>
    <s v="Rushiraj"/>
    <m/>
    <m/>
    <m/>
    <m/>
    <s v="NE"/>
  </r>
  <r>
    <x v="2"/>
    <m/>
    <n v="132000"/>
    <s v="DO JOGESHWARI"/>
    <s v="OIC/23-24/1145"/>
    <s v="132000/11/2022/410"/>
    <n v="3"/>
    <s v=" Allied Blender &amp; Distillers Pvt Ltd"/>
    <d v="2021-09-02T00:00:00"/>
    <d v="2022-09-01T00:00:00"/>
    <s v="FIR-PRD-009"/>
    <s v="ORIENTAL BHARAT LAGHU UDYAM SURAKSHA POLICY"/>
    <n v="-25416"/>
    <n v="10.174693106704439"/>
    <n v="-2586"/>
    <s v="Mumbai"/>
    <n v="360477"/>
    <s v="NE"/>
    <m/>
    <s v="Susmeet Kaur"/>
    <s v="Pooja Yadav"/>
    <x v="80"/>
    <n v="3100"/>
    <s v="Rushiraj"/>
    <m/>
    <m/>
    <m/>
    <m/>
    <s v="NE"/>
  </r>
  <r>
    <x v="2"/>
    <m/>
    <n v="132000"/>
    <s v="DO JOGESHWARI"/>
    <s v="OIC/23-24/1146"/>
    <s v="132000/11/2022/407"/>
    <n v="3"/>
    <s v=" Allied Blender &amp; Distillers Pvt Ltd"/>
    <d v="2021-09-02T00:00:00"/>
    <d v="2022-09-01T00:00:00"/>
    <s v="FIR-PRD-009"/>
    <s v="ORIENTAL BHARAT LAGHU UDYAM SURAKSHA POLICY"/>
    <n v="-99663"/>
    <n v="10.193351594874727"/>
    <n v="-10159"/>
    <s v="Mumbai"/>
    <n v="360457"/>
    <s v="NE"/>
    <m/>
    <s v="Susmeet Kaur"/>
    <s v="Pooja Yadav"/>
    <x v="80"/>
    <n v="3100"/>
    <s v="Rushiraj"/>
    <m/>
    <m/>
    <m/>
    <m/>
    <s v="NE"/>
  </r>
  <r>
    <x v="2"/>
    <m/>
    <n v="212203"/>
    <s v="CBO 13 N-34 C.PLACE"/>
    <s v="OIC/23-24/1147"/>
    <s v="212203/31/2024/639"/>
    <n v="0"/>
    <s v="Ananthapuram Muncipal corporation"/>
    <d v="2023-06-18T00:00:00"/>
    <d v="2024-06-17T00:00:00"/>
    <s v="MOT-PRD-001"/>
    <s v="PRIVATE CAR"/>
    <n v="9244"/>
    <n v="13.370835136304631"/>
    <n v="1236"/>
    <s v="Delhi"/>
    <n v="443829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40000"/>
    <s v="CBO BANGALORE"/>
    <s v="OIC/23-24/1148"/>
    <s v="421300/48/2023/840"/>
    <n v="14"/>
    <s v="QRG MEDICARE LIMITED"/>
    <d v="2022-06-04T00:00:00"/>
    <d v="2023-06-03T00:00:00"/>
    <s v="MIST-PRD-890"/>
    <s v="GROUP MEDICLAIM -TAILORMADE-RISK FLOATER"/>
    <n v="17797"/>
    <n v="7"/>
    <n v="1245.79"/>
    <s v="Bangalore"/>
    <n v="406813"/>
    <s v="NE"/>
    <m/>
    <s v="Raju Kumar"/>
    <s v="Sarfuddin Ansari"/>
    <x v="78"/>
    <n v="3123"/>
    <s v="Rushiraj"/>
    <m/>
    <m/>
    <m/>
    <m/>
    <s v="NE"/>
  </r>
  <r>
    <x v="2"/>
    <m/>
    <n v="215600"/>
    <s v="DO 4 NEW DELHI"/>
    <s v="OIC/23-24/1149"/>
    <s v="215600/48/2024/665"/>
    <n v="0"/>
    <s v="Lumax Ancillary Ltd"/>
    <d v="2023-04-01T00:00:00"/>
    <d v="2024-03-31T00:00:00"/>
    <s v="MIST-PRD-061"/>
    <s v="All RISK"/>
    <n v="1966"/>
    <n v="12.512716174974567"/>
    <n v="246"/>
    <s v="Delhi"/>
    <n v="430567"/>
    <s v="0"/>
    <m/>
    <s v="Rohit Kumar Mendiratta"/>
    <s v="Prince Tayal"/>
    <x v="84"/>
    <n v="3076"/>
    <s v="Rushiraj"/>
    <m/>
    <m/>
    <m/>
    <m/>
    <s v="Updation  done in Saiba"/>
  </r>
  <r>
    <x v="2"/>
    <m/>
    <n v="212203"/>
    <s v="CBO 13 N-34 C.PLACE"/>
    <s v="OIC/23-24/1150"/>
    <s v="212203/31/2024/573"/>
    <n v="0"/>
    <s v="ENERGY EFFICIENCY SERVICES LIMITED"/>
    <d v="2023-06-07T00:00:00"/>
    <d v="2024-06-06T00:00:00"/>
    <s v="MOT-PRD-001"/>
    <s v="PRIVATE CAR"/>
    <n v="9410"/>
    <n v="13.390010626992561"/>
    <n v="1260"/>
    <s v="Delhi"/>
    <n v="443818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151"/>
    <s v="212203/31/2024/553"/>
    <n v="0"/>
    <s v="LESSEE:AC(HQ) SOUTH DELHI M CORP"/>
    <d v="2023-06-07T00:00:00"/>
    <d v="2024-06-06T00:00:00"/>
    <s v="MOT-PRD-001"/>
    <s v="PRIVATE CAR"/>
    <n v="3275"/>
    <n v="10.381679389312977"/>
    <n v="340"/>
    <s v="Delhi"/>
    <n v="443798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152"/>
    <s v="212203/31/2024/558"/>
    <n v="0"/>
    <s v="LESSEE:AC(HQ) SOUTH DELHI M CORP"/>
    <d v="2023-06-07T00:00:00"/>
    <d v="2024-06-06T00:00:00"/>
    <s v="MOT-PRD-001"/>
    <s v="PRIVATE CAR"/>
    <n v="3690"/>
    <n v="10.894308943089431"/>
    <n v="402"/>
    <s v="Delhi"/>
    <n v="443803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153"/>
    <s v="212203/31/2024/576"/>
    <n v="0"/>
    <s v="ENERGY EFFICIENCY SERVICES LTD"/>
    <d v="2023-06-08T00:00:00"/>
    <d v="2024-06-07T00:00:00"/>
    <s v="MOT-PRD-015"/>
    <s v="STANDALONE OWN DAMAGE(OD)-PRIVATE CAR"/>
    <n v="8914"/>
    <n v="15.010096477451201"/>
    <n v="1338"/>
    <s v="Delhi"/>
    <n v="443958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154"/>
    <s v="212203/31/2024/554"/>
    <n v="0"/>
    <s v="LESSEE:AC(HQ) SOUTH DELHI M CORP"/>
    <d v="2023-06-07T00:00:00"/>
    <d v="2024-06-06T00:00:00"/>
    <s v="MOT-PRD-001"/>
    <s v="PRIVATE CAR"/>
    <n v="3275"/>
    <n v="10.381679389312977"/>
    <n v="340"/>
    <s v="Delhi"/>
    <n v="443799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155"/>
    <s v="510000/48/2024/413"/>
    <n v="0"/>
    <s v="JCB INDIA LIMITED"/>
    <d v="2023-06-27T00:00:00"/>
    <d v="2024-05-31T00:00:00"/>
    <s v="MIST-PRD-055"/>
    <s v="BAGGAGE INSURANCE"/>
    <n v="100"/>
    <n v="13"/>
    <n v="13"/>
    <s v="Delhi"/>
    <n v="0"/>
    <n v="0"/>
    <m/>
    <s v="Darvesh Panchal"/>
    <s v="Rohit Kumar Mehndiratta"/>
    <x v="77"/>
    <n v="3081"/>
    <s v="Rushiraj"/>
    <m/>
    <s v="No"/>
    <m/>
    <m/>
    <s v="Updation done in saiba"/>
  </r>
  <r>
    <x v="2"/>
    <m/>
    <n v="510000"/>
    <s v="CBRO DELHI"/>
    <s v="OIC/23-24/1156"/>
    <s v="510000/31/2024/40"/>
    <n v="0"/>
    <s v="JCB INDIA LTD"/>
    <d v="2023-06-16T00:00:00"/>
    <d v="2024-06-15T00:00:00"/>
    <s v="MOT-PRD-006"/>
    <s v="MISCELANEOUS CLASS D VEHICLES"/>
    <n v="12686"/>
    <n v="12.501970676336118"/>
    <n v="1586"/>
    <s v="Pune"/>
    <s v="NE"/>
    <s v="NE"/>
    <m/>
    <s v="Azmi Raza"/>
    <s v="Salman Shaikh"/>
    <x v="77"/>
    <n v="3081"/>
    <s v="Rushiraj"/>
    <m/>
    <s v="No"/>
    <m/>
    <m/>
    <s v="NE"/>
  </r>
  <r>
    <x v="2"/>
    <m/>
    <n v="510000"/>
    <s v="CBRO DELHI"/>
    <s v="OIC/23-24/1157"/>
    <s v="510000/31/2024/39"/>
    <n v="0"/>
    <s v="JCB INDIA LTD"/>
    <d v="2023-06-16T00:00:00"/>
    <d v="2024-06-15T00:00:00"/>
    <s v="MOT-PRD-006"/>
    <s v="MISCELANEOUS CLASS D VEHICLES"/>
    <n v="12630"/>
    <n v="12.501979414093428"/>
    <n v="1579"/>
    <s v="Pune"/>
    <s v="NE"/>
    <s v="NE"/>
    <m/>
    <s v="Azmi Raza"/>
    <s v="Salman Shaikh"/>
    <x v="77"/>
    <n v="3081"/>
    <s v="Rushiraj"/>
    <m/>
    <s v="No"/>
    <m/>
    <m/>
    <s v="NE"/>
  </r>
  <r>
    <x v="2"/>
    <m/>
    <n v="421300"/>
    <s v="DO 3 BANGALORE"/>
    <s v="OIC/23-24/1158"/>
    <s v="421300/48/2023/284"/>
    <n v="12"/>
    <s v="FRESHALICIOUS SUPER BAZAAR PRIVATE LIMITED"/>
    <d v="2022-04-04T00:00:00"/>
    <d v="2023-04-03T00:00:00"/>
    <s v="MIST-PRD-001"/>
    <s v="GPA - NAMED"/>
    <n v="-225"/>
    <n v="7.5555555555555554"/>
    <n v="-17"/>
    <s v="Bangalore"/>
    <n v="386195"/>
    <s v="NE"/>
    <m/>
    <s v="Jaya Chitra.M"/>
    <s v="Raghuram P S"/>
    <x v="85"/>
    <n v="3066"/>
    <s v="Rushiraj"/>
    <m/>
    <m/>
    <m/>
    <m/>
    <s v="NE"/>
  </r>
  <r>
    <x v="2"/>
    <m/>
    <n v="510000"/>
    <s v="CBRO DELHI"/>
    <s v="OIC/23-24/1159"/>
    <s v="510000/11/2024/104"/>
    <n v="0"/>
    <s v="JCB POWER PRODUCTS INDIA PVT LTD"/>
    <d v="2023-06-01T00:00:00"/>
    <d v="2024-05-31T00:00:00"/>
    <s v="FIR-PRD-009"/>
    <s v="ORIENTAL BHARAT LAGHU UDYAM SURAKSHA POLICY"/>
    <n v="341548"/>
    <n v="16.561361799805592"/>
    <n v="56565"/>
    <s v="Delhi"/>
    <s v="NE"/>
    <s v="NE"/>
    <m/>
    <s v="Darvesh Panchal"/>
    <s v="Rohit Kumar Mehndiratta"/>
    <x v="77"/>
    <n v="3081"/>
    <s v="Rushiraj"/>
    <m/>
    <s v="No"/>
    <m/>
    <m/>
    <s v="NE"/>
  </r>
  <r>
    <x v="2"/>
    <m/>
    <n v="510000"/>
    <s v="CBRO DELHI"/>
    <s v="OIC/23-24/1160"/>
    <s v="510000/48/2023/353"/>
    <n v="13"/>
    <s v="CARGO PARTNER LOGISTICS INDIA PRIVATE LIMITED"/>
    <d v="2022-04-16T00:00:00"/>
    <d v="2023-04-15T00:00:00"/>
    <s v="MIST-PRD-890"/>
    <s v="GROUP MEDICLAIM -TAILORMADE-RISK FLOATER"/>
    <n v="-458"/>
    <n v="5"/>
    <n v="-22.9"/>
    <s v="Delhi"/>
    <n v="385268"/>
    <s v="NE"/>
    <m/>
    <s v="Vitty Pandita"/>
    <s v="Ashish Saxena"/>
    <x v="77"/>
    <n v="3081"/>
    <s v="Rushiraj"/>
    <m/>
    <m/>
    <m/>
    <m/>
    <s v="NE"/>
  </r>
  <r>
    <x v="2"/>
    <m/>
    <n v="421300"/>
    <s v="DO 3 BANGALORE"/>
    <s v="OIC/23-24/1161"/>
    <s v="421300/48/2023/1355"/>
    <n v="3"/>
    <s v="FRESHALICIOUS SUPER BAZAAR PRIVATE LIMITED"/>
    <d v="2022-12-19T00:00:00"/>
    <d v="2023-12-18T00:00:00"/>
    <s v="MIST-PRD-010"/>
    <s v="GROUP MEDICLAIM -TAILORMADE"/>
    <n v="-39390"/>
    <n v="7.4993653211474998"/>
    <n v="-2954"/>
    <s v="Bangalore"/>
    <n v="414980"/>
    <s v="NE"/>
    <m/>
    <s v="Jaya Chitra.M"/>
    <s v="Raghuram P S"/>
    <x v="85"/>
    <n v="3066"/>
    <s v="Rushiraj"/>
    <m/>
    <m/>
    <m/>
    <m/>
    <s v="NE"/>
  </r>
  <r>
    <x v="2"/>
    <m/>
    <n v="510000"/>
    <s v="CBRO DELHI"/>
    <s v="OIC/23-24/1162"/>
    <s v="510000/48/2024/418"/>
    <n v="0"/>
    <s v="ARTEMIS MEDICARE SERVICES LIMITED"/>
    <d v="2023-06-13T00:00:00"/>
    <d v="2024-06-11T00:00:00"/>
    <s v="MIST-PRD-061"/>
    <s v="All RISK"/>
    <n v="2383"/>
    <n v="12.505245488879565"/>
    <n v="298"/>
    <s v="Delhi"/>
    <n v="441890"/>
    <s v="0"/>
    <m/>
    <s v="Hemant Kumar Gupta"/>
    <s v="Namit Malhotra"/>
    <x v="77"/>
    <n v="3081"/>
    <s v="Rushiraj"/>
    <m/>
    <m/>
    <m/>
    <s v="Excess"/>
    <s v="Updation  done in Saiba"/>
  </r>
  <r>
    <x v="2"/>
    <m/>
    <n v="540000"/>
    <s v="CBO BANGALORE"/>
    <s v="OIC/23-24/1163"/>
    <s v="421300/48/2023/451"/>
    <n v="13"/>
    <s v="WAFER SPACE SEMICONDUCTOR TECHNOLOGIES PVT LTD"/>
    <d v="2022-04-17T00:00:00"/>
    <d v="2023-04-16T00:00:00"/>
    <s v="MIST-PRD-001"/>
    <s v="GPA - NAMED"/>
    <n v="-1"/>
    <n v="0"/>
    <n v="0"/>
    <s v="Bangalore"/>
    <n v="386406"/>
    <s v="NE"/>
    <m/>
    <s v="Jaya Chitra.M"/>
    <s v="Deep Shikha"/>
    <x v="78"/>
    <n v="3123"/>
    <s v="Rushiraj"/>
    <m/>
    <m/>
    <m/>
    <m/>
    <s v="NE"/>
  </r>
  <r>
    <x v="2"/>
    <m/>
    <n v="212203"/>
    <s v="CBO 13 N-34 C.PLACE"/>
    <s v="OIC/23-24/1164"/>
    <s v="212203/31/2024/685"/>
    <n v="1"/>
    <s v="LESSEE POWER GRID CORPORATION OF INDIA LTD"/>
    <d v="2023-06-20T00:00:00"/>
    <d v="2023-06-20T00:00:00"/>
    <s v="MOT-PRD-012"/>
    <s v="PRIVATE CAR-(3 Years)"/>
    <n v="-9682"/>
    <n v="14.996901466639125"/>
    <n v="-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510000"/>
    <s v="CBRO DELHI"/>
    <s v="OIC/23-24/1165"/>
    <s v="510000/48/2023/619"/>
    <n v="11"/>
    <s v="Sutherland Global Services Private Limited"/>
    <d v="2022-04-30T00:00:00"/>
    <d v="2023-04-29T00:00:00"/>
    <s v="MIST-PRD-890"/>
    <s v="GROUP MEDICLAIM -TAILORMADE-RISK FLOATER"/>
    <n v="205910"/>
    <n v="2.5001214122674957"/>
    <n v="5148"/>
    <s v="Chennai"/>
    <n v="398850"/>
    <s v="NE"/>
    <m/>
    <s v="Payal Batra"/>
    <s v="Aas Mohammad"/>
    <x v="77"/>
    <n v="3081"/>
    <s v="Rushiraj"/>
    <m/>
    <m/>
    <m/>
    <m/>
    <s v="NE"/>
  </r>
  <r>
    <x v="2"/>
    <m/>
    <n v="510000"/>
    <s v="CBRO DELHI"/>
    <s v="OIC/23-24/1166"/>
    <s v="510000/48/2023/1078"/>
    <n v="6"/>
    <s v="HITACHI METALS INDIA PRIVATE LIMITED"/>
    <d v="2022-10-07T00:00:00"/>
    <d v="2023-10-06T00:00:00"/>
    <s v="MIST-PRD-890"/>
    <s v="GROUP MEDICLAIM -TAILORMADE-RISK FLOATER"/>
    <n v="-3657"/>
    <n v="5"/>
    <n v="-182.85"/>
    <s v="Delhi"/>
    <n v="412929"/>
    <s v="NE"/>
    <m/>
    <s v="Rajiv Choudhary"/>
    <s v="Amit kumar Sharma"/>
    <x v="77"/>
    <n v="3081"/>
    <s v="Rushiraj"/>
    <m/>
    <m/>
    <m/>
    <m/>
    <s v="NE"/>
  </r>
  <r>
    <x v="2"/>
    <m/>
    <n v="510000"/>
    <s v="CBRO DELHI"/>
    <s v="OIC/23-24/1167"/>
    <s v="510000/48/2023/1613"/>
    <n v="1"/>
    <s v="PERFECT RELATIONS PRIVATE LIMITED"/>
    <d v="2023-02-03T00:00:00"/>
    <d v="2024-02-02T00:00:00"/>
    <s v="MIST-PRD-890"/>
    <s v="GROUP MEDICLAIM -TAILORMADE-RISK FLOATER"/>
    <n v="38476"/>
    <n v="0.5"/>
    <n v="192.38"/>
    <s v="Delhi"/>
    <n v="434507"/>
    <s v="NE"/>
    <m/>
    <s v="Amit Pandey"/>
    <s v="Niladri Mangal Choudhury"/>
    <x v="77"/>
    <n v="3081"/>
    <s v="Rushiraj"/>
    <m/>
    <m/>
    <m/>
    <m/>
    <s v="NE"/>
  </r>
  <r>
    <x v="2"/>
    <m/>
    <n v="212203"/>
    <s v="CBO 13 N-34 C.PLACE"/>
    <s v="OIC/23-24/1168"/>
    <s v="212203/31/2024/701"/>
    <n v="0"/>
    <s v="LESSEE POWER GRID CORPORATION OF INDIA LTD"/>
    <d v="2023-06-21T00:00:00"/>
    <d v="2024-06-20T00:00:00"/>
    <s v="MOT-PRD-012"/>
    <s v="PRIVATE CAR-(3 Years)"/>
    <n v="8870"/>
    <n v="15.005636978579481"/>
    <n v="1331"/>
    <s v="Delhi"/>
    <n v="443948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169"/>
    <s v="212203/31/2024/616"/>
    <n v="0"/>
    <s v="NHPC LIMITED"/>
    <d v="2023-06-16T00:00:00"/>
    <d v="2024-06-15T00:00:00"/>
    <s v="MOT-PRD-015"/>
    <s v="STANDALONE OWN DAMAGE(OD)-PRIVATE CAR"/>
    <n v="8935"/>
    <n v="14.997202014549526"/>
    <n v="1340"/>
    <s v="Delhi"/>
    <n v="443964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170"/>
    <s v="212203/31/2024/561"/>
    <n v="0"/>
    <s v="LESSEE:AC(HQ) SOUTH DELHI M CORP"/>
    <d v="2023-06-07T00:00:00"/>
    <d v="2024-06-06T00:00:00"/>
    <s v="MOT-PRD-001"/>
    <s v="PRIVATE CAR"/>
    <n v="3690"/>
    <n v="10.894308943089431"/>
    <n v="402"/>
    <s v="Delhi"/>
    <n v="443806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171"/>
    <s v="510000/48/2023/1658"/>
    <n v="2"/>
    <s v="ELECTRIFAI TECHNOLOGY SOLUTIONS PRIVATE LIMITED"/>
    <d v="2023-02-20T00:00:00"/>
    <d v="2024-02-19T00:00:00"/>
    <s v="MIST-PRD-890"/>
    <s v="GROUP MEDICLAIM -TAILORMADE-RISK FLOATER"/>
    <n v="-85061"/>
    <n v="7.5000058781345151"/>
    <n v="-6379.58"/>
    <s v="Delhi"/>
    <n v="440259"/>
    <s v="NE"/>
    <m/>
    <s v="Rajiv Choudhary"/>
    <s v="Kamal Bora"/>
    <x v="77"/>
    <n v="3081"/>
    <s v="Rushiraj"/>
    <m/>
    <m/>
    <m/>
    <m/>
    <s v="NE"/>
  </r>
  <r>
    <x v="2"/>
    <m/>
    <n v="510000"/>
    <s v="CBRO DELHI"/>
    <s v="OIC/23-24/1172"/>
    <s v="510000/11/2024/118"/>
    <n v="0"/>
    <s v="JCB INDIA LIMITED"/>
    <d v="2023-06-01T00:00:00"/>
    <d v="2024-05-31T00:00:00"/>
    <s v="FIR-PRD-009"/>
    <s v="ORIENTAL BHARAT LAGHU UDYAM SURAKSHA POLICY"/>
    <n v="58819"/>
    <n v="13.238919396793552"/>
    <n v="7787"/>
    <s v="Delhi"/>
    <n v="0"/>
    <n v="0"/>
    <m/>
    <s v="Darvesh Panchal"/>
    <s v="Rohit Kumar Mehndiratta"/>
    <x v="77"/>
    <n v="3081"/>
    <s v="Rushiraj"/>
    <m/>
    <s v="No"/>
    <m/>
    <m/>
    <s v="Updation done in saiba"/>
  </r>
  <r>
    <x v="2"/>
    <m/>
    <n v="540000"/>
    <s v="CBO BANGALORE"/>
    <s v="OIC/23-24/1173"/>
    <s v="540000/48/2024/12"/>
    <n v="0"/>
    <s v="GWASF QUALITY CASTINGS PVT LTD"/>
    <d v="2023-06-19T00:00:00"/>
    <d v="2024-06-18T00:00:00"/>
    <s v="MIST-PRD-751"/>
    <s v="BURGLARY"/>
    <n v="2000"/>
    <n v="12.55"/>
    <n v="251"/>
    <s v="Bangalore"/>
    <n v="431524"/>
    <s v="0"/>
    <m/>
    <s v="Lakshmi M"/>
    <s v="Prabhakara Venkatesh"/>
    <x v="78"/>
    <n v="3123"/>
    <s v="Rushiraj"/>
    <m/>
    <m/>
    <s v="Premium Mismatched"/>
    <m/>
    <s v="Modification"/>
  </r>
  <r>
    <x v="2"/>
    <m/>
    <n v="510000"/>
    <s v="CBRO DELHI"/>
    <s v="OIC/23-24/1174"/>
    <s v="510000/48/2024/392"/>
    <n v="0"/>
    <s v="JCB INDIA LIMITED"/>
    <d v="2023-06-21T00:00:00"/>
    <d v="2023-07-17T00:00:00"/>
    <s v="MIST-PRD-049"/>
    <s v="SPECIAL CONTINGENCY - POLICY"/>
    <n v="9999"/>
    <n v="12.501250125012502"/>
    <n v="1250"/>
    <s v="Delhi"/>
    <s v="NE"/>
    <s v="NE"/>
    <m/>
    <s v="Darvesh Panchal"/>
    <s v="Rohit Kumar Mehndiratta"/>
    <x v="77"/>
    <n v="3081"/>
    <s v="Rushiraj"/>
    <m/>
    <s v="No"/>
    <m/>
    <m/>
    <s v="NE"/>
  </r>
  <r>
    <x v="2"/>
    <m/>
    <n v="510000"/>
    <s v="CBRO DELHI"/>
    <s v="OIC/23-24/1175"/>
    <s v="510000/48/2023/618"/>
    <n v="10"/>
    <s v="Sutherland Global Services Private Limited"/>
    <d v="2022-04-30T00:00:00"/>
    <d v="2023-04-29T00:00:00"/>
    <s v="MIST-PRD-890"/>
    <s v="GROUP MEDICLAIM -TAILORMADE-RISK FLOATER"/>
    <n v="17441"/>
    <n v="2.4998566595952068"/>
    <n v="436"/>
    <s v="Chennai"/>
    <n v="397988"/>
    <s v="NE"/>
    <m/>
    <s v="Payal Batra"/>
    <s v="Aas Mohammad"/>
    <x v="77"/>
    <n v="3081"/>
    <s v="Rushiraj"/>
    <m/>
    <m/>
    <m/>
    <m/>
    <s v="NE"/>
  </r>
  <r>
    <x v="2"/>
    <m/>
    <n v="510000"/>
    <s v="CBRO DELHI"/>
    <s v="OIC/23-24/1176"/>
    <s v="510000/31/2024/32"/>
    <n v="0"/>
    <s v="JCB INDIA LIMITED"/>
    <d v="2023-06-01T00:00:00"/>
    <d v="2024-05-31T00:00:00"/>
    <s v="MOT-PRD-006"/>
    <s v="MISCELANEOUS CLASS D VEHICLES"/>
    <n v="13191"/>
    <n v="12.500947615798651"/>
    <n v="1649"/>
    <s v="Delhi"/>
    <s v="NE"/>
    <s v="NE"/>
    <m/>
    <s v="Tejinder Pal Singh"/>
    <s v="Pushpinder Kaur"/>
    <x v="77"/>
    <n v="3081"/>
    <s v="Rushiraj"/>
    <m/>
    <s v="No"/>
    <m/>
    <m/>
    <s v="NE"/>
  </r>
  <r>
    <x v="2"/>
    <m/>
    <n v="212203"/>
    <s v="CBO 13 N-34 C.PLACE"/>
    <s v="OIC/23-24/1177"/>
    <s v="212203/31/2024/593"/>
    <n v="0"/>
    <s v="ENERGY EFFICIENCY SERVICES LTD"/>
    <d v="2023-06-11T00:00:00"/>
    <d v="2024-06-10T00:00:00"/>
    <s v="MOT-PRD-001"/>
    <s v="PRIVATE CAR"/>
    <n v="9100"/>
    <n v="13.340659340659341"/>
    <n v="1214"/>
    <s v="Delhi"/>
    <n v="443819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178"/>
    <s v="510000/48/2023/620"/>
    <n v="10"/>
    <s v="SUTHERLAND HEALTHCARE SOLUTIONS PRIVATE LIMITED"/>
    <d v="2022-04-30T00:00:00"/>
    <d v="2023-04-29T00:00:00"/>
    <s v="MIST-PRD-890"/>
    <s v="GROUP MEDICLAIM -TAILORMADE-RISK FLOATER"/>
    <n v="12955"/>
    <n v="2.500964878425318"/>
    <n v="324"/>
    <s v="Chennai"/>
    <n v="398831"/>
    <s v="NE"/>
    <m/>
    <s v="Payal Batra"/>
    <s v="Aas Mohammad"/>
    <x v="77"/>
    <n v="3081"/>
    <s v="Rushiraj"/>
    <m/>
    <m/>
    <m/>
    <m/>
    <s v="NE"/>
  </r>
  <r>
    <x v="2"/>
    <m/>
    <n v="222105"/>
    <s v="KANPUR DEHAT"/>
    <s v="OIC/23-24/1179"/>
    <s v="222105/48/2024/614"/>
    <n v="0"/>
    <s v=" VINNI ARORA"/>
    <d v="2023-07-03T00:00:00"/>
    <d v="2024-07-02T00:00:00"/>
    <s v="MIST-PRD-094"/>
    <s v="ORIENTAL MEDICLAIM INSURANCE POLICY(INDIVIDUAL)"/>
    <n v="9599"/>
    <n v="20.002083550369832"/>
    <n v="1920"/>
    <s v="Delhi"/>
    <n v="440789"/>
    <s v="0"/>
    <m/>
    <s v="Kushal Bhatia"/>
    <s v="Navneet Arora"/>
    <x v="79"/>
    <n v="3078"/>
    <s v="Rushiraj"/>
    <m/>
    <m/>
    <m/>
    <s v="Excess"/>
    <s v="Updation  done in Saiba"/>
  </r>
  <r>
    <x v="2"/>
    <m/>
    <n v="222105"/>
    <s v="KANPUR DEHAT"/>
    <s v="OIC/23-24/1180"/>
    <s v="222105/48/2024/515"/>
    <n v="0"/>
    <s v="SUSHILA RAI CHHETRI"/>
    <d v="2023-06-18T00:00:00"/>
    <d v="2024-06-17T00:00:00"/>
    <s v="MIST-PRD-094"/>
    <s v="ORIENTAL MEDICLAIM INSURANCE POLICY(INDIVIDUAL)"/>
    <n v="6359"/>
    <n v="15.002358861456203"/>
    <n v="954"/>
    <s v="Delhi"/>
    <n v="440364"/>
    <s v="0"/>
    <m/>
    <s v="Kushal Bhatia"/>
    <s v="Navneet Arora"/>
    <x v="79"/>
    <n v="3078"/>
    <s v="Rushiraj"/>
    <m/>
    <m/>
    <m/>
    <m/>
    <s v="Updation  done in Saiba"/>
  </r>
  <r>
    <x v="2"/>
    <m/>
    <n v="212203"/>
    <s v="CBO 13 N-34 C.PLACE"/>
    <s v="OIC/23-24/1181"/>
    <s v="212203/31/2024/670"/>
    <n v="0"/>
    <s v="UNDER SECRETARY DAHD"/>
    <d v="2023-06-24T00:00:00"/>
    <d v="2024-06-23T00:00:00"/>
    <s v="MOT-PRD-015"/>
    <s v="STANDALONE OWN DAMAGE(OD)-PRIVATE CAR"/>
    <n v="8111"/>
    <n v="14.991986191591666"/>
    <n v="1216"/>
    <s v="Delhi"/>
    <n v="443969"/>
    <s v="0"/>
    <m/>
    <s v="Saurabh Dwivedi"/>
    <s v="Mohit Mendiratta"/>
    <x v="81"/>
    <n v="3075"/>
    <s v="Rushiraj"/>
    <m/>
    <m/>
    <m/>
    <m/>
    <s v="Updation  done in Saiba"/>
  </r>
  <r>
    <x v="2"/>
    <m/>
    <n v="421300"/>
    <s v="DO 3 BANGALORE"/>
    <s v="OIC/23-24/1182"/>
    <s v="421300/48/2023/1354"/>
    <n v="4"/>
    <s v="FRESHALICIOUS SUPER BAZAAR PRIVATE LIMITED"/>
    <d v="2022-12-15T00:00:00"/>
    <d v="2023-12-14T00:00:00"/>
    <s v="MIST-PRD-890"/>
    <s v="GROUP MEDICLAIM -TAILORMADE-RISK FLOATER"/>
    <n v="-54197"/>
    <n v="7.5004151521301914"/>
    <n v="-4065"/>
    <s v="Bangalore"/>
    <n v="413729"/>
    <s v="NE"/>
    <m/>
    <s v="Jaya Chitra.M"/>
    <s v="Raghuram P S"/>
    <x v="85"/>
    <n v="3066"/>
    <s v="Rushiraj"/>
    <m/>
    <m/>
    <m/>
    <m/>
    <s v="NE"/>
  </r>
  <r>
    <x v="2"/>
    <m/>
    <n v="222105"/>
    <s v="KANPUR DEHAT"/>
    <s v="OIC/23-24/1183"/>
    <s v="222105/48/2024/579"/>
    <n v="0"/>
    <s v=" ROHAN SHAH"/>
    <d v="2023-06-22T00:00:00"/>
    <d v="2024-06-21T00:00:00"/>
    <s v="MIST-PRD-943"/>
    <s v="HAPPY FAMILY FLOATER POLICY-2021"/>
    <n v="42202"/>
    <n v="4.999763044405479"/>
    <n v="2110"/>
    <s v="Mumbai"/>
    <n v="440682"/>
    <s v="0"/>
    <m/>
    <s v="Kushal Bhatia"/>
    <s v="Anju Shukla"/>
    <x v="79"/>
    <n v="3078"/>
    <s v="Rushiraj"/>
    <m/>
    <m/>
    <m/>
    <s v="Part"/>
    <s v="Updation  done in Saiba"/>
  </r>
  <r>
    <x v="2"/>
    <m/>
    <n v="111900"/>
    <s v="MCDO 14"/>
    <s v="OIC/23-24/1184"/>
    <s v="111900/22/2024/263"/>
    <n v="0"/>
    <s v="SADHAV OFFSHORE ENGINEERING PRIVATE LIMITED"/>
    <d v="2023-06-23T00:00:00"/>
    <d v="2023-07-22T00:00:00"/>
    <s v="MH-PRD-006"/>
    <s v="BUILDERS RISKS"/>
    <n v="16327"/>
    <n v="14.999693758804433"/>
    <n v="2449"/>
    <s v="Mumbai"/>
    <s v="NE"/>
    <s v="NE"/>
    <m/>
    <s v="Inderjit singh Khurana"/>
    <s v="Ashish R Mishra"/>
    <x v="86"/>
    <n v="3086"/>
    <s v="Rushiraj"/>
    <m/>
    <s v="No"/>
    <m/>
    <m/>
    <s v="NE"/>
  </r>
  <r>
    <x v="2"/>
    <m/>
    <n v="222105"/>
    <s v="KANPUR DEHAT"/>
    <s v="OIC/23-24/1185"/>
    <s v="222105/48/2024/638"/>
    <n v="0"/>
    <s v="Meenu Chopra"/>
    <d v="2023-06-27T00:00:00"/>
    <d v="2024-06-26T00:00:00"/>
    <s v="MIST-PRD-943"/>
    <s v="HAPPY FAMILY FLOATER POLICY-2021"/>
    <n v="68579"/>
    <n v="5.0000729086163407"/>
    <n v="3429"/>
    <s v="Delhi"/>
    <n v="441493"/>
    <s v="0"/>
    <m/>
    <s v="Kushal Bhatia"/>
    <s v="Navneet Arora"/>
    <x v="79"/>
    <n v="3078"/>
    <s v="Rushiraj"/>
    <m/>
    <m/>
    <m/>
    <s v="Part"/>
    <s v="Updation  done in Saiba"/>
  </r>
  <r>
    <x v="2"/>
    <m/>
    <n v="540000"/>
    <s v="CBO BANGALORE"/>
    <s v="OIC/23-24/1186"/>
    <s v="421300/48/2023/521"/>
    <n v="13"/>
    <s v="SSP INDIA PRIVATE LIMITED"/>
    <d v="2022-06-07T00:00:00"/>
    <d v="2023-06-06T00:00:00"/>
    <s v="MIST-PRD-890"/>
    <s v="GROUP MEDICLAIM -TAILORMADE-RISK FLOATER"/>
    <n v="-873"/>
    <n v="7.5005727376861397"/>
    <n v="-65.48"/>
    <s v="Delhi"/>
    <n v="388708"/>
    <s v="NE"/>
    <m/>
    <s v="Rajiv Choudhary"/>
    <s v="Ashwini Kumar Srivastava"/>
    <x v="78"/>
    <n v="3123"/>
    <s v="Rushiraj"/>
    <m/>
    <m/>
    <m/>
    <m/>
    <s v="NE"/>
  </r>
  <r>
    <x v="2"/>
    <m/>
    <n v="540000"/>
    <s v="CBO BANGALORE"/>
    <s v="OIC/23-24/1139"/>
    <s v="421300/48/2023/789"/>
    <n v="10"/>
    <s v="ETC MANAGEMENT SERVICES INDIA PRIVATE LIMITED"/>
    <d v="2022-08-06T00:00:00"/>
    <d v="2023-08-05T00:00:00"/>
    <s v="MIST-PRD-890"/>
    <s v="GROUP MEDICLAIM -TAILORMADE-RISK FLOATER"/>
    <n v="44112"/>
    <n v="5"/>
    <n v="2205.6"/>
    <s v="Bangalore"/>
    <n v="400929"/>
    <s v="E4"/>
    <m/>
    <s v="Shashikala Ganesh Rao"/>
    <s v="Poorvi Kullegowda"/>
    <x v="78"/>
    <n v="3123"/>
    <s v="Rushiraj"/>
    <m/>
    <m/>
    <m/>
    <m/>
    <s v="Updation done in saiba"/>
  </r>
  <r>
    <x v="2"/>
    <m/>
    <n v="421100"/>
    <s v="CBU Bangalore"/>
    <s v="OIC/23-24/1188"/>
    <s v="421100/48/2023/286"/>
    <n v="13"/>
    <s v="ADAPTY SOLUTIONS PRIVATE LIMITED"/>
    <d v="2022-07-20T00:00:00"/>
    <d v="2023-07-19T00:00:00"/>
    <s v="MIST-PRD-010"/>
    <s v="GROUP MEDICLAIM -TAILORMADE"/>
    <n v="-93926"/>
    <n v="4.5003513404169242"/>
    <n v="-4227"/>
    <s v="Pune"/>
    <n v="406115"/>
    <s v="NE"/>
    <m/>
    <s v="Atul Chordiya"/>
    <s v="Vinod Pulawale"/>
    <x v="95"/>
    <n v="3065"/>
    <s v="Rushiraj"/>
    <m/>
    <m/>
    <m/>
    <m/>
    <s v="NE"/>
  </r>
  <r>
    <x v="2"/>
    <m/>
    <n v="212203"/>
    <s v="CBO 13 N-34 C.PLACE"/>
    <s v="OIC/23-24/1189"/>
    <s v="212203/31/2024/594"/>
    <n v="0"/>
    <s v="ENERGY EFFICIENCY SERVICES LTD"/>
    <d v="2023-06-11T00:00:00"/>
    <d v="2024-06-10T00:00:00"/>
    <s v="MOT-PRD-001"/>
    <s v="PRIVATE CAR"/>
    <n v="9100"/>
    <n v="13.340659340659341"/>
    <n v="1214"/>
    <s v="Delhi"/>
    <n v="443820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190"/>
    <s v="510000/31/2024/45"/>
    <n v="0"/>
    <s v="JCB INDIA LTD"/>
    <d v="2023-06-20T00:00:00"/>
    <d v="2024-06-19T00:00:00"/>
    <s v="MOT-PRD-006"/>
    <s v="MISCELANEOUS CLASS D VEHICLES"/>
    <n v="14466"/>
    <n v="12.498271809760819"/>
    <n v="1808"/>
    <s v="Pune"/>
    <s v="NE"/>
    <s v="NE"/>
    <m/>
    <s v="Azmi Raza"/>
    <s v="Salman Shaikh"/>
    <x v="77"/>
    <n v="3081"/>
    <s v="Rushiraj"/>
    <m/>
    <s v="No"/>
    <m/>
    <m/>
    <s v="NE"/>
  </r>
  <r>
    <x v="2"/>
    <m/>
    <n v="510000"/>
    <s v="CBRO DELHI"/>
    <s v="OIC/23-24/1191"/>
    <s v="510000/48/2023/718"/>
    <n v="10"/>
    <s v="JCB INDIA LTD"/>
    <d v="2022-06-01T00:00:00"/>
    <d v="2023-05-31T00:00:00"/>
    <s v="MIST-PRD-001"/>
    <s v="GPA - NAMED"/>
    <n v="307"/>
    <n v="7.4918566775244306"/>
    <n v="23"/>
    <s v="Delhi"/>
    <n v="387265"/>
    <s v="NE"/>
    <m/>
    <s v="Atul Chordiya"/>
    <s v="Amit Rokade"/>
    <x v="77"/>
    <n v="3081"/>
    <s v="Rushiraj"/>
    <m/>
    <m/>
    <m/>
    <m/>
    <s v="NE"/>
  </r>
  <r>
    <x v="2"/>
    <m/>
    <n v="510000"/>
    <s v="CBRO DELHI"/>
    <s v="OIC/23-24/1192"/>
    <s v="510000/11/2024/125"/>
    <n v="0"/>
    <s v="JCB INDIA LIMITED"/>
    <d v="2023-06-01T00:00:00"/>
    <d v="2024-05-31T00:00:00"/>
    <s v="FIR-PRD-004"/>
    <s v="MEGA RISK"/>
    <n v="36570718"/>
    <n v="9.9999978124574973"/>
    <n v="3657071"/>
    <s v="Delhi"/>
    <n v="441855"/>
    <s v="0"/>
    <m/>
    <s v="Darvesh Panchal"/>
    <s v="Rohit Kumar Mehndiratta"/>
    <x v="77"/>
    <n v="3081"/>
    <s v="Rushiraj"/>
    <m/>
    <m/>
    <m/>
    <s v="Excess"/>
    <s v="Updation  done in Saiba"/>
  </r>
  <r>
    <x v="2"/>
    <m/>
    <n v="212203"/>
    <s v="CBO 13 N-34 C.PLACE"/>
    <s v="OIC/23-24/1193"/>
    <s v="212203/31/2024/617"/>
    <n v="0"/>
    <s v="NHPC LIMITED"/>
    <d v="2023-06-16T00:00:00"/>
    <d v="2024-06-15T00:00:00"/>
    <s v="MOT-PRD-015"/>
    <s v="STANDALONE OWN DAMAGE(OD)-PRIVATE CAR"/>
    <n v="8935"/>
    <n v="14.997202014549526"/>
    <n v="1340"/>
    <s v="Delhi"/>
    <n v="443965"/>
    <s v="0"/>
    <m/>
    <s v="Saurabh Dwivedi"/>
    <s v="Mohit Mendiratta"/>
    <x v="81"/>
    <n v="3075"/>
    <s v="Rushiraj"/>
    <m/>
    <m/>
    <m/>
    <m/>
    <s v="Updation  done in Saiba"/>
  </r>
  <r>
    <x v="2"/>
    <m/>
    <n v="212200"/>
    <s v="NEW DELHI DO 10"/>
    <s v="OIC/23-24/1194"/>
    <s v="212200/48/2024/268"/>
    <n v="0"/>
    <s v=" EXCEL PACK PVT LTD"/>
    <d v="2023-06-13T00:00:00"/>
    <d v="2024-06-12T00:00:00"/>
    <s v="MIST-PRD-751"/>
    <s v="BURGLARY"/>
    <n v="1250"/>
    <n v="12.64"/>
    <n v="158"/>
    <s v="Delhi"/>
    <s v="NE"/>
    <s v="NE"/>
    <m/>
    <s v="Aradhana Dwivedi"/>
    <s v="Amit Wali"/>
    <x v="82"/>
    <n v="3074"/>
    <s v="Rushiraj"/>
    <m/>
    <s v="No"/>
    <m/>
    <m/>
    <s v="NE"/>
  </r>
  <r>
    <x v="2"/>
    <m/>
    <n v="215600"/>
    <s v="DO 4 NEW DELHI"/>
    <s v="OIC/23-24/1195"/>
    <s v="215600/48/2024/667"/>
    <n v="0"/>
    <s v="Lumax Auto Technologies Ltd"/>
    <d v="2023-04-01T00:00:00"/>
    <d v="2024-03-31T00:00:00"/>
    <s v="MIST-PRD-061"/>
    <s v="All RISK"/>
    <n v="4740"/>
    <n v="12.510548523206751"/>
    <n v="593"/>
    <s v="Delhi"/>
    <n v="426840"/>
    <s v="0"/>
    <m/>
    <s v="Rohit Kumar Mendiratta"/>
    <s v="Prince Tayal"/>
    <x v="84"/>
    <n v="3076"/>
    <s v="Rushiraj"/>
    <m/>
    <m/>
    <s v="Premium Mismatched"/>
    <m/>
    <s v="Modification"/>
  </r>
  <r>
    <x v="2"/>
    <m/>
    <n v="212203"/>
    <s v="CBO 13 N-34 C.PLACE"/>
    <s v="OIC/23-24/1196"/>
    <s v="212203/31/2024/551"/>
    <n v="0"/>
    <s v="AC (HQ) SOUTH DELHI MUNICIPAL CORP"/>
    <d v="2023-06-07T00:00:00"/>
    <d v="2024-06-06T00:00:00"/>
    <s v="MOT-PRD-001"/>
    <s v="PRIVATE CAR"/>
    <n v="3690"/>
    <n v="10.894308943089431"/>
    <n v="402"/>
    <s v="Delhi"/>
    <n v="443796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197"/>
    <s v="212203/31/2024/563"/>
    <n v="0"/>
    <s v="LESSEE:AC(HQ) SOUTH DELHI M CORP"/>
    <d v="2023-06-07T00:00:00"/>
    <d v="2024-06-06T00:00:00"/>
    <s v="MOT-PRD-001"/>
    <s v="PRIVATE CAR"/>
    <n v="3690"/>
    <n v="10.894308943089431"/>
    <n v="402"/>
    <s v="Delhi"/>
    <n v="443808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198"/>
    <s v="212203/48/2024/430"/>
    <n v="0"/>
    <s v="Energy Efficiency Services Ltd"/>
    <d v="2023-05-23T00:00:00"/>
    <d v="2024-05-22T00:00:00"/>
    <s v="MIST-PRD-049"/>
    <s v="SPECIAL CONTINGENCY - POLICY"/>
    <n v="452193"/>
    <n v="16.500034277399251"/>
    <n v="74612"/>
    <s v="Delhi"/>
    <s v="NE"/>
    <s v="NE"/>
    <m/>
    <s v="Kamal Singh Kathait"/>
    <s v="Kamal Singh Kathait"/>
    <x v="81"/>
    <n v="3075"/>
    <s v="Rushiraj"/>
    <m/>
    <s v="No"/>
    <m/>
    <m/>
    <s v="NE"/>
  </r>
  <r>
    <x v="2"/>
    <m/>
    <n v="510000"/>
    <s v="CBRO DELHI"/>
    <s v="OIC/23-24/1199"/>
    <s v="510000/48/2023/1607"/>
    <n v="2"/>
    <s v="DENTSU COMMUNICATIONS INDIA PRIVATE LIMITED"/>
    <d v="2023-02-03T00:00:00"/>
    <d v="2024-02-02T00:00:00"/>
    <s v="MIST-PRD-890"/>
    <s v="GROUP MEDICLAIM -TAILORMADE-RISK FLOATER"/>
    <n v="36309"/>
    <n v="0.50001377069046249"/>
    <n v="181.55"/>
    <s v="Delhi"/>
    <n v="434028"/>
    <s v="NE"/>
    <m/>
    <s v="Amit Pandey"/>
    <s v="Niladri Mangal Choudhury"/>
    <x v="77"/>
    <n v="3081"/>
    <s v="Rushiraj"/>
    <m/>
    <m/>
    <m/>
    <m/>
    <s v="NE"/>
  </r>
  <r>
    <x v="2"/>
    <m/>
    <n v="414890"/>
    <s v="BC  SINGAPERUMAL KOIL"/>
    <s v="OIC/23-24/1200"/>
    <s v="414890/31/2024/492"/>
    <n v="0"/>
    <s v="BRSUMATHI"/>
    <d v="2023-06-09T00:00:00"/>
    <d v="2024-06-08T00:00:00"/>
    <s v="MOT-PRD-001"/>
    <s v="PRIVATE CAR"/>
    <n v="10399"/>
    <n v="12.16463121453986"/>
    <n v="1265"/>
    <s v="Chennai"/>
    <n v="437362"/>
    <s v="0"/>
    <m/>
    <s v="Meenakshi Menon"/>
    <s v="Sudha.S"/>
    <x v="91"/>
    <n v="3071"/>
    <s v="Rushiraj"/>
    <m/>
    <m/>
    <m/>
    <s v="Excess"/>
    <s v="Updation  done in Saiba"/>
  </r>
  <r>
    <x v="2"/>
    <m/>
    <n v="212200"/>
    <s v="NEW DELHI DO 10"/>
    <s v="OIC/23-24/1201"/>
    <s v="212200/11/2024/34"/>
    <n v="0"/>
    <s v=" EXCEL PACK PVT LTD"/>
    <d v="2023-06-15T00:00:00"/>
    <d v="2024-06-14T00:00:00"/>
    <s v="FIR-PRD-009"/>
    <s v="ORIENTAL BHARAT LAGHU UDYAM SURAKSHA POLICY"/>
    <n v="112251"/>
    <n v="17.298732305280133"/>
    <n v="19418"/>
    <s v="Delhi"/>
    <s v="NE"/>
    <s v="NE"/>
    <m/>
    <s v="Aradhana Dwivedi"/>
    <s v="Amit Wali"/>
    <x v="82"/>
    <n v="3074"/>
    <s v="Rushiraj"/>
    <m/>
    <s v="No"/>
    <m/>
    <m/>
    <s v="NE"/>
  </r>
  <r>
    <x v="2"/>
    <m/>
    <n v="442600"/>
    <s v="DO  THODUPUZHA"/>
    <s v="OIC/23-24/1202"/>
    <s v="442600/11/2024/27"/>
    <n v="0"/>
    <s v="IQ Minerals &amp; Metals"/>
    <d v="2023-06-03T00:00:00"/>
    <d v="2024-06-02T00:00:00"/>
    <s v="FIR-PRD-010"/>
    <s v="ORIENTAL BHARAT SOOKSHMA UDYAM SURAKSHA POLICY"/>
    <n v="12019"/>
    <n v="15.492137449039022"/>
    <n v="1862"/>
    <s v="Mumbai"/>
    <n v="439156"/>
    <s v="0"/>
    <m/>
    <s v="Inderjit singh Khurana"/>
    <s v="Bennett Cheenath"/>
    <x v="94"/>
    <n v="3073"/>
    <s v="Rushiraj"/>
    <m/>
    <m/>
    <m/>
    <s v="Excess"/>
    <s v="Updation  done in Saiba"/>
  </r>
  <r>
    <x v="2"/>
    <m/>
    <n v="510000"/>
    <s v="CBRO DELHI"/>
    <s v="OIC/23-24/1203"/>
    <s v="510000/48/2023/1567"/>
    <n v="3"/>
    <s v="ULTIMEDIA E-SOLUTIONS PRIVATE LIMITED"/>
    <d v="2023-02-07T00:00:00"/>
    <d v="2023-12-31T00:00:00"/>
    <s v="MIST-PRD-890"/>
    <s v="GROUP MEDICLAIM -TAILORMADE-RISK FLOATER"/>
    <n v="5071"/>
    <n v="5"/>
    <n v="253.55"/>
    <s v="Delhi"/>
    <n v="430631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204"/>
    <s v="510000/31/2024/31"/>
    <n v="0"/>
    <s v="JCB INDIA LIMITED"/>
    <d v="2023-06-01T00:00:00"/>
    <d v="2024-05-31T00:00:00"/>
    <s v="MOT-PRD-006"/>
    <s v="MISCELANEOUS CLASS D VEHICLES"/>
    <n v="13217"/>
    <n v="12.499054248316563"/>
    <n v="1652"/>
    <s v="Delhi"/>
    <s v="NE"/>
    <s v="NE"/>
    <m/>
    <s v="Tejinder Pal Singh"/>
    <s v="Pushpinder Kaur"/>
    <x v="77"/>
    <n v="3081"/>
    <s v="Rushiraj"/>
    <m/>
    <s v="No"/>
    <m/>
    <m/>
    <s v="NE"/>
  </r>
  <r>
    <x v="2"/>
    <m/>
    <n v="212203"/>
    <s v="CBO 13 N-34 C.PLACE"/>
    <s v="OIC/23-24/1205"/>
    <s v="212203/31/2024/748"/>
    <n v="0"/>
    <s v="POWER FOUNDATION OF INDIA"/>
    <d v="2023-06-27T00:00:00"/>
    <d v="2024-06-26T00:00:00"/>
    <s v="MOT-PRD-012"/>
    <s v="PRIVATE CAR-(3 Years)"/>
    <n v="7710"/>
    <n v="15.006485084306098"/>
    <n v="1157"/>
    <s v="Delhi"/>
    <n v="443951"/>
    <s v="0"/>
    <m/>
    <s v="Saurabh Dwivedi"/>
    <s v="Mohit Mendiratta"/>
    <x v="81"/>
    <n v="3075"/>
    <s v="Rushiraj"/>
    <m/>
    <m/>
    <m/>
    <m/>
    <s v="Updation  done in Saiba"/>
  </r>
  <r>
    <x v="2"/>
    <m/>
    <n v="540000"/>
    <s v="CBO BANGALORE"/>
    <s v="OIC/23-24/1206"/>
    <s v="421300/48/2023/1215"/>
    <n v="6"/>
    <s v="MOVIUS SOFTWARE PRIVATE LIMITED"/>
    <d v="2022-12-09T00:00:00"/>
    <d v="2023-12-08T00:00:00"/>
    <s v="MIST-PRD-890"/>
    <s v="GROUP MEDICLAIM -TAILORMADE-RISK FLOATER"/>
    <n v="-28317"/>
    <n v="7.5000176572377022"/>
    <n v="-2123.7800000000002"/>
    <s v="Bangalore"/>
    <n v="416160"/>
    <s v="E2"/>
    <m/>
    <s v="Jaya Chitra.M"/>
    <s v="Raghuram P S"/>
    <x v="78"/>
    <n v="3123"/>
    <s v="Rushiraj"/>
    <m/>
    <m/>
    <m/>
    <m/>
    <s v="Updation  done in Saiba"/>
  </r>
  <r>
    <x v="2"/>
    <m/>
    <n v="510000"/>
    <s v="CBRO DELHI"/>
    <s v="OIC/23-24/1207"/>
    <s v="510000/48/2023/1407"/>
    <n v="3"/>
    <s v="Bharat Stars Services (Delhi) Private Limited"/>
    <d v="2023-01-30T00:00:00"/>
    <d v="2023-12-20T00:00:00"/>
    <s v="MIST-PRD-890"/>
    <s v="GROUP MEDICLAIM -TAILORMADE-RISK FLOATER"/>
    <n v="-2208"/>
    <n v="2.1798007246376816"/>
    <n v="-48.13"/>
    <s v="Delhi"/>
    <n v="423175"/>
    <s v="NE"/>
    <m/>
    <s v="Rajiv Choudhary"/>
    <s v="Kamal Bora"/>
    <x v="77"/>
    <n v="3081"/>
    <s v="Rushiraj"/>
    <m/>
    <m/>
    <m/>
    <m/>
    <s v="NE"/>
  </r>
  <r>
    <x v="2"/>
    <m/>
    <n v="215600"/>
    <s v="DO 4 NEW DELHI"/>
    <s v="OIC/23-24/1208"/>
    <s v="215600/48/2024/477"/>
    <n v="1"/>
    <s v=" LUMAX MANNOH ALLIED TECHNOLOGIES LTD"/>
    <d v="2023-04-01T00:00:00"/>
    <d v="2024-03-31T00:00:00"/>
    <s v="MIST-PRD-751"/>
    <s v="BURGLARY"/>
    <n v="2869"/>
    <n v="12.50017427675148"/>
    <n v="358.63"/>
    <s v="Delhi"/>
    <n v="429074"/>
    <s v="NE"/>
    <m/>
    <s v="Rohit Kumar Mendiratta"/>
    <s v="Prince Tayal"/>
    <x v="84"/>
    <n v="3076"/>
    <s v="Rushiraj"/>
    <m/>
    <m/>
    <m/>
    <m/>
    <s v="NE"/>
  </r>
  <r>
    <x v="2"/>
    <m/>
    <n v="421300"/>
    <s v="DO 3 BANGALORE"/>
    <s v="OIC/23-24/1209"/>
    <s v="421300/48/2023/1243"/>
    <n v="6"/>
    <s v="FRESHTOHOME FOODS PRIVATE LIMITED"/>
    <d v="2022-10-16T00:00:00"/>
    <d v="2023-10-15T00:00:00"/>
    <s v="MIST-PRD-890"/>
    <s v="GROUP MEDICLAIM -TAILORMADE-RISK FLOATER"/>
    <n v="-47099"/>
    <n v="7.4990976453852518"/>
    <n v="-3532"/>
    <s v="Bangalore"/>
    <s v="NE"/>
    <s v="NE"/>
    <m/>
    <s v="Jaya Chitra.M"/>
    <s v="Raghuram P S"/>
    <x v="85"/>
    <n v="3066"/>
    <s v="Rushiraj"/>
    <m/>
    <m/>
    <m/>
    <m/>
    <s v="NE"/>
  </r>
  <r>
    <x v="2"/>
    <m/>
    <n v="510000"/>
    <s v="CBRO DELHI"/>
    <s v="OIC/23-24/1210"/>
    <s v="510000/48/2023/1561"/>
    <n v="4"/>
    <s v="DENTSU ADVERTISING AND MEDIA SERVICES INDIA PRIVATE LIMITED"/>
    <d v="2023-01-12T00:00:00"/>
    <d v="2023-12-31T00:00:00"/>
    <s v="MIST-PRD-890"/>
    <s v="GROUP MEDICLAIM -TAILORMADE-RISK FLOATER"/>
    <n v="-34710"/>
    <n v="5"/>
    <n v="-1735.5"/>
    <s v="Delhi"/>
    <n v="430579"/>
    <s v="NE"/>
    <m/>
    <s v="Amit Pandey"/>
    <s v="Niladri Mangal Choudhury"/>
    <x v="77"/>
    <n v="3081"/>
    <s v="Rushiraj"/>
    <m/>
    <m/>
    <m/>
    <m/>
    <s v="NE"/>
  </r>
  <r>
    <x v="2"/>
    <m/>
    <n v="132000"/>
    <s v="DO JOGESHWARI"/>
    <s v="OIC/23-24/1211"/>
    <s v="132000/11/2022/411"/>
    <n v="5"/>
    <s v=" Allied Blender &amp; Distillers Pvt Ltd"/>
    <d v="2021-09-02T00:00:00"/>
    <d v="2022-09-01T00:00:00"/>
    <s v="FIR-PRD-009"/>
    <s v="ORIENTAL BHARAT LAGHU UDYAM SURAKSHA POLICY"/>
    <n v="-55005"/>
    <n v="10.342696118534679"/>
    <n v="-5689"/>
    <s v="Mumbai"/>
    <n v="360474"/>
    <s v="NE"/>
    <m/>
    <s v="Susmeet Kaur"/>
    <s v="Pooja Yadav"/>
    <x v="80"/>
    <n v="3100"/>
    <s v="Rushiraj"/>
    <m/>
    <m/>
    <m/>
    <m/>
    <s v="NE"/>
  </r>
  <r>
    <x v="2"/>
    <m/>
    <n v="510000"/>
    <s v="CBRO DELHI"/>
    <s v="OIC/23-24/1212"/>
    <s v="510000/48/2023/716"/>
    <n v="12"/>
    <s v="JCB INDIA LIMITED"/>
    <d v="2022-06-01T00:00:00"/>
    <d v="2023-05-31T00:00:00"/>
    <s v="MIST-PRD-001"/>
    <s v="GPA - NAMED"/>
    <n v="1251"/>
    <n v="7.434052757793765"/>
    <n v="93"/>
    <s v="Delhi"/>
    <n v="387264"/>
    <s v="NE"/>
    <m/>
    <s v="Atul Chordiya"/>
    <s v="Amit Rokade"/>
    <x v="77"/>
    <n v="3081"/>
    <s v="Rushiraj"/>
    <m/>
    <m/>
    <m/>
    <m/>
    <s v="NE"/>
  </r>
  <r>
    <x v="2"/>
    <m/>
    <n v="510000"/>
    <s v="CBRO DELHI"/>
    <s v="OIC/23-24/1213"/>
    <s v="510000/31/2024/46"/>
    <n v="0"/>
    <s v="JCB INDIA LTD"/>
    <d v="2023-06-22T00:00:00"/>
    <d v="2024-06-21T00:00:00"/>
    <s v="MOT-PRD-006"/>
    <s v="MISCELANEOUS CLASS D VEHICLES"/>
    <n v="29742"/>
    <n v="12.497478313496066"/>
    <n v="3717"/>
    <s v="Pune"/>
    <s v="NE"/>
    <s v="NE"/>
    <m/>
    <s v="Azmi Raza"/>
    <s v="Salman Shaikh"/>
    <x v="77"/>
    <n v="3081"/>
    <s v="Rushiraj"/>
    <m/>
    <s v="No"/>
    <m/>
    <m/>
    <s v="NE"/>
  </r>
  <r>
    <x v="2"/>
    <m/>
    <n v="510000"/>
    <s v="CBRO DELHI"/>
    <s v="OIC/23-24/1214"/>
    <s v="510000/48/2023/1614"/>
    <n v="2"/>
    <s v="SOKRATI TECHNOLOGIES PRIVATE LIMITED"/>
    <d v="2023-02-03T00:00:00"/>
    <d v="2024-02-02T00:00:00"/>
    <s v="MIST-PRD-890"/>
    <s v="GROUP MEDICLAIM -TAILORMADE-RISK FLOATER"/>
    <n v="-184355"/>
    <n v="0.50000271215860703"/>
    <n v="-921.78"/>
    <s v="Delhi"/>
    <n v="434505"/>
    <s v="NE"/>
    <m/>
    <s v="Amit Pandey"/>
    <s v="Niladri Mangal Choudhury"/>
    <x v="77"/>
    <n v="3081"/>
    <s v="Rushiraj"/>
    <m/>
    <m/>
    <m/>
    <m/>
    <s v="NE"/>
  </r>
  <r>
    <x v="2"/>
    <m/>
    <n v="212200"/>
    <s v="NEW DELHI DO 10"/>
    <s v="OIC/23-24/1215"/>
    <s v="212200/11/2024/33"/>
    <n v="0"/>
    <s v=" EXCEL PACK PVT LTD"/>
    <d v="2023-06-15T00:00:00"/>
    <d v="2024-06-14T00:00:00"/>
    <s v="FIR-PRD-010"/>
    <s v="ORIENTAL BHARAT SOOKSHMA UDYAM SURAKSHA POLICY"/>
    <n v="18781"/>
    <n v="16.804217027847294"/>
    <n v="3156"/>
    <s v="Delhi"/>
    <s v="NE"/>
    <s v="NE"/>
    <m/>
    <s v="Aradhana Dwivedi"/>
    <s v="Amit Wali"/>
    <x v="82"/>
    <n v="3074"/>
    <s v="Rushiraj"/>
    <m/>
    <s v="No"/>
    <m/>
    <m/>
    <s v="NE"/>
  </r>
  <r>
    <x v="2"/>
    <m/>
    <n v="215600"/>
    <s v="DO 4 NEW DELHI"/>
    <s v="OIC/23-24/1216"/>
    <s v="215600/48/2024/668"/>
    <n v="0"/>
    <s v="LUMAX CORNAGLIA AUTO TECHNOLOGIES PVTLTD"/>
    <d v="2023-04-01T00:00:00"/>
    <d v="2024-03-31T00:00:00"/>
    <s v="MIST-PRD-061"/>
    <s v="All RISK"/>
    <n v="690"/>
    <n v="12.463768115942027"/>
    <n v="86"/>
    <s v="Delhi"/>
    <n v="426837"/>
    <s v="0"/>
    <m/>
    <s v="Rohit Kumar Mendiratta"/>
    <s v="Prince Tayal"/>
    <x v="84"/>
    <n v="3076"/>
    <s v="Rushiraj"/>
    <m/>
    <m/>
    <m/>
    <m/>
    <s v="Updation  done in Saiba"/>
  </r>
  <r>
    <x v="2"/>
    <m/>
    <n v="212203"/>
    <s v="CBO 13 N-34 C.PLACE"/>
    <s v="OIC/23-24/1217"/>
    <s v="212203/31/2024/527"/>
    <n v="0"/>
    <s v="EAST DELHI MUNICIPAL CORPORATION"/>
    <d v="2023-06-04T00:00:00"/>
    <d v="2024-06-03T00:00:00"/>
    <s v="MOT-PRD-001"/>
    <s v="PRIVATE CAR"/>
    <n v="8512"/>
    <n v="0"/>
    <n v="0"/>
    <s v="Delhi"/>
    <n v="443784"/>
    <s v="0"/>
    <m/>
    <s v="Saurabh Dwivedi"/>
    <s v="Mohit Mendiratta"/>
    <x v="81"/>
    <n v="3075"/>
    <s v="Rushiraj"/>
    <m/>
    <m/>
    <m/>
    <s v="Part"/>
    <s v="Updation  done in Saiba"/>
  </r>
  <r>
    <x v="2"/>
    <m/>
    <n v="510000"/>
    <s v="CBRO DELHI"/>
    <s v="OIC/23-24/1218"/>
    <s v="510000/31/2024/34"/>
    <n v="0"/>
    <s v="JCB INDIA LIMITED"/>
    <d v="2023-06-01T00:00:00"/>
    <d v="2024-05-31T00:00:00"/>
    <s v="MOT-PRD-006"/>
    <s v="MISCELANEOUS CLASS D VEHICLES"/>
    <n v="12817"/>
    <n v="12.499024732776782"/>
    <n v="1602"/>
    <s v="Delhi"/>
    <s v="NE"/>
    <s v="NE"/>
    <m/>
    <s v="Tejinder Pal Singh"/>
    <s v="Pushpinder Kaur"/>
    <x v="77"/>
    <n v="3081"/>
    <s v="Rushiraj"/>
    <m/>
    <s v="No"/>
    <m/>
    <m/>
    <s v="NE"/>
  </r>
  <r>
    <x v="2"/>
    <m/>
    <n v="510000"/>
    <s v="CBRO DELHI"/>
    <s v="OIC/23-24/1219"/>
    <s v="510000/44/2024/7"/>
    <n v="0"/>
    <s v="JCB INDIA LIMITED"/>
    <d v="2023-06-01T00:00:00"/>
    <d v="2024-05-31T00:00:00"/>
    <s v="ENG-PRD-006"/>
    <s v="ELECTRONIC EQUIPMENT INSURANCE"/>
    <n v="4000"/>
    <n v="15"/>
    <n v="600"/>
    <s v="Delhi"/>
    <n v="0"/>
    <n v="0"/>
    <m/>
    <s v="Darvesh Panchal"/>
    <s v="Rohit Kumar Mehndiratta"/>
    <x v="77"/>
    <n v="3081"/>
    <s v="Rushiraj"/>
    <m/>
    <s v="No"/>
    <m/>
    <m/>
    <s v="Updation done in saiba"/>
  </r>
  <r>
    <x v="2"/>
    <m/>
    <n v="510000"/>
    <s v="CBRO DELHI"/>
    <s v="OIC/23-24/1220"/>
    <s v="510000/48/2023/1606"/>
    <n v="1"/>
    <s v="DENTSU ADVERTISING AND MEDIA SERVICES INDIA PRIVATE LIMITED"/>
    <d v="2023-02-03T00:00:00"/>
    <d v="2024-02-02T00:00:00"/>
    <s v="MIST-PRD-890"/>
    <s v="GROUP MEDICLAIM -TAILORMADE-RISK FLOATER"/>
    <n v="14985"/>
    <n v="0.5000333667000334"/>
    <n v="74.930000000000007"/>
    <s v="Delhi"/>
    <n v="434047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221"/>
    <s v="510000/48/2023/1569"/>
    <n v="3"/>
    <s v="DWA MEDIA PRIVATE LIMITED"/>
    <d v="2023-02-07T00:00:00"/>
    <d v="2023-12-31T00:00:00"/>
    <s v="MIST-PRD-890"/>
    <s v="GROUP MEDICLAIM -TAILORMADE-RISK FLOATER"/>
    <n v="-2124"/>
    <n v="5.0000000000000009"/>
    <n v="-106.2"/>
    <s v="Delhi"/>
    <n v="430687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222"/>
    <s v="510000/48/2024/398"/>
    <n v="0"/>
    <s v="NORTHERN MARINE MANAGEMENT (INDIA) PVTLTD"/>
    <d v="2023-04-30T00:00:00"/>
    <d v="2024-04-29T00:00:00"/>
    <s v="MIST-PRD-890"/>
    <s v="GROUP MEDICLAIM -TAILORMADE-RISK FLOATER"/>
    <n v="4850000"/>
    <n v="1.08"/>
    <n v="52380"/>
    <s v="Mumbai"/>
    <n v="430283"/>
    <s v="0"/>
    <m/>
    <s v="Ashita Lotia"/>
    <s v="Arpita R Kochrekar"/>
    <x v="77"/>
    <n v="3081"/>
    <s v="Rushiraj"/>
    <m/>
    <m/>
    <m/>
    <s v="Part"/>
    <s v="Updation  done in Saiba"/>
  </r>
  <r>
    <x v="2"/>
    <m/>
    <n v="510000"/>
    <s v="CBRO DELHI"/>
    <s v="OIC/23-24/1223"/>
    <s v="510000/48/2024/155"/>
    <n v="1"/>
    <s v="NUCLEUS SOFTWARE EXPORT LIMITED"/>
    <d v="2023-04-01T00:00:00"/>
    <d v="2024-03-31T00:00:00"/>
    <s v="MIST-PRD-890"/>
    <s v="GROUP MEDICLAIM -TAILORMADE-RISK FLOATER"/>
    <n v="117773"/>
    <n v="0"/>
    <n v="0"/>
    <s v="Delhi"/>
    <n v="435884"/>
    <s v="NE"/>
    <m/>
    <s v="Abhishek Sharma"/>
    <s v="Ishita Sharma"/>
    <x v="77"/>
    <n v="3081"/>
    <s v="Rushiraj"/>
    <m/>
    <m/>
    <m/>
    <m/>
    <s v="NE"/>
  </r>
  <r>
    <x v="2"/>
    <m/>
    <n v="212203"/>
    <s v="CBO 13 N-34 C.PLACE"/>
    <s v="OIC/23-24/1224"/>
    <s v="212203/31/2024/638"/>
    <n v="0"/>
    <s v="Ananthapuram Muncipal corporation"/>
    <d v="2023-06-18T00:00:00"/>
    <d v="2024-06-17T00:00:00"/>
    <s v="MOT-PRD-001"/>
    <s v="PRIVATE CAR"/>
    <n v="9244"/>
    <n v="13.370835136304631"/>
    <n v="1236"/>
    <s v="Delhi"/>
    <n v="443828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5600"/>
    <s v="DO 4 NEW DELHI"/>
    <s v="OIC/23-24/1225"/>
    <s v="215600/31/2024/254"/>
    <n v="0"/>
    <s v=" DELHIVERY LTD"/>
    <d v="2023-06-16T00:00:00"/>
    <d v="2024-06-15T00:00:00"/>
    <s v="MOT-PRD-003"/>
    <s v="GCCV"/>
    <n v="78419"/>
    <n v="7.9993368953952482"/>
    <n v="6273"/>
    <s v="Delhi"/>
    <s v="NE"/>
    <s v="NE"/>
    <m/>
    <s v="Saurabh Dwivedi"/>
    <s v="Santosh Kumar Gupta"/>
    <x v="84"/>
    <n v="3076"/>
    <s v="Rushiraj"/>
    <m/>
    <s v="No"/>
    <m/>
    <m/>
    <s v="NE"/>
  </r>
  <r>
    <x v="2"/>
    <m/>
    <n v="212203"/>
    <s v="CBO 13 N-34 C.PLACE"/>
    <s v="OIC/23-24/1226"/>
    <s v="212203/31/2024/571"/>
    <n v="0"/>
    <s v="LESSEE:AC(HQ) SOUTH DELHI M CORP"/>
    <d v="2023-06-07T00:00:00"/>
    <d v="2024-06-06T00:00:00"/>
    <s v="MOT-PRD-001"/>
    <s v="PRIVATE CAR"/>
    <n v="8955"/>
    <n v="13.310999441652708"/>
    <n v="1192"/>
    <s v="Delhi"/>
    <n v="443816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227"/>
    <s v="212203/31/2024/532"/>
    <n v="0"/>
    <s v="PRASAR BHARTI DOORDARSHAN KENDRA"/>
    <d v="2023-06-05T00:00:00"/>
    <d v="2024-06-04T00:00:00"/>
    <s v="MOT-PRD-001"/>
    <s v="PRIVATE CAR"/>
    <n v="8471"/>
    <n v="0"/>
    <n v="0"/>
    <s v="Delhi"/>
    <n v="443789"/>
    <s v="0"/>
    <m/>
    <s v="Saurabh Dwivedi"/>
    <s v="Mohit Mendiratta"/>
    <x v="81"/>
    <n v="3075"/>
    <s v="Rushiraj"/>
    <m/>
    <m/>
    <m/>
    <s v="Part"/>
    <s v="Updation  done in Saiba"/>
  </r>
  <r>
    <x v="2"/>
    <m/>
    <n v="510000"/>
    <s v="CBRO DELHI"/>
    <s v="OIC/23-24/1228"/>
    <s v="510000/31/2024/33"/>
    <n v="0"/>
    <s v="JCB INDIA LIMITED"/>
    <d v="2023-06-01T00:00:00"/>
    <d v="2024-05-31T00:00:00"/>
    <s v="MOT-PRD-006"/>
    <s v="MISCELANEOUS CLASS D VEHICLES"/>
    <n v="13369"/>
    <n v="12.499065001121998"/>
    <n v="1671"/>
    <s v="Delhi"/>
    <s v="NE"/>
    <s v="NE"/>
    <m/>
    <s v="Tejinder Pal Singh"/>
    <s v="Pushpinder Kaur"/>
    <x v="77"/>
    <n v="3081"/>
    <s v="Rushiraj"/>
    <m/>
    <s v="No"/>
    <m/>
    <m/>
    <s v="NE"/>
  </r>
  <r>
    <x v="2"/>
    <m/>
    <n v="510000"/>
    <s v="CBRO DELHI"/>
    <s v="OIC/23-24/1229"/>
    <s v="510000/48/2024/416"/>
    <n v="0"/>
    <s v="ARTEMIS MEDICARE SERVICES LIMITED"/>
    <d v="2023-06-13T00:00:00"/>
    <d v="2024-06-11T00:00:00"/>
    <s v="MIST-PRD-751"/>
    <s v="BURGLARY"/>
    <n v="918"/>
    <n v="12.418300653594772"/>
    <n v="114"/>
    <s v="Delhi"/>
    <n v="441892"/>
    <s v="0"/>
    <m/>
    <s v="Hemant Kumar Gupta"/>
    <s v="Namit Malhotra"/>
    <x v="77"/>
    <n v="3081"/>
    <s v="Rushiraj"/>
    <m/>
    <m/>
    <m/>
    <s v="Excess"/>
    <s v="Updation  done in Saiba"/>
  </r>
  <r>
    <x v="2"/>
    <m/>
    <n v="510000"/>
    <s v="CBRO DELHI"/>
    <s v="OIC/23-24/1230"/>
    <s v="510000/11/2024/123"/>
    <n v="0"/>
    <s v="ARTEMIS MEDICARE SERVICES LIMITED"/>
    <d v="2023-06-12T00:00:00"/>
    <d v="2024-06-11T00:00:00"/>
    <s v="FIR-PRD-002"/>
    <s v="FIRE - LOSS OF PROFIT"/>
    <n v="2641580"/>
    <n v="16.500011356839469"/>
    <n v="435861"/>
    <s v="Delhi"/>
    <n v="441883"/>
    <s v="0"/>
    <m/>
    <s v="Hemant Kumar Gupta"/>
    <s v="Namit Malhotra"/>
    <x v="77"/>
    <n v="3081"/>
    <s v="Rushiraj"/>
    <m/>
    <m/>
    <m/>
    <s v="Excess"/>
    <s v="Updation  done in Saiba"/>
  </r>
  <r>
    <x v="2"/>
    <m/>
    <n v="411700"/>
    <s v="DO 7 CHENNAI"/>
    <s v="OIC/23-24/1231"/>
    <s v="411700/48/2023/2106"/>
    <n v="9"/>
    <s v="FINANCIAL SOFTWARE &amp; SYSTEMS (P) LTD"/>
    <d v="2022-10-01T00:00:00"/>
    <d v="2023-09-30T00:00:00"/>
    <s v="MIST-PRD-001"/>
    <s v="GPA - NAMED"/>
    <n v="-6262"/>
    <n v="7.4896199297349089"/>
    <n v="-469"/>
    <s v="Chennai"/>
    <n v="407984"/>
    <s v="E6"/>
    <m/>
    <s v="Meenakshi Menon"/>
    <s v="Sudha.S"/>
    <x v="88"/>
    <n v="3069"/>
    <s v="Rushiraj"/>
    <m/>
    <m/>
    <m/>
    <m/>
    <s v="Saiba Error"/>
  </r>
  <r>
    <x v="2"/>
    <m/>
    <n v="163900"/>
    <s v="DO 5 PUNE"/>
    <s v="OIC/23-24/1232"/>
    <s v="163900/48/2023/2375"/>
    <n v="11"/>
    <s v="AVALARA TECHNOLOGIES PVT LTD"/>
    <d v="2022-08-24T00:00:00"/>
    <d v="2023-08-23T00:00:00"/>
    <s v="MIST-PRD-890"/>
    <s v="GROUP MEDICLAIM -TAILORMADE-RISK FLOATER"/>
    <n v="15339"/>
    <n v="7.5000325966490653"/>
    <n v="1150.43"/>
    <s v="Pune"/>
    <n v="404476"/>
    <s v="NE"/>
    <m/>
    <s v="Atul Chordiya"/>
    <s v="Sachin Kumar"/>
    <x v="101"/>
    <n v="3091"/>
    <s v="Rushiraj"/>
    <m/>
    <m/>
    <m/>
    <m/>
    <s v="NE"/>
  </r>
  <r>
    <x v="2"/>
    <m/>
    <n v="212203"/>
    <s v="CBO 13 N-34 C.PLACE"/>
    <s v="OIC/23-24/1233"/>
    <s v="212203/31/2024/526"/>
    <n v="0"/>
    <s v="POWER GRID CORPORATION OF INDIA"/>
    <d v="2023-06-03T00:00:00"/>
    <d v="2024-06-02T00:00:00"/>
    <s v="MOT-PRD-015"/>
    <s v="STANDALONE OWN DAMAGE(OD)-PRIVATE CAR"/>
    <n v="8914"/>
    <n v="15.010096477451201"/>
    <n v="1338"/>
    <s v="Delhi"/>
    <n v="443955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234"/>
    <s v="212203/31/2024/700"/>
    <n v="0"/>
    <s v="LESSEE POWER GRID CORPORATION OF INDIA LTD"/>
    <d v="2023-06-21T00:00:00"/>
    <d v="2024-06-20T00:00:00"/>
    <s v="MOT-PRD-012"/>
    <s v="PRIVATE CAR-(3 Years)"/>
    <n v="8870"/>
    <n v="15.005636978579481"/>
    <n v="1331"/>
    <s v="Delhi"/>
    <n v="443947"/>
    <n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235"/>
    <s v="212203/31/2024/566"/>
    <n v="0"/>
    <s v="LESSEE:AC(HQ) SOUTH DELHI M CORP"/>
    <d v="2023-06-07T00:00:00"/>
    <d v="2024-06-06T00:00:00"/>
    <s v="MOT-PRD-001"/>
    <s v="PRIVATE CAR"/>
    <n v="3690"/>
    <n v="10.894308943089431"/>
    <n v="402"/>
    <s v="Delhi"/>
    <n v="443811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442600"/>
    <s v="DO  THODUPUZHA"/>
    <s v="OIC/23-24/1236"/>
    <s v="442600/48/2024/250"/>
    <n v="0"/>
    <s v="IQ Minerals &amp; Metals"/>
    <d v="2023-06-03T00:00:00"/>
    <d v="2024-06-02T00:00:00"/>
    <s v="MIST-PRD-751"/>
    <s v="BURGLARY"/>
    <n v="200"/>
    <n v="12.5"/>
    <n v="25"/>
    <s v="Mumbai"/>
    <n v="439158"/>
    <s v="0"/>
    <m/>
    <s v="Inderjit singh Khurana"/>
    <s v="Bennett Cheenath"/>
    <x v="94"/>
    <n v="3073"/>
    <s v="Rushiraj"/>
    <m/>
    <m/>
    <m/>
    <m/>
    <s v="Updation  done in Saiba"/>
  </r>
  <r>
    <x v="2"/>
    <m/>
    <n v="510000"/>
    <s v="CBRO DELHI"/>
    <s v="OIC/23-24/1237"/>
    <s v="510000/48/2023/621"/>
    <n v="11"/>
    <s v="SUTHERLAND HEALTHCARE SOLUTIONS PRIVATE LIMITED"/>
    <d v="2022-04-30T00:00:00"/>
    <d v="2023-04-29T00:00:00"/>
    <s v="MIST-PRD-890"/>
    <s v="GROUP MEDICLAIM -TAILORMADE-RISK FLOATER"/>
    <n v="-12109"/>
    <n v="2.5022710380708562"/>
    <n v="-303"/>
    <s v="Chennai"/>
    <n v="398848"/>
    <s v="NE"/>
    <m/>
    <s v="Payal Batra"/>
    <s v="Aas Mohammad"/>
    <x v="77"/>
    <n v="3081"/>
    <s v="Rushiraj"/>
    <m/>
    <m/>
    <m/>
    <m/>
    <s v="NE"/>
  </r>
  <r>
    <x v="2"/>
    <m/>
    <n v="212203"/>
    <s v="CBO 13 N-34 C.PLACE"/>
    <s v="OIC/23-24/1238"/>
    <s v="212203/31/2024/768"/>
    <n v="0"/>
    <s v="EXPORT CREDIT GUARANTEE CORPORATION"/>
    <d v="2023-07-04T00:00:00"/>
    <d v="2024-07-03T00:00:00"/>
    <s v="MOT-PRD-015"/>
    <s v="STANDALONE OWN DAMAGE(OD)-PRIVATE CAR"/>
    <n v="8111"/>
    <n v="14.991986191591666"/>
    <n v="1216"/>
    <s v="Delhi"/>
    <s v="NE"/>
    <s v="NE"/>
    <m/>
    <s v="Suspense"/>
    <s v="Suspense"/>
    <x v="81"/>
    <n v="3075"/>
    <s v="Rushiraj"/>
    <m/>
    <s v="No"/>
    <m/>
    <m/>
    <s v="NE"/>
  </r>
  <r>
    <x v="2"/>
    <m/>
    <n v="412300"/>
    <s v="DO 13 CHENNAI"/>
    <s v="OIC/23-24/1239"/>
    <s v="412300/48/2023/1362"/>
    <n v="10"/>
    <s v="FULCRUM CRES PVT LTD"/>
    <d v="2022-11-08T00:00:00"/>
    <d v="2023-11-07T00:00:00"/>
    <s v="MIST-PRD-001"/>
    <s v="GPA - NAMED"/>
    <n v="-534"/>
    <n v="7.4906367041198507"/>
    <n v="-40"/>
    <s v="Chennai"/>
    <n v="405492"/>
    <s v="E10"/>
    <m/>
    <s v="Meenakshi Menon"/>
    <s v="Sathyendra Chandra Bose N"/>
    <x v="97"/>
    <n v="3070"/>
    <s v="Rushiraj"/>
    <m/>
    <m/>
    <m/>
    <m/>
    <s v="Updation  done in Saiba"/>
  </r>
  <r>
    <x v="2"/>
    <m/>
    <n v="163600"/>
    <s v="DO IV PUNE"/>
    <s v="OIC/23-24/1240"/>
    <s v="163600/48/2024/347"/>
    <n v="1"/>
    <s v="RATHI DYE CHEM (P) LTD"/>
    <d v="2023-05-01T00:00:00"/>
    <d v="2024-04-30T00:00:00"/>
    <s v="MIST-PRD-094"/>
    <s v="ORIENTAL MEDICLAIM INSURANCE POLICY(INDIVIDUAL)"/>
    <n v="3935"/>
    <n v="14.993646759847522"/>
    <n v="590"/>
    <s v="Pune"/>
    <s v="NE"/>
    <s v="NE"/>
    <m/>
    <s v="Smita Lokapure"/>
    <s v="Vishal Sushil Pachisia"/>
    <x v="83"/>
    <n v="3090"/>
    <s v="Rushiraj"/>
    <m/>
    <m/>
    <m/>
    <m/>
    <s v="NE"/>
  </r>
  <r>
    <x v="2"/>
    <m/>
    <n v="222105"/>
    <s v="KANPUR DEHAT"/>
    <s v="OIC/23-24/1241"/>
    <s v="222105/48/2024/637"/>
    <n v="0"/>
    <s v="UTTAM KUMAR KHANDELWAL"/>
    <d v="2023-06-27T00:00:00"/>
    <d v="2024-06-26T00:00:00"/>
    <s v="MIST-PRD-943"/>
    <s v="HAPPY FAMILY FLOATER POLICY-2021"/>
    <n v="26761"/>
    <n v="19.999252643772653"/>
    <n v="5352"/>
    <s v="Delhi"/>
    <n v="442892"/>
    <s v="0"/>
    <m/>
    <s v="Kushal Bhatia"/>
    <s v="Navneet Arora"/>
    <x v="79"/>
    <n v="3078"/>
    <s v="Rushiraj"/>
    <m/>
    <m/>
    <m/>
    <s v="Excess"/>
    <s v="Updation  done in Saiba"/>
  </r>
  <r>
    <x v="2"/>
    <m/>
    <n v="412300"/>
    <s v="DO 13 CHENNAI"/>
    <s v="OIC/23-24/1242"/>
    <s v="412300/48/2023/1096"/>
    <n v="13"/>
    <s v="FULCRUM CRES PVT LTD"/>
    <d v="2022-10-01T00:00:00"/>
    <d v="2023-09-30T00:00:00"/>
    <s v="MIST-PRD-890"/>
    <s v="GROUP MEDICLAIM -TAILORMADE-RISK FLOATER"/>
    <n v="-10638"/>
    <n v="7.5000000000000009"/>
    <n v="-797.85"/>
    <s v="Chennai"/>
    <n v="405493"/>
    <s v="E9"/>
    <m/>
    <s v="Meenakshi Menon"/>
    <s v="Sathyendra Chandra Bose N"/>
    <x v="97"/>
    <n v="3070"/>
    <s v="Rushiraj"/>
    <m/>
    <m/>
    <m/>
    <m/>
    <s v="Updation  done in Saiba"/>
  </r>
  <r>
    <x v="2"/>
    <m/>
    <n v="412300"/>
    <s v="DO 13 CHENNAI"/>
    <s v="OIC/23-24/1243"/>
    <s v="412300/48/2023/1362"/>
    <n v="11"/>
    <s v="FULCRUM CRES PVT LTD"/>
    <d v="2022-11-08T00:00:00"/>
    <d v="2023-11-07T00:00:00"/>
    <s v="MIST-PRD-001"/>
    <s v="GPA - NAMED"/>
    <n v="837"/>
    <n v="7.5268817204301079"/>
    <n v="63"/>
    <s v="Chennai"/>
    <n v="405492"/>
    <s v="E9"/>
    <m/>
    <s v="Meenakshi Menon"/>
    <s v="Sathyendra Chandra Bose N"/>
    <x v="97"/>
    <n v="3070"/>
    <s v="Rushiraj"/>
    <m/>
    <m/>
    <m/>
    <m/>
    <s v="Updation  done in Saiba"/>
  </r>
  <r>
    <x v="2"/>
    <m/>
    <n v="510000"/>
    <s v="CBRO DELHI"/>
    <s v="OIC/23-24/1244"/>
    <s v="510000/48/2023/640"/>
    <n v="10"/>
    <s v="Sutherland Global Services Private Limited"/>
    <d v="2022-04-30T00:00:00"/>
    <d v="2023-04-29T00:00:00"/>
    <s v="MIST-PRD-890"/>
    <s v="GROUP MEDICLAIM -TAILORMADE-RISK FLOATER"/>
    <n v="-49921"/>
    <n v="2.4999499208749825"/>
    <n v="-1248"/>
    <s v="Chennai"/>
    <n v="398764"/>
    <s v="NE"/>
    <m/>
    <s v="Payal Batra"/>
    <s v="Aas Mohammad"/>
    <x v="77"/>
    <n v="3081"/>
    <s v="Rushiraj"/>
    <m/>
    <m/>
    <m/>
    <m/>
    <s v="NE"/>
  </r>
  <r>
    <x v="2"/>
    <m/>
    <n v="222104"/>
    <s v="CBO 1 KANPUR"/>
    <s v="OIC/23-24/1245"/>
    <s v="222104/48/2023/900"/>
    <n v="3"/>
    <s v="NIVA BUPA HEALTH INSURANCE COMPANY LIMITED"/>
    <d v="2022-10-24T00:00:00"/>
    <d v="2023-10-23T00:00:00"/>
    <s v="MIST-PRD-001"/>
    <s v="GPA - NAMED"/>
    <n v="48897"/>
    <n v="7.5000102255762116"/>
    <n v="3667.28"/>
    <s v="Delhi"/>
    <n v="406280"/>
    <s v="NE"/>
    <m/>
    <s v="Vitty Pandita"/>
    <s v="Naresh Joshi"/>
    <x v="84"/>
    <n v="3076"/>
    <s v="Rushiraj"/>
    <m/>
    <m/>
    <m/>
    <m/>
    <s v="NE"/>
  </r>
  <r>
    <x v="2"/>
    <m/>
    <n v="421200"/>
    <s v="DO2 BANGALORE"/>
    <s v="OIC/23-24/1246"/>
    <s v="421200/48/2023/4442"/>
    <n v="6"/>
    <s v="Mobileum (India) Private Limited"/>
    <d v="2023-01-10T00:00:00"/>
    <d v="2024-01-09T00:00:00"/>
    <s v="MIST-PRD-890"/>
    <s v="GROUP MEDICLAIM -TAILORMADE-RISK FLOATER"/>
    <n v="-251668"/>
    <n v="7.499960265111179"/>
    <n v="-18875"/>
    <s v="Mumbai"/>
    <n v="441195"/>
    <s v="E4"/>
    <m/>
    <s v="Saraswati Shetty"/>
    <s v="Pravin Arun Jagtap"/>
    <x v="103"/>
    <n v="3098"/>
    <s v="Rushiraj"/>
    <m/>
    <m/>
    <s v="Premium Mismatched"/>
    <m/>
    <s v="Modification"/>
  </r>
  <r>
    <x v="2"/>
    <m/>
    <n v="272200"/>
    <s v="DO 3 NEW DELHI"/>
    <s v="OIC/23-24/1247"/>
    <s v="272200/31/2024/314"/>
    <n v="0"/>
    <s v="JCB INDIA LTD"/>
    <d v="2023-06-06T00:00:00"/>
    <d v="2024-06-05T00:00:00"/>
    <s v="MOT-PRD-006"/>
    <s v="MISCELANEOUS CLASS D VEHICLES"/>
    <n v="12981"/>
    <n v="12.495185270780372"/>
    <n v="1622"/>
    <s v="Delhi"/>
    <s v="NE"/>
    <s v="NE"/>
    <m/>
    <s v="Tejinder Pal Singh"/>
    <s v="Pushpinder Kaur"/>
    <x v="87"/>
    <n v="3079"/>
    <s v="Rushiraj"/>
    <m/>
    <s v="No"/>
    <m/>
    <m/>
    <s v="NE"/>
  </r>
  <r>
    <x v="2"/>
    <m/>
    <n v="212203"/>
    <s v="CBO 13 N-34 C.PLACE"/>
    <s v="OIC/23-24/1248"/>
    <s v="212203/31/2024/761"/>
    <n v="0"/>
    <s v="POWER FOUNDATION OF INDIA"/>
    <d v="2023-06-28T00:00:00"/>
    <d v="2024-06-27T00:00:00"/>
    <s v="MOT-PRD-012"/>
    <s v="PRIVATE CAR-(3 Years)"/>
    <n v="9434"/>
    <n v="14.998940004239982"/>
    <n v="1415"/>
    <s v="Delhi"/>
    <n v="443954"/>
    <s v="0"/>
    <m/>
    <s v="Saurabh Dwivedi"/>
    <s v="Mohit Mendiratta"/>
    <x v="81"/>
    <n v="3075"/>
    <s v="Rushiraj"/>
    <m/>
    <m/>
    <m/>
    <m/>
    <s v="Updation  done in Saiba"/>
  </r>
  <r>
    <x v="2"/>
    <m/>
    <n v="272300"/>
    <s v="DO 21 NEW DELHI"/>
    <s v="OIC/23-24/1249"/>
    <s v="272300/48/2024/860"/>
    <n v="0"/>
    <s v="Pipavav Railway Corporation Limited"/>
    <d v="2023-06-26T00:00:00"/>
    <d v="2024-06-25T00:00:00"/>
    <s v="MIST-PRD-049"/>
    <s v="SPECIAL CONTINGENCY - POLICY"/>
    <n v="367500"/>
    <n v="12.500136054421768"/>
    <n v="45938"/>
    <s v="Delhi"/>
    <s v="NE"/>
    <s v="NE"/>
    <m/>
    <s v="NA"/>
    <s v="Manish Gaur"/>
    <x v="76"/>
    <n v="3080"/>
    <s v="Rushiraj"/>
    <n v="213155"/>
    <s v="Yes"/>
    <m/>
    <m/>
    <s v="RFQ"/>
  </r>
  <r>
    <x v="2"/>
    <m/>
    <n v="411700"/>
    <s v="DO 7 CHENNAI"/>
    <s v="OIC/23-24/1250"/>
    <s v="411700/48/2023/2419"/>
    <n v="10"/>
    <s v="FINANCIAL SOFTWARE &amp; SYSTEMS (P) LTD"/>
    <d v="2022-10-01T00:00:00"/>
    <d v="2023-09-30T00:00:00"/>
    <s v="MIST-PRD-890"/>
    <s v="GROUP MEDICLAIM -TAILORMADE-RISK FLOATER"/>
    <n v="-3184"/>
    <n v="1.0050251256281406"/>
    <n v="-32"/>
    <s v="Chennai"/>
    <n v="409179"/>
    <s v="E7"/>
    <m/>
    <s v="Meenakshi Menon"/>
    <s v="Sudha.S"/>
    <x v="88"/>
    <n v="3069"/>
    <s v="Rushiraj"/>
    <m/>
    <m/>
    <m/>
    <m/>
    <s v="Saiba Error"/>
  </r>
  <r>
    <x v="2"/>
    <m/>
    <n v="510000"/>
    <s v="CBRO DELHI"/>
    <s v="OIC/23-24/1251"/>
    <s v="510000/11/2024/116"/>
    <n v="0"/>
    <s v="JCB INDIA LIMITED"/>
    <d v="2023-06-01T00:00:00"/>
    <d v="2024-05-31T00:00:00"/>
    <s v="FIR-PRD-010"/>
    <s v="ORIENTAL BHARAT SOOKSHMA UDYAM SURAKSHA POLICY"/>
    <n v="12878"/>
    <n v="13.24739866438888"/>
    <n v="1706"/>
    <s v="Delhi"/>
    <n v="0"/>
    <n v="0"/>
    <m/>
    <s v="Darvesh Panchal"/>
    <s v="Rohit Kumar Mehndiratta"/>
    <x v="77"/>
    <n v="3081"/>
    <s v="Rushiraj"/>
    <m/>
    <s v="No"/>
    <m/>
    <m/>
    <s v="Updation done in saiba"/>
  </r>
  <r>
    <x v="2"/>
    <m/>
    <n v="540000"/>
    <s v="CBO BANGALORE"/>
    <s v="OIC/23-24/1252"/>
    <s v="421300/48/2023/1095"/>
    <n v="3"/>
    <s v="CELONA NETWORKS PRIVATE LIMITED"/>
    <d v="2022-11-01T00:00:00"/>
    <d v="2023-10-31T00:00:00"/>
    <s v="MIST-PRD-890"/>
    <s v="GROUP MEDICLAIM -TAILORMADE-RISK FLOATER"/>
    <n v="-25489"/>
    <n v="7.5000196163050736"/>
    <n v="-1911.68"/>
    <s v="Bangalore"/>
    <n v="437793"/>
    <s v="E1"/>
    <m/>
    <s v="Shashikala Ganesh Rao"/>
    <s v="Harish Manjunath"/>
    <x v="78"/>
    <n v="3123"/>
    <s v="Rushiraj"/>
    <m/>
    <m/>
    <m/>
    <m/>
    <s v="Updation  done in Saiba"/>
  </r>
  <r>
    <x v="2"/>
    <m/>
    <n v="212203"/>
    <s v="CBO 13 N-34 C.PLACE"/>
    <s v="OIC/23-24/1253"/>
    <s v="212203/31/2024/591"/>
    <n v="0"/>
    <s v="NATIONAL INSTITUTE OF SOLAR ENERGY"/>
    <d v="2023-06-09T00:00:00"/>
    <d v="2024-06-08T00:00:00"/>
    <s v="MOT-PRD-015"/>
    <s v="STANDALONE OWN DAMAGE(OD)-PRIVATE CAR"/>
    <n v="8851"/>
    <n v="14.992656197039882"/>
    <n v="1327"/>
    <s v="Delhi"/>
    <n v="443960"/>
    <s v="0"/>
    <m/>
    <s v="Saurabh Dwivedi"/>
    <s v="Mohit Mendiratta"/>
    <x v="81"/>
    <n v="3075"/>
    <s v="Rushiraj"/>
    <m/>
    <m/>
    <m/>
    <m/>
    <s v="Updation  done in Saiba"/>
  </r>
  <r>
    <x v="2"/>
    <m/>
    <n v="431500"/>
    <s v="DO IV HYDERABAD"/>
    <s v="OIC/23-24/1254"/>
    <s v="431500/48/2023/3635"/>
    <n v="3"/>
    <s v="WAVEMAKER INDIA PRIVATE LIMITED"/>
    <d v="2023-03-15T00:00:00"/>
    <d v="2024-03-14T00:00:00"/>
    <s v="MIST-PRD-890"/>
    <s v="GROUP MEDICLAIM -TAILORMADE-RISK FLOATER"/>
    <n v="-7445"/>
    <n v="7.5000671591672257"/>
    <n v="-558.38"/>
    <s v="Hyderabad"/>
    <n v="424815"/>
    <s v="NE"/>
    <m/>
    <s v="Prasanna Vadhana"/>
    <s v="Manisha Marda"/>
    <x v="93"/>
    <n v="3082"/>
    <s v="Rushiraj"/>
    <m/>
    <m/>
    <m/>
    <m/>
    <s v="NE"/>
  </r>
  <r>
    <x v="2"/>
    <m/>
    <n v="272300"/>
    <s v="DO 21 NEW DELHI"/>
    <s v="OIC/23-24/1255"/>
    <s v="272300/48/2024/859"/>
    <n v="0"/>
    <s v="Pipavav Railway Corporation Limited"/>
    <d v="2023-06-26T00:00:00"/>
    <d v="2024-06-25T00:00:00"/>
    <s v="MIST-PRD-031"/>
    <s v="PUBLIC LIABILITY INDUSTRIAL"/>
    <n v="5012"/>
    <n v="12.509976057462092"/>
    <n v="627"/>
    <s v="Delhi"/>
    <s v="NE"/>
    <s v="NE"/>
    <m/>
    <s v="NA"/>
    <s v="Manish Gaur"/>
    <x v="76"/>
    <n v="3080"/>
    <s v="Rushiraj"/>
    <n v="213160"/>
    <s v="Yes"/>
    <m/>
    <m/>
    <s v="RFQ"/>
  </r>
  <r>
    <x v="2"/>
    <m/>
    <n v="212203"/>
    <s v="CBO 13 N-34 C.PLACE"/>
    <s v="OIC/23-24/1256"/>
    <s v="212203/31/2024/703"/>
    <n v="0"/>
    <s v="LESSEE POWER GRID CORPORATION OF INDIA LTD"/>
    <d v="2023-06-21T00:00:00"/>
    <d v="2024-06-20T00:00:00"/>
    <s v="MOT-PRD-012"/>
    <s v="PRIVATE CAR-(3 Years)"/>
    <n v="8870"/>
    <n v="15.005636978579481"/>
    <n v="1331"/>
    <s v="Delhi"/>
    <n v="443950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257"/>
    <s v="212203/31/2024/640"/>
    <n v="0"/>
    <s v="Ananthapuram Muncipal corporation"/>
    <d v="2023-06-18T00:00:00"/>
    <d v="2024-06-17T00:00:00"/>
    <s v="MOT-PRD-001"/>
    <s v="PRIVATE CAR"/>
    <n v="9244"/>
    <n v="13.370835136304631"/>
    <n v="1236"/>
    <s v="Delhi"/>
    <n v="443950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5600"/>
    <s v="DO 4 NEW DELHI"/>
    <s v="OIC/23-24/1258"/>
    <s v="215600/48/2023/1883"/>
    <n v="10"/>
    <s v="HCL INFOSYSTEMS LTD"/>
    <d v="2022-10-01T00:00:00"/>
    <d v="2023-09-30T00:00:00"/>
    <s v="MIST-PRD-890"/>
    <s v="GROUP MEDICLAIM -TAILORMADE-RISK FLOATER"/>
    <n v="18595"/>
    <n v="7.5020166711481586"/>
    <n v="1395"/>
    <s v="Delhi"/>
    <n v="405703"/>
    <s v="NE"/>
    <m/>
    <s v="Abhishek Sharma"/>
    <s v="Ishita Sharma"/>
    <x v="84"/>
    <n v="3076"/>
    <s v="Rushiraj"/>
    <m/>
    <m/>
    <m/>
    <m/>
    <s v="NE"/>
  </r>
  <r>
    <x v="2"/>
    <m/>
    <n v="510000"/>
    <s v="CBRO DELHI"/>
    <s v="OIC/23-24/1259"/>
    <s v="510000/48/2024/322"/>
    <n v="0"/>
    <s v="NXP INDIA PRIVATE LIMITED"/>
    <d v="2023-04-01T00:00:00"/>
    <d v="2024-03-31T00:00:00"/>
    <s v="MIST-PRD-890"/>
    <s v="GROUP MEDICLAIM -TAILORMADE-RISK FLOATER"/>
    <n v="5648500"/>
    <n v="2"/>
    <n v="112970"/>
    <s v="Delhi"/>
    <n v="431824"/>
    <s v="0"/>
    <m/>
    <s v="Sonia Schofield"/>
    <s v="Surender Banga"/>
    <x v="77"/>
    <n v="3081"/>
    <s v="Rushiraj"/>
    <m/>
    <m/>
    <s v="Premium Mismatched"/>
    <m/>
    <s v="Modification"/>
  </r>
  <r>
    <x v="2"/>
    <m/>
    <n v="233406"/>
    <s v="CBO 3 LUDHIANA"/>
    <s v="OIC/23-24/1260"/>
    <s v="233406/48/2024/578"/>
    <n v="0"/>
    <s v="Shri Gopal Ji Dyeing House"/>
    <d v="2023-06-02T00:00:00"/>
    <d v="2024-06-01T00:00:00"/>
    <s v="MIST-PRD-751"/>
    <s v="BURGLARY"/>
    <n v="4698"/>
    <n v="12.494678586632611"/>
    <n v="587"/>
    <s v="Ludhiana"/>
    <s v="NE"/>
    <s v="NE"/>
    <m/>
    <s v="Suspense"/>
    <s v="Suspense"/>
    <x v="105"/>
    <n v="3083"/>
    <s v="Rushiraj"/>
    <m/>
    <s v="No"/>
    <m/>
    <m/>
    <s v="NE"/>
  </r>
  <r>
    <x v="2"/>
    <m/>
    <n v="163600"/>
    <s v="DO IV PUNE"/>
    <s v="OIC/23-24/1261"/>
    <s v="163600/21/2024/3/0002"/>
    <n v="0"/>
    <s v="RATHI DYE CHEM (P) LTD"/>
    <d v="2023-06-01T00:00:00"/>
    <d v="2024-05-31T00:00:00"/>
    <s v="MC-PRD-015"/>
    <s v="MARINE CARGO - OPEN COVER"/>
    <n v="3130"/>
    <n v="20"/>
    <n v="626"/>
    <s v="Pune"/>
    <s v="NE"/>
    <s v="NE"/>
    <m/>
    <s v="Smita Lokapure"/>
    <s v="Vishal Sushil Pachisia"/>
    <x v="83"/>
    <n v="3090"/>
    <s v="Rushiraj"/>
    <m/>
    <s v="No"/>
    <m/>
    <m/>
    <s v="NE"/>
  </r>
  <r>
    <x v="2"/>
    <m/>
    <n v="411600"/>
    <s v="DO 6 CHENNAI"/>
    <s v="OIC/23-24/1262"/>
    <s v="411600/48/2024/515"/>
    <n v="0"/>
    <s v="JOYSON ANAND ABHISHEK SAFETY SYSTEMS PRIVATE LIMITED"/>
    <d v="2023-06-19T00:00:00"/>
    <d v="2024-06-18T00:00:00"/>
    <s v="MIST-PRD-890"/>
    <s v="GROUP MEDICLAIM -TAILORMADE-RISK FLOATER"/>
    <n v="7680000"/>
    <n v="1"/>
    <n v="76800"/>
    <s v="Chennai"/>
    <n v="440844"/>
    <s v="0"/>
    <m/>
    <s v="Meenakshi Menon"/>
    <s v="Muthahara Khan"/>
    <x v="107"/>
    <n v="3068"/>
    <s v="Rushiraj"/>
    <m/>
    <m/>
    <m/>
    <m/>
    <s v="Updation  done in Saiba"/>
  </r>
  <r>
    <x v="2"/>
    <m/>
    <n v="212203"/>
    <s v="CBO 13 N-34 C.PLACE"/>
    <s v="OIC/23-24/1263"/>
    <s v="212203/31/2024/684"/>
    <n v="1"/>
    <s v="LESSEE POWER GRID CORPORATION OF INDIA LTD"/>
    <d v="2023-06-20T00:00:00"/>
    <d v="2023-06-20T00:00:00"/>
    <s v="MOT-PRD-012"/>
    <s v="PRIVATE CAR-(3 Years)"/>
    <n v="-9682"/>
    <n v="14.996901466639125"/>
    <n v="-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510000"/>
    <s v="CBRO DELHI"/>
    <s v="OIC/23-24/1264"/>
    <s v="510000/48/2024/204"/>
    <n v="2"/>
    <s v="NXP INDIA PRIVATE LIMITED"/>
    <d v="2023-04-01T00:00:00"/>
    <d v="2024-03-31T00:00:00"/>
    <s v="MIST-PRD-890"/>
    <s v="GROUP MEDICLAIM -TAILORMADE-RISK FLOATER"/>
    <n v="42087"/>
    <n v="2"/>
    <n v="841.74"/>
    <s v="Delhi"/>
    <n v="427737"/>
    <s v="NE"/>
    <m/>
    <s v="Sonia Schofield"/>
    <s v="Surender Banga"/>
    <x v="77"/>
    <n v="3081"/>
    <s v="Rushiraj"/>
    <m/>
    <m/>
    <m/>
    <m/>
    <s v="NE"/>
  </r>
  <r>
    <x v="2"/>
    <m/>
    <n v="212203"/>
    <s v="CBO 13 N-34 C.PLACE"/>
    <s v="OIC/23-24/1265"/>
    <s v="212203/31/2024/665"/>
    <n v="0"/>
    <s v="DIRECTORATE OF TRANSPORT"/>
    <d v="2023-06-22T00:00:00"/>
    <d v="2024-06-21T00:00:00"/>
    <s v="MOT-PRD-001"/>
    <s v="PRIVATE CAR"/>
    <n v="8522"/>
    <n v="13.224595165454119"/>
    <n v="1127"/>
    <s v="Delhi"/>
    <n v="443835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266"/>
    <s v="212203/31/2024/732"/>
    <n v="0"/>
    <s v="THE DIRECTOR ANERT"/>
    <d v="2023-06-28T00:00:00"/>
    <d v="2024-06-27T00:00:00"/>
    <s v="MOT-PRD-015"/>
    <s v="STANDALONE OWN DAMAGE(OD)-PRIVATE CAR"/>
    <n v="8871"/>
    <n v="14.99267275391726"/>
    <n v="1330"/>
    <s v="Delhi"/>
    <n v="443973"/>
    <s v="0"/>
    <m/>
    <s v="Saurabh Dwivedi"/>
    <s v="Mohit Mendiratta"/>
    <x v="81"/>
    <n v="3075"/>
    <s v="Rushiraj"/>
    <m/>
    <m/>
    <m/>
    <m/>
    <s v="Updation  done in Saiba"/>
  </r>
  <r>
    <x v="2"/>
    <m/>
    <n v="411700"/>
    <s v="DO 7 CHENNAI"/>
    <s v="OIC/23-24/1267"/>
    <s v="411700/48/2023/2423"/>
    <n v="10"/>
    <s v="FINANCIAL SOFTWARE &amp; SYSTEMS (P) LTD"/>
    <d v="2022-10-01T00:00:00"/>
    <d v="2023-09-30T00:00:00"/>
    <s v="MIST-PRD-890"/>
    <s v="GROUP MEDICLAIM -TAILORMADE-RISK FLOATER"/>
    <n v="127909"/>
    <n v="1.5002853591225012"/>
    <n v="1919"/>
    <s v="Chennai"/>
    <n v="409570"/>
    <s v="NE"/>
    <m/>
    <s v="Meenakshi Menon"/>
    <s v="Sudha.S"/>
    <x v="88"/>
    <n v="3069"/>
    <s v="Rushiraj"/>
    <m/>
    <m/>
    <m/>
    <m/>
    <s v="NE"/>
  </r>
  <r>
    <x v="2"/>
    <m/>
    <n v="510000"/>
    <s v="CBRO DELHI"/>
    <s v="OIC/23-24/1268"/>
    <s v="510000/48/2023/766"/>
    <n v="7"/>
    <s v="Sutherland Global Services Private Limited"/>
    <d v="2022-06-12T00:00:00"/>
    <d v="2023-05-31T00:00:00"/>
    <s v="MIST-PRD-890"/>
    <s v="GROUP MEDICLAIM -TAILORMADE-RISK FLOATER"/>
    <n v="29185"/>
    <n v="2.9999999999999996"/>
    <n v="875.55"/>
    <s v="Chennai"/>
    <n v="418716"/>
    <s v="NE"/>
    <m/>
    <s v="Payal Batra"/>
    <s v="Aas Mohammad"/>
    <x v="77"/>
    <n v="3081"/>
    <s v="Rushiraj"/>
    <m/>
    <m/>
    <m/>
    <m/>
    <s v="NE"/>
  </r>
  <r>
    <x v="2"/>
    <m/>
    <n v="510000"/>
    <s v="CBRO DELHI"/>
    <s v="OIC/23-24/1269"/>
    <s v="510000/48/2023/746"/>
    <n v="10"/>
    <s v="JETSYNTHESYS PRIVATE LIMITED"/>
    <d v="2022-06-01T00:00:00"/>
    <d v="2023-05-06T00:00:00"/>
    <s v="MIST-PRD-890"/>
    <s v="GROUP MEDICLAIM -TAILORMADE-RISK FLOATER"/>
    <n v="5555"/>
    <n v="7.5000900090009006"/>
    <n v="416.63"/>
    <s v="Mumbai"/>
    <n v="388562"/>
    <s v="E10"/>
    <m/>
    <s v="Saraswati Shetty"/>
    <s v="Pravin Arun Jagtap"/>
    <x v="77"/>
    <n v="3081"/>
    <s v="Rushiraj"/>
    <m/>
    <m/>
    <m/>
    <m/>
    <s v="Updation  done in Saiba"/>
  </r>
  <r>
    <x v="2"/>
    <m/>
    <n v="414890"/>
    <s v="BC  SINGAPERUMAL KOIL"/>
    <s v="OIC/23-24/1270"/>
    <s v="414890/31/2024/432"/>
    <n v="0"/>
    <s v=" OBOBETTERMANN INDIA PVT LTD"/>
    <d v="2023-06-07T00:00:00"/>
    <d v="2024-06-06T00:00:00"/>
    <s v="MOT-PRD-002"/>
    <s v="MOTORISED-TWO WHEELERS"/>
    <n v="814"/>
    <n v="2.5798525798525795"/>
    <n v="21"/>
    <s v="Chennai"/>
    <n v="437336"/>
    <s v="0"/>
    <m/>
    <s v="Meiyappan M"/>
    <s v="Hemalatha Ravichandran"/>
    <x v="91"/>
    <n v="3071"/>
    <s v="Rushiraj"/>
    <m/>
    <m/>
    <m/>
    <m/>
    <s v="Updation  done in Saiba"/>
  </r>
  <r>
    <x v="2"/>
    <m/>
    <n v="510000"/>
    <s v="CBRO DELHI"/>
    <s v="OIC/23-24/1271"/>
    <s v="510000/48/2024/419"/>
    <n v="0"/>
    <s v="ARTEMIS MEDICARE SERVICES LIMITED"/>
    <d v="2023-06-13T00:00:00"/>
    <d v="2024-06-11T00:00:00"/>
    <s v="MIST-PRD-052"/>
    <s v="MONEY INSURANCE"/>
    <n v="1248"/>
    <n v="12.5"/>
    <n v="156"/>
    <s v="Delhi"/>
    <n v="441897"/>
    <s v="0"/>
    <m/>
    <s v="Hemant Kumar Gupta"/>
    <s v="Namit Malhotra"/>
    <x v="77"/>
    <n v="3081"/>
    <s v="Rushiraj"/>
    <m/>
    <m/>
    <m/>
    <s v="Excess"/>
    <s v="Updation  done in Saiba"/>
  </r>
  <r>
    <x v="2"/>
    <m/>
    <n v="272200"/>
    <s v="DO 3 NEW DELHI"/>
    <s v="OIC/23-24/1272"/>
    <s v="272200/31/2024/391"/>
    <n v="0"/>
    <s v=" ORIENT PACKER"/>
    <d v="2023-06-30T00:00:00"/>
    <d v="2024-06-29T00:00:00"/>
    <s v="MOT-PRD-002"/>
    <s v="MOTORISED-TWO WHEELERS"/>
    <n v="814"/>
    <n v="7.8624078624078617"/>
    <n v="64"/>
    <s v="Ludhiana"/>
    <n v="441647"/>
    <s v="0"/>
    <m/>
    <s v="Tejinder Pal Singh"/>
    <s v="Pushpinder Kaur"/>
    <x v="87"/>
    <n v="3079"/>
    <s v="Rushiraj"/>
    <m/>
    <m/>
    <m/>
    <s v="Excess"/>
    <s v="Updation  done in Saiba"/>
  </r>
  <r>
    <x v="2"/>
    <m/>
    <n v="540000"/>
    <s v="CBO BANGALORE"/>
    <s v="OIC/23-24/1273"/>
    <s v="421300/48/2023/1355"/>
    <n v="4"/>
    <s v="FRESHALICIOUS SUPER BAZAAR PRIVATE LIMITED"/>
    <d v="2022-12-19T00:00:00"/>
    <d v="2023-12-18T00:00:00"/>
    <s v="MIST-PRD-010"/>
    <s v="GROUP MEDICLAIM -TAILORMADE"/>
    <n v="-15901"/>
    <n v="7.5026727878749773"/>
    <n v="-1193"/>
    <s v="Bangalore"/>
    <n v="414980"/>
    <s v="NE"/>
    <m/>
    <s v="Jaya Chitra.M"/>
    <s v="Raghuram P S"/>
    <x v="78"/>
    <n v="3123"/>
    <s v="Rushiraj"/>
    <m/>
    <m/>
    <m/>
    <m/>
    <s v="NE"/>
  </r>
  <r>
    <x v="2"/>
    <m/>
    <n v="215600"/>
    <s v="DO 4 NEW DELHI"/>
    <s v="OIC/23-24/1274"/>
    <s v="215600/11/2024/64"/>
    <n v="1"/>
    <s v=" LUMAX MANNOH ALLIED TECHNOLOGIES LTD"/>
    <d v="2023-04-01T00:00:00"/>
    <d v="2024-03-31T00:00:00"/>
    <s v="FIR-PRD-006"/>
    <s v="STANDARD FIRE -- New Tariff"/>
    <n v="62631"/>
    <n v="11.500694544235284"/>
    <n v="7203"/>
    <s v="Delhi"/>
    <n v="429071"/>
    <s v="NE"/>
    <m/>
    <s v="Rohit Kumar Mendiratta"/>
    <s v="Prince Tayal"/>
    <x v="84"/>
    <n v="3076"/>
    <s v="Rushiraj"/>
    <m/>
    <m/>
    <m/>
    <m/>
    <s v="NE"/>
  </r>
  <r>
    <x v="2"/>
    <m/>
    <n v="510000"/>
    <s v="CBRO DELHI"/>
    <s v="OIC/23-24/1275"/>
    <s v="510000/48/2023/1566"/>
    <n v="3"/>
    <s v="DENTSU COMMUNICATIONS INDIA PRIVATE LIMITED"/>
    <d v="2023-02-07T00:00:00"/>
    <d v="2023-12-31T00:00:00"/>
    <s v="MIST-PRD-890"/>
    <s v="GROUP MEDICLAIM -TAILORMADE-RISK FLOATER"/>
    <n v="-22776"/>
    <n v="5"/>
    <n v="-1138.8"/>
    <s v="Delhi"/>
    <n v="430605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276"/>
    <s v="510000/48/2023/1564"/>
    <n v="3"/>
    <s v="PERFECT RELATIONS PRIVATE LIMITED"/>
    <d v="2023-02-07T00:00:00"/>
    <d v="2023-12-31T00:00:00"/>
    <s v="MIST-PRD-890"/>
    <s v="GROUP MEDICLAIM -TAILORMADE-RISK FLOATER"/>
    <n v="4760"/>
    <n v="5"/>
    <n v="238"/>
    <s v="Delhi"/>
    <n v="430681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277"/>
    <s v="510000/48/2023/1568"/>
    <n v="3"/>
    <s v="WAT MEDIA PRIVATE LIMITED"/>
    <d v="2023-02-07T00:00:00"/>
    <d v="2023-12-31T00:00:00"/>
    <s v="MIST-PRD-890"/>
    <s v="GROUP MEDICLAIM -TAILORMADE-RISK FLOATER"/>
    <n v="-20072"/>
    <n v="5"/>
    <n v="-1003.6"/>
    <s v="Delhi"/>
    <n v="430615"/>
    <s v="NE"/>
    <m/>
    <s v="Amit Pandey"/>
    <s v="Niladri Mangal Choudhury"/>
    <x v="77"/>
    <n v="3081"/>
    <s v="Rushiraj"/>
    <m/>
    <m/>
    <m/>
    <m/>
    <s v="NE"/>
  </r>
  <r>
    <x v="2"/>
    <m/>
    <n v="212203"/>
    <s v="CBO 13 N-34 C.PLACE"/>
    <s v="OIC/23-24/1278"/>
    <s v="212203/31/2024/715"/>
    <n v="0"/>
    <s v="OFFICE OF THE MANAGER, GOVT PRESS,"/>
    <d v="2023-06-25T00:00:00"/>
    <d v="2024-06-24T00:00:00"/>
    <s v="MOT-PRD-001"/>
    <s v="PRIVATE CAR"/>
    <n v="8522"/>
    <n v="13.224595165454119"/>
    <n v="1127"/>
    <s v="Delhi"/>
    <n v="443839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411700"/>
    <s v="DO 7 CHENNAI"/>
    <s v="OIC/23-24/1279"/>
    <s v="411700/48/2023/2426"/>
    <n v="9"/>
    <s v="FINANCIAL SOFTWARE &amp; SYSTEMS (P) LTD"/>
    <d v="2022-10-01T00:00:00"/>
    <d v="2023-09-30T00:00:00"/>
    <s v="MIST-PRD-890"/>
    <s v="GROUP MEDICLAIM -TAILORMADE-RISK FLOATER"/>
    <n v="-25780"/>
    <n v="1"/>
    <n v="-257.8"/>
    <s v="Chennai"/>
    <n v="408012"/>
    <s v="E8"/>
    <m/>
    <s v="Meenakshi Menon"/>
    <s v="Sudha.S"/>
    <x v="88"/>
    <n v="3069"/>
    <s v="Rushiraj"/>
    <m/>
    <m/>
    <m/>
    <m/>
    <s v="Saiba Error"/>
  </r>
  <r>
    <x v="2"/>
    <m/>
    <n v="212203"/>
    <s v="CBO 13 N-34 C.PLACE"/>
    <s v="OIC/23-24/1280"/>
    <s v="212203/31/2024/714"/>
    <n v="0"/>
    <s v="OFFICE OF THE DEPUTY COMMISSIONER,"/>
    <d v="2023-06-25T00:00:00"/>
    <d v="2024-06-24T00:00:00"/>
    <s v="MOT-PRD-001"/>
    <s v="PRIVATE CAR"/>
    <n v="8522"/>
    <n v="13.224595165454119"/>
    <n v="1127"/>
    <s v="Delhi"/>
    <n v="443838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281"/>
    <s v="510000/48/2024/412"/>
    <n v="0"/>
    <s v="JCB INDIA LIMITED"/>
    <d v="2023-06-27T00:00:00"/>
    <d v="2024-05-31T00:00:00"/>
    <s v="MIST-PRD-061"/>
    <s v="All RISK"/>
    <n v="23000"/>
    <n v="12.5"/>
    <n v="2875"/>
    <s v="Delhi"/>
    <n v="0"/>
    <n v="0"/>
    <m/>
    <s v="Darvesh Panchal"/>
    <s v="Rohit Kumar Mehndiratta"/>
    <x v="77"/>
    <n v="3081"/>
    <s v="Rushiraj"/>
    <m/>
    <s v="No"/>
    <m/>
    <m/>
    <s v="Updation done in saiba"/>
  </r>
  <r>
    <x v="2"/>
    <m/>
    <n v="212203"/>
    <s v="CBO 13 N-34 C.PLACE"/>
    <s v="OIC/23-24/1282"/>
    <s v="212203/31/2024/614"/>
    <n v="0"/>
    <s v="REC LIMITED"/>
    <d v="2023-06-16T00:00:00"/>
    <d v="2024-06-15T00:00:00"/>
    <s v="MOT-PRD-015"/>
    <s v="STANDALONE OWN DAMAGE(OD)-PRIVATE CAR"/>
    <n v="8935"/>
    <n v="14.997202014549526"/>
    <n v="1340"/>
    <s v="Delhi"/>
    <n v="443962"/>
    <s v="0"/>
    <m/>
    <s v="Saurabh Dwivedi"/>
    <s v="Mohit Mendiratta"/>
    <x v="81"/>
    <n v="3075"/>
    <s v="Rushiraj"/>
    <m/>
    <m/>
    <m/>
    <m/>
    <s v="Updation  done in Saiba"/>
  </r>
  <r>
    <x v="2"/>
    <m/>
    <n v="510000"/>
    <s v="CBRO DELHI"/>
    <s v="OIC/23-24/1283"/>
    <s v="510000/48/2024/346"/>
    <n v="0"/>
    <s v="JCB POWER PRODUCTS INDIA PVT LTD"/>
    <d v="2023-06-09T00:00:00"/>
    <d v="2024-05-31T00:00:00"/>
    <s v="MIST-PRD-052"/>
    <s v="MONEY INSURANCE"/>
    <n v="500"/>
    <n v="12.6"/>
    <n v="63"/>
    <s v="Delhi"/>
    <s v="NE"/>
    <s v="NE"/>
    <m/>
    <s v="Darvesh Panchal"/>
    <s v="Rohit Kumar Mehndiratta"/>
    <x v="77"/>
    <n v="3081"/>
    <s v="Rushiraj"/>
    <m/>
    <s v="No"/>
    <m/>
    <m/>
    <s v="NE"/>
  </r>
  <r>
    <x v="2"/>
    <m/>
    <n v="212203"/>
    <s v="CBO 13 N-34 C.PLACE"/>
    <s v="OIC/23-24/1284"/>
    <s v="212203/31/2024/716"/>
    <n v="0"/>
    <s v="TAGORE GOVT COLLEGE OF EDUCATION"/>
    <d v="2023-06-25T00:00:00"/>
    <d v="2024-06-24T00:00:00"/>
    <s v="MOT-PRD-001"/>
    <s v="PRIVATE CAR"/>
    <n v="8522"/>
    <n v="13.224595165454119"/>
    <n v="1127"/>
    <s v="Delhi"/>
    <n v="443840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510000"/>
    <s v="CBRO DELHI"/>
    <s v="OIC/23-24/1285"/>
    <s v="510000/48/2023/1582"/>
    <n v="2"/>
    <s v="DENTSU COMMUNICATIONS INDIA PRIVATE LIMITED"/>
    <d v="2023-02-07T00:00:00"/>
    <d v="2023-12-31T00:00:00"/>
    <s v="MIST-PRD-001"/>
    <s v="GPA - NAMED"/>
    <n v="-1894"/>
    <n v="7.4973600844772958"/>
    <n v="-142"/>
    <s v="Delhi"/>
    <n v="429712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286"/>
    <s v="510000/11/2024/126"/>
    <n v="0"/>
    <s v="JCB INDIA LTD"/>
    <d v="2023-06-01T00:00:00"/>
    <d v="2024-05-31T00:00:00"/>
    <s v="FIR-PRD-004"/>
    <s v="MEGA RISK"/>
    <n v="23755190"/>
    <n v="10"/>
    <n v="2375519"/>
    <s v="Pune"/>
    <n v="441858"/>
    <s v="0"/>
    <m/>
    <s v="Darvesh Panchal"/>
    <s v="Rohit Kumar Mehndiratta"/>
    <x v="77"/>
    <n v="3081"/>
    <s v="Rushiraj"/>
    <m/>
    <m/>
    <m/>
    <s v="Excess"/>
    <s v="Updation  done in Saiba"/>
  </r>
  <r>
    <x v="2"/>
    <m/>
    <n v="510000"/>
    <s v="CBRO DELHI"/>
    <s v="OIC/23-24/1287"/>
    <s v="510000/11/2024/127"/>
    <n v="0"/>
    <s v="JCB INDIA LIMITED"/>
    <d v="2023-06-01T00:00:00"/>
    <d v="2024-05-31T00:00:00"/>
    <s v="FIR-PRD-008"/>
    <s v="STAND ALONE TERRORISM - FIRE"/>
    <n v="3047091"/>
    <n v="4.9999819499975553"/>
    <n v="152354"/>
    <s v="Delhi"/>
    <n v="444359"/>
    <n v="0"/>
    <m/>
    <s v="Darvesh Panchal"/>
    <s v="Rohit Kumar Mehndiratta"/>
    <x v="77"/>
    <n v="3081"/>
    <s v="Rushiraj"/>
    <m/>
    <s v="No"/>
    <m/>
    <m/>
    <s v="Updation done in saiba"/>
  </r>
  <r>
    <x v="2"/>
    <m/>
    <n v="222105"/>
    <s v="KANPUR DEHAT"/>
    <s v="OIC/23-24/1288"/>
    <s v="222105/48/2024/583"/>
    <n v="0"/>
    <s v=" NARENDRA SINGH BISHT,"/>
    <d v="2023-06-21T00:00:00"/>
    <d v="2024-06-20T00:00:00"/>
    <s v="MIST-PRD-943"/>
    <s v="HAPPY FAMILY FLOATER POLICY-2021"/>
    <n v="42050"/>
    <n v="7.5005945303210462"/>
    <n v="3154"/>
    <s v="Delhi"/>
    <n v="441062"/>
    <s v="0"/>
    <m/>
    <s v="Kushal Bhatia"/>
    <s v="Navneet Arora"/>
    <x v="79"/>
    <n v="3078"/>
    <s v="Rushiraj"/>
    <m/>
    <m/>
    <m/>
    <s v="Part"/>
    <s v="Updation  done in Saiba"/>
  </r>
  <r>
    <x v="2"/>
    <m/>
    <n v="421100"/>
    <s v="CBU Bangalore"/>
    <s v="OIC/23-24/1289"/>
    <s v="421100/48/2024/142"/>
    <n v="1"/>
    <s v="PRECISION PRECAST SOLUTIONS PRIVATE LIMITED"/>
    <d v="2023-05-01T00:00:00"/>
    <d v="2024-04-30T00:00:00"/>
    <s v="MIST-PRD-890"/>
    <s v="GROUP MEDICLAIM -TAILORMADE-RISK FLOATER"/>
    <n v="234169"/>
    <n v="7.5000021352100408"/>
    <n v="17562.68"/>
    <s v="Pune"/>
    <n v="431895"/>
    <s v="NE"/>
    <m/>
    <s v="Shraddha Verma"/>
    <s v="Sanket Surve"/>
    <x v="95"/>
    <n v="3065"/>
    <s v="Rushiraj"/>
    <m/>
    <m/>
    <m/>
    <m/>
    <s v="NE"/>
  </r>
  <r>
    <x v="2"/>
    <m/>
    <n v="510000"/>
    <s v="CBRO DELHI"/>
    <s v="OIC/23-24/1290"/>
    <s v="510000/31/2024/36"/>
    <n v="0"/>
    <s v="JCB INDIA LIMITED"/>
    <d v="2023-06-01T00:00:00"/>
    <d v="2024-05-31T00:00:00"/>
    <s v="MOT-PRD-006"/>
    <s v="MISCELANEOUS CLASS D VEHICLES"/>
    <n v="12650"/>
    <n v="12.4901185770751"/>
    <n v="1580"/>
    <s v="Delhi"/>
    <s v="NE"/>
    <s v="NE"/>
    <m/>
    <s v="Tejinder Pal Singh"/>
    <s v="Pushpinder Kaur"/>
    <x v="77"/>
    <n v="3081"/>
    <s v="Rushiraj"/>
    <m/>
    <s v="No"/>
    <m/>
    <m/>
    <s v="NE"/>
  </r>
  <r>
    <x v="2"/>
    <m/>
    <n v="212203"/>
    <s v="CBO 13 N-34 C.PLACE"/>
    <s v="OIC/23-24/1291"/>
    <s v="212203/31/2024/615"/>
    <n v="0"/>
    <s v="REC LIMITED"/>
    <d v="2023-06-16T00:00:00"/>
    <d v="2024-06-15T00:00:00"/>
    <s v="MOT-PRD-015"/>
    <s v="STANDALONE OWN DAMAGE(OD)-PRIVATE CAR"/>
    <n v="8935"/>
    <n v="14.997202014549526"/>
    <n v="1340"/>
    <s v="Delhi"/>
    <n v="443963"/>
    <s v="0"/>
    <m/>
    <s v="Saurabh Dwivedi"/>
    <s v="Mohit Mendiratta"/>
    <x v="81"/>
    <n v="3075"/>
    <s v="Rushiraj"/>
    <m/>
    <m/>
    <m/>
    <m/>
    <s v="Updation  done in Saiba"/>
  </r>
  <r>
    <x v="2"/>
    <m/>
    <n v="215600"/>
    <s v="DO 4 NEW DELHI"/>
    <s v="OIC/23-24/1292"/>
    <s v="215600/48/2024/547"/>
    <n v="0"/>
    <s v="LUMAX INDUSTRIES LTD"/>
    <d v="2023-05-03T00:00:00"/>
    <d v="2024-05-02T00:00:00"/>
    <s v="MIST-PRD-751"/>
    <s v="BURGLARY"/>
    <n v="50000"/>
    <n v="12.5"/>
    <n v="6250"/>
    <s v="Delhi"/>
    <s v="NE"/>
    <s v="NE"/>
    <m/>
    <s v="Rohit Kumar Mendiratta"/>
    <s v="Prince Tayal"/>
    <x v="84"/>
    <n v="3076"/>
    <s v="Rushiraj"/>
    <m/>
    <s v="No"/>
    <m/>
    <m/>
    <s v="NE"/>
  </r>
  <r>
    <x v="2"/>
    <m/>
    <n v="540000"/>
    <s v="CBO BANGALORE"/>
    <s v="OIC/23-24/1293"/>
    <s v="421300/48/2023/731"/>
    <n v="10"/>
    <s v="ZYNGA GAME NETWORK INDIA PVT LTD"/>
    <d v="2022-07-01T00:00:00"/>
    <d v="2023-06-30T00:00:00"/>
    <s v="MIST-PRD-001"/>
    <s v="GPA - NAMED"/>
    <n v="-780"/>
    <n v="7.5641025641025639"/>
    <n v="-59"/>
    <s v="Bangalore"/>
    <n v="0"/>
    <s v="E9"/>
    <m/>
    <s v="Satyaki Mukherjee"/>
    <s v="Akhilesh Singh"/>
    <x v="78"/>
    <n v="3123"/>
    <s v="Rushiraj"/>
    <m/>
    <m/>
    <m/>
    <m/>
    <s v="Updation done in saiba"/>
  </r>
  <r>
    <x v="2"/>
    <m/>
    <n v="212203"/>
    <s v="CBO 13 N-34 C.PLACE"/>
    <s v="OIC/23-24/1294"/>
    <s v="212203/31/2024/671"/>
    <n v="0"/>
    <s v="THE DIRECTOR ANERT"/>
    <d v="2023-06-24T00:00:00"/>
    <d v="2024-06-23T00:00:00"/>
    <s v="MOT-PRD-015"/>
    <s v="STANDALONE OWN DAMAGE(OD)-PRIVATE CAR"/>
    <n v="12728"/>
    <n v="15.006285355122564"/>
    <n v="1910"/>
    <s v="Delhi"/>
    <n v="443970"/>
    <s v="0"/>
    <m/>
    <s v="Saurabh Dwivedi"/>
    <s v="Mohit Mendiratta"/>
    <x v="81"/>
    <n v="3075"/>
    <s v="Rushiraj"/>
    <m/>
    <m/>
    <m/>
    <m/>
    <s v="Updation  done in Saiba"/>
  </r>
  <r>
    <x v="2"/>
    <m/>
    <n v="540000"/>
    <s v="CBO BANGALORE"/>
    <s v="OIC/23-24/1187"/>
    <s v="421300/48/2023/460"/>
    <n v="8"/>
    <s v="ATRIA CONVERGENCE TECHNOLOGIES LIMITED"/>
    <d v="2022-05-04T00:00:00"/>
    <d v="2023-05-03T00:00:00"/>
    <s v="MIST-PRD-001"/>
    <s v="GPA - NAMED"/>
    <n v="274"/>
    <n v="7.6642335766423351"/>
    <n v="21"/>
    <s v="Bangalore"/>
    <n v="389831"/>
    <s v="E4"/>
    <m/>
    <s v="Jayachitra M"/>
    <s v="Vinod Kumar Heggadadevanapura Thammaiah"/>
    <x v="78"/>
    <n v="3123"/>
    <s v="Rushiraj"/>
    <m/>
    <m/>
    <m/>
    <m/>
    <s v="Updation done in saiba"/>
  </r>
  <r>
    <x v="2"/>
    <m/>
    <n v="510000"/>
    <s v="CBRO DELHI"/>
    <s v="OIC/23-24/1296"/>
    <s v="510000/48/2024/425"/>
    <n v="0"/>
    <s v="ARTEMIS MEDICARE SERVICES LIMITED"/>
    <d v="2023-06-13T00:00:00"/>
    <d v="2024-06-11T00:00:00"/>
    <s v="MIST-PRD-034"/>
    <s v="ERROR  and OMISSION -MEDICAL ESTABLISHMENT"/>
    <n v="504000"/>
    <n v="12.500198412698413"/>
    <n v="63001"/>
    <s v="Delhi"/>
    <n v="440238"/>
    <s v="0"/>
    <m/>
    <s v="Hemant Kumar Gupta"/>
    <s v="Namit Malhotra"/>
    <x v="77"/>
    <n v="3081"/>
    <s v="Rushiraj"/>
    <m/>
    <m/>
    <m/>
    <s v="Excess"/>
    <s v="Updation  done in Saiba"/>
  </r>
  <r>
    <x v="2"/>
    <m/>
    <n v="233600"/>
    <s v="DO RAJPURA"/>
    <s v="OIC/23-24/1297"/>
    <s v="233600/48/2023/1976"/>
    <n v="12"/>
    <s v="HUDL INDIA PRIVATE LIMITED"/>
    <d v="2023-02-25T00:00:00"/>
    <d v="2024-02-24T00:00:00"/>
    <s v="MIST-PRD-010"/>
    <s v="GROUP MEDICLAIM -TAILORMADE"/>
    <n v="-43594"/>
    <n v="7.5010322521447907"/>
    <n v="-3270"/>
    <s v="Mumbai"/>
    <n v="421681"/>
    <s v="NE"/>
    <m/>
    <s v="Ashita Lotia"/>
    <s v="Manpreet Kaur Gill"/>
    <x v="102"/>
    <n v="3084"/>
    <s v="Rushiraj"/>
    <m/>
    <m/>
    <m/>
    <m/>
    <s v="NE"/>
  </r>
  <r>
    <x v="2"/>
    <m/>
    <n v="540000"/>
    <s v="CBO BANGALORE"/>
    <s v="OIC/23-24/1298"/>
    <s v="421300/48/2023/1354"/>
    <n v="8"/>
    <s v="FRESHALICIOUS SUPER BAZAAR PRIVATE LIMITED"/>
    <d v="2022-12-15T00:00:00"/>
    <d v="2023-12-14T00:00:00"/>
    <s v="MIST-PRD-890"/>
    <s v="GROUP MEDICLAIM -TAILORMADE-RISK FLOATER"/>
    <n v="-82348"/>
    <n v="7.4998785641424197"/>
    <n v="-6176"/>
    <s v="Bangalore"/>
    <n v="413729"/>
    <s v="NE"/>
    <m/>
    <s v="Jaya Chitra.M"/>
    <s v="Raghuram P S"/>
    <x v="78"/>
    <n v="3123"/>
    <s v="Rushiraj"/>
    <m/>
    <m/>
    <m/>
    <m/>
    <s v="NE"/>
  </r>
  <r>
    <x v="2"/>
    <m/>
    <n v="431500"/>
    <s v="DO IV HYDERABAD"/>
    <s v="OIC/23-24/1299"/>
    <s v="431500/48/2023/3633"/>
    <n v="6"/>
    <s v="WAVEMAKER INDIA PRIVATE LIMITED"/>
    <d v="2023-03-12T00:00:00"/>
    <d v="2024-03-11T00:00:00"/>
    <s v="MIST-PRD-001"/>
    <s v="GPA - NAMED"/>
    <n v="3017"/>
    <n v="7.5001657275439175"/>
    <n v="226.28"/>
    <s v="Hyderabad"/>
    <n v="424818"/>
    <s v="NE"/>
    <m/>
    <s v="Prasanna Vadhana"/>
    <s v="Manisha Marda"/>
    <x v="93"/>
    <n v="3082"/>
    <s v="Rushiraj"/>
    <m/>
    <m/>
    <m/>
    <m/>
    <s v="NE"/>
  </r>
  <r>
    <x v="2"/>
    <m/>
    <n v="272200"/>
    <s v="DO 3 NEW DELHI"/>
    <s v="OIC/23-24/1300"/>
    <s v="272200/31/2024/429"/>
    <n v="0"/>
    <s v=" NEW SWAN ENTERPRISES"/>
    <d v="2023-06-30T00:00:00"/>
    <d v="2024-06-29T00:00:00"/>
    <s v="MOT-PRD-003"/>
    <s v="GCCV"/>
    <n v="16492"/>
    <n v="7.0033955857385406"/>
    <n v="1155"/>
    <s v="Ludhiana"/>
    <n v="440226"/>
    <s v="0"/>
    <m/>
    <s v="Prem Parkash"/>
    <s v="Jatin Mago"/>
    <x v="87"/>
    <n v="3079"/>
    <s v="Rushiraj"/>
    <m/>
    <m/>
    <m/>
    <s v="Excess"/>
    <s v="Updation  done in Saiba"/>
  </r>
  <r>
    <x v="2"/>
    <m/>
    <n v="222105"/>
    <s v="KANPUR DEHAT"/>
    <s v="OIC/23-24/1301"/>
    <s v="222105/48/2024/636"/>
    <n v="0"/>
    <s v=" Dhruv Chopra"/>
    <d v="2023-06-27T00:00:00"/>
    <d v="2024-06-26T00:00:00"/>
    <s v="MIST-PRD-094"/>
    <s v="ORIENTAL MEDICLAIM INSURANCE POLICY(INDIVIDUAL)"/>
    <n v="9352"/>
    <n v="30.004277159965785"/>
    <n v="2806"/>
    <s v="Delhi"/>
    <n v="441489"/>
    <s v="0"/>
    <m/>
    <s v="Kushal Bhatia"/>
    <s v="Navneet Arora"/>
    <x v="79"/>
    <n v="3078"/>
    <s v="Rushiraj"/>
    <m/>
    <m/>
    <m/>
    <s v="Excess"/>
    <s v="Updation  done in Saiba"/>
  </r>
  <r>
    <x v="2"/>
    <m/>
    <n v="272200"/>
    <s v="DO 3 NEW DELHI"/>
    <s v="OIC/23-24/1302"/>
    <s v="272200/31/2024/346"/>
    <n v="0"/>
    <s v="JCB INDIA LTD"/>
    <d v="2023-06-12T00:00:00"/>
    <d v="2024-06-11T00:00:00"/>
    <s v="MOT-PRD-006"/>
    <s v="MISCELANEOUS CLASS D VEHICLES"/>
    <n v="12981"/>
    <n v="12.495185270780372"/>
    <n v="1622"/>
    <s v="Delhi"/>
    <s v="NE"/>
    <s v="NE"/>
    <m/>
    <s v="Tejinder Pal Singh"/>
    <s v="Pushpinder Kaur"/>
    <x v="87"/>
    <n v="3079"/>
    <s v="Rushiraj"/>
    <m/>
    <s v="No"/>
    <m/>
    <m/>
    <s v="NE"/>
  </r>
  <r>
    <x v="2"/>
    <m/>
    <n v="540000"/>
    <s v="CBO BANGALORE"/>
    <s v="OIC/23-24/1303"/>
    <s v="421300/48/2023/928"/>
    <n v="6"/>
    <s v="ATRIA CONVERGENCE TECHNOLOGIES LIMITED"/>
    <d v="2022-09-03T00:00:00"/>
    <d v="2023-09-02T00:00:00"/>
    <s v="MIST-PRD-890"/>
    <s v="GROUP MEDICLAIM -TAILORMADE-RISK FLOATER"/>
    <n v="102441"/>
    <n v="5"/>
    <n v="5122.05"/>
    <s v="Bangalore"/>
    <n v="401739"/>
    <s v="E5"/>
    <m/>
    <s v="Jayachitra M"/>
    <s v="Vinod Kumar Heggadadevanapura Thammaiah"/>
    <x v="78"/>
    <n v="3123"/>
    <s v="Rushiraj"/>
    <m/>
    <m/>
    <m/>
    <m/>
    <s v="Updation done in saiba"/>
  </r>
  <r>
    <x v="2"/>
    <m/>
    <n v="421100"/>
    <s v="CBU Bangalore"/>
    <s v="OIC/23-24/1304"/>
    <s v="421100/48/2023/482"/>
    <n v="10"/>
    <s v="OPUS SOLUTIONS PRIVATE LIMITED"/>
    <d v="2022-10-11T00:00:00"/>
    <d v="2023-10-10T00:00:00"/>
    <s v="MIST-PRD-890"/>
    <s v="GROUP MEDICLAIM -TAILORMADE-RISK FLOATER"/>
    <n v="-78524"/>
    <n v="0"/>
    <n v="0"/>
    <s v="Pune"/>
    <s v="NE"/>
    <s v="NE"/>
    <m/>
    <s v="Sheetal Gurav"/>
    <s v="Aatish Gaurav"/>
    <x v="95"/>
    <n v="3065"/>
    <s v="Rushiraj"/>
    <m/>
    <m/>
    <m/>
    <m/>
    <s v="NE"/>
  </r>
  <r>
    <x v="2"/>
    <m/>
    <n v="540000"/>
    <s v="CBO BANGALORE"/>
    <s v="OIC/23-24/1305"/>
    <s v="421300/48/2023/1354"/>
    <n v="5"/>
    <s v="FRESHALICIOUS SUPER BAZAAR PRIVATE LIMITED"/>
    <d v="2022-12-15T00:00:00"/>
    <d v="2023-12-14T00:00:00"/>
    <s v="MIST-PRD-890"/>
    <s v="GROUP MEDICLAIM -TAILORMADE-RISK FLOATER"/>
    <n v="8719"/>
    <n v="7.5008601903888064"/>
    <n v="654"/>
    <s v="Bangalore"/>
    <n v="413729"/>
    <s v="NE"/>
    <m/>
    <s v="Jaya Chitra.M"/>
    <s v="Raghuram P S"/>
    <x v="78"/>
    <n v="3123"/>
    <s v="Rushiraj"/>
    <m/>
    <m/>
    <m/>
    <m/>
    <s v="NE"/>
  </r>
  <r>
    <x v="2"/>
    <m/>
    <n v="540000"/>
    <s v="CBO BANGALORE"/>
    <s v="OIC/23-24/1306"/>
    <s v="421300/48/2023/1354"/>
    <n v="6"/>
    <s v="FRESHALICIOUS SUPER BAZAAR PRIVATE LIMITED"/>
    <d v="2022-12-15T00:00:00"/>
    <d v="2023-12-14T00:00:00"/>
    <s v="MIST-PRD-890"/>
    <s v="GROUP MEDICLAIM -TAILORMADE-RISK FLOATER"/>
    <n v="332"/>
    <n v="7.5301204819277112"/>
    <n v="25"/>
    <s v="Bangalore"/>
    <n v="413729"/>
    <s v="NE"/>
    <m/>
    <s v="Jaya Chitra.M"/>
    <s v="Raghuram P S"/>
    <x v="78"/>
    <n v="3123"/>
    <s v="Rushiraj"/>
    <m/>
    <m/>
    <m/>
    <m/>
    <s v="NE"/>
  </r>
  <r>
    <x v="2"/>
    <m/>
    <n v="163900"/>
    <s v="DO 5 PUNE"/>
    <s v="OIC/23-24/1307"/>
    <s v="163900/48/2024/921"/>
    <n v="0"/>
    <s v="ECA Infrastructure India PvtLtd"/>
    <d v="2023-06-11T00:00:00"/>
    <d v="2024-06-10T00:00:00"/>
    <s v="MIST-PRD-049"/>
    <s v="SPECIAL CONTINGENCY - POLICY"/>
    <n v="36890"/>
    <n v="12.504743833017079"/>
    <n v="4613"/>
    <s v="Pune"/>
    <s v="NE"/>
    <s v="NE"/>
    <m/>
    <s v="Suspense"/>
    <s v="Suspense"/>
    <x v="101"/>
    <n v="3091"/>
    <s v="Rushiraj"/>
    <m/>
    <s v="No"/>
    <m/>
    <m/>
    <s v="NE"/>
  </r>
  <r>
    <x v="2"/>
    <m/>
    <n v="510000"/>
    <s v="CBRO DELHI"/>
    <s v="OIC/23-24/1308"/>
    <s v="510000/48/2023/1608"/>
    <n v="1"/>
    <s v="DENTSU NETWORK ADVERTISING PRIVATE LIMITED"/>
    <d v="2023-02-03T00:00:00"/>
    <d v="2024-02-02T00:00:00"/>
    <s v="MIST-PRD-890"/>
    <s v="GROUP MEDICLAIM -TAILORMADE-RISK FLOATER"/>
    <n v="-44727"/>
    <n v="0.50001117892995284"/>
    <n v="-223.64"/>
    <s v="Delhi"/>
    <n v="434026"/>
    <s v="NE"/>
    <m/>
    <s v="Amit Pandey"/>
    <s v="Niladri Mangal Choudhury"/>
    <x v="77"/>
    <n v="3081"/>
    <s v="Rushiraj"/>
    <m/>
    <m/>
    <m/>
    <m/>
    <s v="NE"/>
  </r>
  <r>
    <x v="2"/>
    <m/>
    <n v="212203"/>
    <s v="CBO 13 N-34 C.PLACE"/>
    <s v="OIC/23-24/1309"/>
    <s v="212203/31/2024/702"/>
    <n v="0"/>
    <s v="LESSEE POWER GRID CORPORATION OF INDIA LTD"/>
    <d v="2023-06-21T00:00:00"/>
    <d v="2024-06-20T00:00:00"/>
    <s v="MOT-PRD-012"/>
    <s v="PRIVATE CAR-(3 Years)"/>
    <n v="8870"/>
    <n v="15.005636978579481"/>
    <n v="1331"/>
    <s v="Delhi"/>
    <n v="443949"/>
    <s v="0"/>
    <m/>
    <s v="Saurabh Dwivedi"/>
    <s v="Mohit Mendiratta"/>
    <x v="81"/>
    <n v="3075"/>
    <s v="Rushiraj"/>
    <m/>
    <m/>
    <m/>
    <m/>
    <s v="Updation  done in Saiba"/>
  </r>
  <r>
    <x v="2"/>
    <m/>
    <n v="510000"/>
    <s v="CBRO DELHI"/>
    <s v="OIC/23-24/1310"/>
    <s v="510000/31/2024/44"/>
    <n v="0"/>
    <s v="JCB INDIA LIMITED"/>
    <d v="2023-06-20T00:00:00"/>
    <d v="2024-06-19T00:00:00"/>
    <s v="MOT-PRD-006"/>
    <s v="MISCELANEOUS CLASS D VEHICLES"/>
    <n v="10367"/>
    <n v="12.491559756920999"/>
    <n v="1295"/>
    <s v="Delhi"/>
    <s v="NE"/>
    <s v="NE"/>
    <m/>
    <s v="Tejinder Pal Singh"/>
    <s v="Pushpinder Kaur"/>
    <x v="77"/>
    <n v="3081"/>
    <s v="Rushiraj"/>
    <m/>
    <s v="No"/>
    <m/>
    <m/>
    <s v="NE"/>
  </r>
  <r>
    <x v="2"/>
    <m/>
    <n v="212203"/>
    <s v="CBO 13 N-34 C.PLACE"/>
    <s v="OIC/23-24/1311"/>
    <s v="212203/31/2024/685"/>
    <n v="0"/>
    <s v="LESSEE POWER GRID CORPORATION OF INDIA LTD"/>
    <d v="2023-06-20T00:00:00"/>
    <d v="2024-06-19T00:00:00"/>
    <s v="MOT-PRD-012"/>
    <s v="PRIVATE CAR-(3 Years)"/>
    <n v="9682"/>
    <n v="14.996901466639125"/>
    <n v="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212203"/>
    <s v="CBO 13 N-34 C.PLACE"/>
    <s v="OIC/23-24/1312"/>
    <s v="212203/31/2024/689"/>
    <n v="0"/>
    <s v="LESSEE POWER GRID CORPORATION OF INDIA LTD"/>
    <d v="2023-06-20T00:00:00"/>
    <d v="2024-06-19T00:00:00"/>
    <s v="MOT-PRD-012"/>
    <s v="PRIVATE CAR-(3 Years)"/>
    <n v="9682"/>
    <n v="14.996901466639125"/>
    <n v="1452"/>
    <s v="Delhi"/>
    <s v="Contra"/>
    <s v="Contra"/>
    <m/>
    <s v="Saurabh Dwivedi"/>
    <s v="Mohit Mendiratta"/>
    <x v="81"/>
    <n v="3075"/>
    <s v="Rushiraj"/>
    <m/>
    <m/>
    <m/>
    <m/>
    <s v="Contra"/>
  </r>
  <r>
    <x v="2"/>
    <m/>
    <n v="510000"/>
    <s v="CBRO DELHI"/>
    <s v="OIC/23-24/1313"/>
    <s v="510000/48/2023/721"/>
    <n v="5"/>
    <s v="JCB POWER PRODUCTS INDIA PVT LTD"/>
    <d v="2022-06-01T00:00:00"/>
    <d v="2023-05-31T00:00:00"/>
    <s v="MIST-PRD-001"/>
    <s v="GPA - NAMED"/>
    <n v="23"/>
    <n v="8.695652173913043"/>
    <n v="2"/>
    <s v="Delhi"/>
    <n v="387275"/>
    <s v="NE"/>
    <m/>
    <s v="Sonia Schofield"/>
    <s v="Vikas Saxena"/>
    <x v="77"/>
    <n v="3081"/>
    <s v="Rushiraj"/>
    <m/>
    <m/>
    <m/>
    <m/>
    <s v="NE"/>
  </r>
  <r>
    <x v="2"/>
    <m/>
    <n v="212203"/>
    <s v="CBO 13 N-34 C.PLACE"/>
    <s v="OIC/23-24/1314"/>
    <s v="212203/31/2024/618"/>
    <n v="0"/>
    <s v="NHPC LIMITED"/>
    <d v="2023-06-16T00:00:00"/>
    <d v="2024-06-15T00:00:00"/>
    <s v="MOT-PRD-015"/>
    <s v="STANDALONE OWN DAMAGE(OD)-PRIVATE CAR"/>
    <n v="8935"/>
    <n v="14.997202014549526"/>
    <n v="1340"/>
    <s v="Delhi"/>
    <n v="443966"/>
    <s v="0"/>
    <m/>
    <s v="Saurabh Dwivedi"/>
    <s v="Mohit Mendiratta"/>
    <x v="81"/>
    <n v="3075"/>
    <s v="Rushiraj"/>
    <m/>
    <m/>
    <m/>
    <m/>
    <s v="Updation  done in Saiba"/>
  </r>
  <r>
    <x v="2"/>
    <m/>
    <n v="212203"/>
    <s v="CBO 13 N-34 C.PLACE"/>
    <s v="OIC/23-24/1315"/>
    <s v="212203/31/2024/637"/>
    <n v="0"/>
    <s v="DEPARTMENT OF HEAVY INDUSTRIES"/>
    <d v="2023-06-18T00:00:00"/>
    <d v="2024-06-17T00:00:00"/>
    <s v="MOT-PRD-001"/>
    <s v="PRIVATE CAR"/>
    <n v="9410"/>
    <n v="13.390010626992561"/>
    <n v="1260"/>
    <s v="Delhi"/>
    <n v="443827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316"/>
    <s v="212203/31/2024/635"/>
    <n v="0"/>
    <s v="INTERNATIONAL SOLAR ALLIANCE"/>
    <d v="2023-06-18T00:00:00"/>
    <d v="2024-06-17T00:00:00"/>
    <s v="MOT-PRD-001"/>
    <s v="PRIVATE CAR"/>
    <n v="9647"/>
    <n v="13.434228257489375"/>
    <n v="1296"/>
    <s v="Delhi"/>
    <n v="443825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5600"/>
    <s v="DO 4 NEW DELHI"/>
    <s v="OIC/23-24/1317"/>
    <s v="215600/31/2024/257"/>
    <n v="0"/>
    <s v=" DELHIVERY LTD"/>
    <d v="2023-06-16T00:00:00"/>
    <d v="2024-06-15T00:00:00"/>
    <s v="MOT-PRD-003"/>
    <s v="GCCV"/>
    <n v="78419"/>
    <n v="7.9993368953952482"/>
    <n v="6273"/>
    <s v="Delhi"/>
    <s v="NE"/>
    <s v="NE"/>
    <m/>
    <s v="Saurabh Dwivedi"/>
    <s v="Santosh Kumar Gupta"/>
    <x v="84"/>
    <n v="3076"/>
    <s v="Rushiraj"/>
    <m/>
    <s v="No"/>
    <m/>
    <m/>
    <s v="NE"/>
  </r>
  <r>
    <x v="2"/>
    <m/>
    <n v="212203"/>
    <s v="CBO 13 N-34 C.PLACE"/>
    <s v="OIC/23-24/1318"/>
    <s v="212203/31/2024/555"/>
    <n v="0"/>
    <s v="LESSEE:AC(HQ) SOUTH DELHI M CORP"/>
    <d v="2023-06-07T00:00:00"/>
    <d v="2024-06-06T00:00:00"/>
    <s v="MOT-PRD-001"/>
    <s v="PRIVATE CAR"/>
    <n v="3690"/>
    <n v="10.894308943089431"/>
    <n v="402"/>
    <s v="Delhi"/>
    <n v="443800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319"/>
    <s v="212203/31/2024/567"/>
    <n v="0"/>
    <s v="LESSEE:AC(HQ) SOUTH DELHI M CORP"/>
    <d v="2023-06-07T00:00:00"/>
    <d v="2024-06-06T00:00:00"/>
    <s v="MOT-PRD-001"/>
    <s v="PRIVATE CAR"/>
    <n v="8955"/>
    <n v="13.310999441652708"/>
    <n v="1192"/>
    <s v="Delhi"/>
    <n v="443812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411400"/>
    <s v="DO 4 CHENNAI"/>
    <s v="OIC/23-24/1320"/>
    <s v="411400/48/2023/956"/>
    <n v="4"/>
    <s v="AMRUTANJAN HEALTH CARE LIMITED"/>
    <d v="2023-02-07T00:00:00"/>
    <d v="2024-02-06T00:00:00"/>
    <s v="MIST-PRD-001"/>
    <s v="GPA - NAMED"/>
    <n v="500"/>
    <n v="7.5"/>
    <n v="37.5"/>
    <s v="Chennai"/>
    <n v="416843"/>
    <s v="NE"/>
    <m/>
    <s v="Balakrishnan M"/>
    <s v="Akshayah Manoharan"/>
    <x v="98"/>
    <n v="3099"/>
    <s v="Rushiraj"/>
    <m/>
    <m/>
    <m/>
    <m/>
    <s v="NE"/>
  </r>
  <r>
    <x v="2"/>
    <m/>
    <n v="510000"/>
    <s v="CBRO DELHI"/>
    <s v="OIC/23-24/1321"/>
    <s v="510000/48/2023/1558"/>
    <n v="2"/>
    <s v="AMNET TRADING INDIA PRIVATE LIMITED"/>
    <d v="2023-02-07T00:00:00"/>
    <d v="2023-12-31T00:00:00"/>
    <s v="MIST-PRD-890"/>
    <s v="GROUP MEDICLAIM -TAILORMADE-RISK FLOATER"/>
    <n v="7869"/>
    <n v="5"/>
    <n v="393.45"/>
    <s v="Delhi"/>
    <n v="429715"/>
    <s v="NE"/>
    <m/>
    <s v="Amit Pandey"/>
    <s v="Niladri Mangal Choudhury"/>
    <x v="77"/>
    <n v="3081"/>
    <s v="Rushiraj"/>
    <m/>
    <m/>
    <m/>
    <m/>
    <s v="NE"/>
  </r>
  <r>
    <x v="2"/>
    <m/>
    <n v="212203"/>
    <s v="CBO 13 N-34 C.PLACE"/>
    <s v="OIC/23-24/1322"/>
    <s v="212203/31/2024/661"/>
    <n v="0"/>
    <s v="DIRECTORATE OF TRANSPORT"/>
    <d v="2023-06-22T00:00:00"/>
    <d v="2024-06-21T00:00:00"/>
    <s v="MOT-PRD-001"/>
    <s v="PRIVATE CAR"/>
    <n v="8522"/>
    <n v="13.224595165454119"/>
    <n v="1127"/>
    <s v="Delhi"/>
    <n v="443831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5600"/>
    <s v="DO 4 NEW DELHI"/>
    <s v="OIC/23-24/1323"/>
    <s v="215600/48/2024/690"/>
    <n v="0"/>
    <s v=" GAGAN KAPOOR"/>
    <d v="2023-06-27T00:00:00"/>
    <d v="2024-06-26T00:00:00"/>
    <s v="MIST-PRD-049"/>
    <s v="SPECIAL CONTINGENCY - POLICY"/>
    <n v="250"/>
    <n v="12.4"/>
    <n v="31"/>
    <s v="Delhi"/>
    <s v="NE"/>
    <s v="NE"/>
    <m/>
    <s v="Rohit Kumar Mendiratta"/>
    <s v="Prince Tayal"/>
    <x v="84"/>
    <n v="3076"/>
    <s v="Rushiraj"/>
    <n v="220507"/>
    <s v="Yes"/>
    <m/>
    <m/>
    <s v="RFQ"/>
  </r>
  <r>
    <x v="2"/>
    <m/>
    <n v="540000"/>
    <s v="CBO BANGALORE"/>
    <s v="OIC/23-24/1324"/>
    <s v="540000/11/2024/1"/>
    <n v="0"/>
    <s v="GWASF QUALITY CASTINGS PVT LTD"/>
    <d v="2023-06-19T00:00:00"/>
    <d v="2024-06-18T00:00:00"/>
    <s v="FIR-PRD-010"/>
    <s v="ORIENTAL BHARAT SOOKSHMA UDYAM SURAKSHA POLICY"/>
    <n v="13980"/>
    <n v="19.206008583690984"/>
    <n v="2685"/>
    <s v="Bangalore"/>
    <n v="431523"/>
    <s v="0"/>
    <m/>
    <s v="Lakshmi M"/>
    <s v="Prabhakara Venkatesh"/>
    <x v="78"/>
    <n v="3123"/>
    <s v="Rushiraj"/>
    <m/>
    <m/>
    <s v="Premium Mismatched"/>
    <m/>
    <s v="Modification"/>
  </r>
  <r>
    <x v="2"/>
    <m/>
    <n v="540000"/>
    <s v="CBO BANGALORE"/>
    <s v="OIC/23-24/1325"/>
    <s v="421300/48/2023/967"/>
    <n v="10"/>
    <s v="CIMS HOSPITAL PRIVATE LIMITED"/>
    <d v="2022-06-04T00:00:00"/>
    <d v="2023-06-03T00:00:00"/>
    <s v="MIST-PRD-890"/>
    <s v="GROUP MEDICLAIM -TAILORMADE-RISK FLOATER"/>
    <n v="4391"/>
    <n v="7.0000000000000009"/>
    <n v="307.37"/>
    <s v="Bangalore"/>
    <n v="406954"/>
    <s v="NE"/>
    <m/>
    <s v="Raju Kumar"/>
    <s v="Sarfuddin Ansari"/>
    <x v="78"/>
    <n v="3123"/>
    <s v="Rushiraj"/>
    <m/>
    <m/>
    <m/>
    <m/>
    <s v="NE"/>
  </r>
  <r>
    <x v="2"/>
    <m/>
    <n v="212203"/>
    <s v="CBO 13 N-34 C.PLACE"/>
    <s v="OIC/23-24/1326"/>
    <s v="212203/48/2024/262"/>
    <n v="1"/>
    <s v="HAVELLS INDIA LTD"/>
    <d v="2023-04-01T00:00:00"/>
    <d v="2024-03-31T00:00:00"/>
    <s v="MIST-PRD-032"/>
    <s v="PUBLIC LIABILITY NON INDUSTRIAL"/>
    <n v="222"/>
    <n v="9.9999999999999982"/>
    <n v="22.2"/>
    <s v="Delhi"/>
    <s v="NE"/>
    <s v="NE"/>
    <m/>
    <s v="Malika Umrail Khanna"/>
    <s v="Nisha Sethi"/>
    <x v="81"/>
    <n v="3075"/>
    <s v="Rushiraj"/>
    <m/>
    <m/>
    <m/>
    <m/>
    <s v="NE"/>
  </r>
  <r>
    <x v="2"/>
    <m/>
    <n v="421100"/>
    <s v="CBU Bangalore"/>
    <s v="OIC/23-24/1327"/>
    <s v="421100/48/2023/482"/>
    <n v="11"/>
    <s v="OPUS SOLUTIONS PRIVATE LIMITED"/>
    <d v="2022-10-11T00:00:00"/>
    <d v="2023-10-10T00:00:00"/>
    <s v="MIST-PRD-890"/>
    <s v="GROUP MEDICLAIM -TAILORMADE-RISK FLOATER"/>
    <n v="-6407"/>
    <n v="0"/>
    <n v="0"/>
    <s v="Pune"/>
    <s v="NE"/>
    <s v="NE"/>
    <m/>
    <s v="Sheetal Gurav"/>
    <s v="Aatish Gaurav"/>
    <x v="95"/>
    <n v="3065"/>
    <s v="Rushiraj"/>
    <m/>
    <m/>
    <m/>
    <m/>
    <s v="NE"/>
  </r>
  <r>
    <x v="2"/>
    <m/>
    <n v="510000"/>
    <s v="CBRO DELHI"/>
    <s v="OIC/23-24/1328"/>
    <s v="510000/48/2023/1658"/>
    <n v="1"/>
    <s v="ELECTRIFAI TECHNOLOGY SOLUTIONS PRIVATE LIMITED"/>
    <d v="2023-02-20T00:00:00"/>
    <d v="2024-02-19T00:00:00"/>
    <s v="MIST-PRD-890"/>
    <s v="GROUP MEDICLAIM -TAILORMADE-RISK FLOATER"/>
    <n v="142293"/>
    <n v="7.5000035138762966"/>
    <n v="10671.98"/>
    <s v="Delhi"/>
    <n v="440259"/>
    <s v="NE"/>
    <m/>
    <s v="Rajiv Choudhary"/>
    <s v="Kamal Bora"/>
    <x v="77"/>
    <n v="3081"/>
    <s v="Rushiraj"/>
    <m/>
    <m/>
    <m/>
    <m/>
    <s v="NE"/>
  </r>
  <r>
    <x v="2"/>
    <m/>
    <n v="540000"/>
    <s v="CBO BANGALORE"/>
    <s v="OIC/23-24/1329"/>
    <s v="421300/48/2023/460"/>
    <n v="9"/>
    <s v="ATRIA CONVERGENCE TECHNOLOGIES LIMITED"/>
    <d v="2022-05-04T00:00:00"/>
    <d v="2023-05-03T00:00:00"/>
    <s v="MIST-PRD-001"/>
    <s v="GPA - NAMED"/>
    <n v="-4"/>
    <n v="0"/>
    <n v="0"/>
    <s v="Bangalore"/>
    <n v="389831"/>
    <s v="E5"/>
    <m/>
    <s v="Jayachitra M"/>
    <s v="Vinod Kumar Heggadadevanapura Thammaiah"/>
    <x v="78"/>
    <n v="3123"/>
    <s v="Rushiraj"/>
    <m/>
    <m/>
    <m/>
    <m/>
    <s v="Updation done in saiba"/>
  </r>
  <r>
    <x v="2"/>
    <m/>
    <n v="111200"/>
    <s v="CBU-3 MUMBAI"/>
    <s v="OIC/23-24/1330"/>
    <s v="111200/48/2024/423"/>
    <n v="0"/>
    <s v="KARAN SEHGAL"/>
    <d v="2023-06-26T00:00:00"/>
    <d v="2024-06-25T00:00:00"/>
    <s v="MIST-PRD-003"/>
    <s v="PA INDIVIDUAL"/>
    <n v="26390"/>
    <n v="16.49867374005305"/>
    <n v="4354"/>
    <s v="Mumbai"/>
    <n v="442011"/>
    <s v="0"/>
    <m/>
    <s v="Kushal Bhatia"/>
    <s v="Anju Shukla"/>
    <x v="104"/>
    <n v="3085"/>
    <s v="Rushiraj"/>
    <m/>
    <m/>
    <m/>
    <s v="Excess"/>
    <s v="Updation  done in Saiba"/>
  </r>
  <r>
    <x v="2"/>
    <m/>
    <n v="510000"/>
    <s v="CBRO DELHI"/>
    <s v="OIC/23-24/1331"/>
    <s v="510000/11/2024/102"/>
    <n v="0"/>
    <s v="JCB POWER PRODUCTS INDIA PVT LTD"/>
    <d v="2023-06-01T00:00:00"/>
    <d v="2024-05-31T00:00:00"/>
    <s v="FIR-PRD-009"/>
    <s v="ORIENTAL BHARAT LAGHU UDYAM SURAKSHA POLICY"/>
    <n v="225273"/>
    <n v="14.739449467978853"/>
    <n v="33204"/>
    <s v="Delhi"/>
    <s v="NE"/>
    <s v="NE"/>
    <m/>
    <s v="Darvesh Panchal"/>
    <s v="Rohit Kumar Mehndiratta"/>
    <x v="77"/>
    <n v="3081"/>
    <s v="Rushiraj"/>
    <m/>
    <s v="No"/>
    <m/>
    <m/>
    <s v="NE"/>
  </r>
  <r>
    <x v="2"/>
    <m/>
    <n v="411400"/>
    <s v="DO 4 CHENNAI"/>
    <s v="OIC/23-24/1332"/>
    <s v="411400/48/2023/956"/>
    <n v="3"/>
    <s v="AMRUTANJAN HEALTH CARE LIMITED"/>
    <d v="2023-02-07T00:00:00"/>
    <d v="2024-02-06T00:00:00"/>
    <s v="MIST-PRD-001"/>
    <s v="GPA - NAMED"/>
    <n v="-360"/>
    <n v="7.5"/>
    <n v="-27"/>
    <s v="Chennai"/>
    <n v="416843"/>
    <s v="NE"/>
    <m/>
    <s v="Balakrishnan M"/>
    <s v="Akshayah Manoharan"/>
    <x v="98"/>
    <n v="3099"/>
    <s v="Rushiraj"/>
    <m/>
    <m/>
    <m/>
    <m/>
    <s v="NE"/>
  </r>
  <r>
    <x v="2"/>
    <m/>
    <n v="510000"/>
    <s v="CBRO DELHI"/>
    <s v="OIC/23-24/1333"/>
    <s v="510000/48/2023/1581"/>
    <n v="2"/>
    <s v="DENTSU AEGIS NETWORK INDIA PRIVATE LIMITED"/>
    <d v="2023-02-07T00:00:00"/>
    <d v="2023-12-31T00:00:00"/>
    <s v="MIST-PRD-001"/>
    <s v="GPA - NAMED"/>
    <n v="2777"/>
    <n v="7.4900972272236226"/>
    <n v="208"/>
    <s v="Delhi"/>
    <n v="429604"/>
    <s v="NE"/>
    <m/>
    <s v="Amit Pandey"/>
    <s v="Niladri Mangal Choudhury"/>
    <x v="77"/>
    <n v="3081"/>
    <s v="Rushiraj"/>
    <m/>
    <m/>
    <m/>
    <m/>
    <s v="NE"/>
  </r>
  <r>
    <x v="2"/>
    <m/>
    <n v="132000"/>
    <s v="DO JOGESHWARI"/>
    <s v="OIC/23-24/1334"/>
    <s v="132000/11/2022/406"/>
    <n v="3"/>
    <s v=" Allied Blender &amp; Distillers Pvt Ltd"/>
    <d v="2021-09-02T00:00:00"/>
    <d v="2022-09-01T00:00:00"/>
    <s v="FIR-PRD-006"/>
    <s v="STANDARD FIRE -- New Tariff"/>
    <n v="-152434"/>
    <n v="10.367765721558182"/>
    <n v="-15804"/>
    <s v="Mumbai"/>
    <n v="360460"/>
    <s v="NE"/>
    <m/>
    <s v="Susmeet Kaur"/>
    <s v="Pooja Yadav"/>
    <x v="80"/>
    <n v="3100"/>
    <s v="Rushiraj"/>
    <m/>
    <m/>
    <m/>
    <m/>
    <s v="NE"/>
  </r>
  <r>
    <x v="2"/>
    <m/>
    <n v="510000"/>
    <s v="CBRO DELHI"/>
    <s v="OIC/23-24/1335"/>
    <s v="510000/11/2024/103"/>
    <n v="0"/>
    <s v="JCB POWER PRODUCTS INDIA PVT LTD"/>
    <d v="2023-06-01T00:00:00"/>
    <d v="2024-05-31T00:00:00"/>
    <s v="FIR-PRD-002"/>
    <s v="FIRE - LOSS OF PROFIT"/>
    <n v="270378"/>
    <n v="16.499863154546595"/>
    <n v="44612"/>
    <s v="Delhi"/>
    <s v="NE"/>
    <s v="NE"/>
    <m/>
    <s v="Darvesh Panchal"/>
    <s v="Rohit Kumar Mehndiratta"/>
    <x v="77"/>
    <n v="3081"/>
    <s v="Rushiraj"/>
    <m/>
    <s v="No"/>
    <m/>
    <m/>
    <s v="NE"/>
  </r>
  <r>
    <x v="2"/>
    <m/>
    <n v="212203"/>
    <s v="CBO 13 N-34 C.PLACE"/>
    <s v="OIC/23-24/1336"/>
    <s v="212203/31/2024/664"/>
    <n v="0"/>
    <s v="DIRECTORATE OF TRANSPORT"/>
    <d v="2023-06-22T00:00:00"/>
    <d v="2024-06-21T00:00:00"/>
    <s v="MOT-PRD-001"/>
    <s v="PRIVATE CAR"/>
    <n v="8522"/>
    <n v="13.224595165454119"/>
    <n v="1127"/>
    <s v="Delhi"/>
    <n v="443834"/>
    <s v="0"/>
    <m/>
    <s v="Saurabh Dwivedi"/>
    <s v="Mohit Mendiratta"/>
    <x v="81"/>
    <n v="3075"/>
    <s v="Rushiraj"/>
    <m/>
    <m/>
    <s v="TP Brok % need to modify"/>
    <m/>
    <s v="Modification"/>
  </r>
  <r>
    <x v="2"/>
    <m/>
    <n v="212203"/>
    <s v="CBO 13 N-34 C.PLACE"/>
    <s v="OIC/23-24/1337"/>
    <s v="212203/31/2024/537"/>
    <n v="0"/>
    <s v="PRASAR BHARTI DOORDARSHAN KENDRA"/>
    <d v="2023-06-05T00:00:00"/>
    <d v="2024-06-04T00:00:00"/>
    <s v="MOT-PRD-001"/>
    <s v="PRIVATE CAR"/>
    <n v="8759"/>
    <n v="0"/>
    <n v="0"/>
    <s v="Delhi"/>
    <n v="443794"/>
    <s v="0"/>
    <m/>
    <s v="Saurabh Dwivedi"/>
    <s v="Mohit Mendiratta"/>
    <x v="81"/>
    <n v="3075"/>
    <s v="Rushiraj"/>
    <m/>
    <m/>
    <m/>
    <s v="Part"/>
    <s v="Updation  done in Saiba"/>
  </r>
  <r>
    <x v="2"/>
    <m/>
    <n v="510000"/>
    <s v="CBRO DELHI"/>
    <s v="OIC/23-24/1338"/>
    <s v="510000/48/2023/1566"/>
    <n v="4"/>
    <s v="DENTSU COMMUNICATIONS INDIA PRIVATE LIMITED"/>
    <d v="2023-02-07T00:00:00"/>
    <d v="2023-12-31T00:00:00"/>
    <s v="MIST-PRD-890"/>
    <s v="GROUP MEDICLAIM -TAILORMADE-RISK FLOATER"/>
    <n v="-10666"/>
    <n v="5"/>
    <n v="-533.29999999999995"/>
    <s v="Delhi"/>
    <n v="430605"/>
    <s v="NE"/>
    <m/>
    <s v="Amit Pandey"/>
    <s v="Niladri Mangal Choudhury"/>
    <x v="77"/>
    <n v="3081"/>
    <s v="Rushiraj"/>
    <m/>
    <m/>
    <m/>
    <m/>
    <s v="NE"/>
  </r>
  <r>
    <x v="2"/>
    <m/>
    <n v="510000"/>
    <s v="CBRO DELHI"/>
    <s v="OIC/23-24/1339"/>
    <s v="510000/48/2024/345"/>
    <n v="0"/>
    <s v="JCB POWER PRODUCTS INDIA PVT LTD"/>
    <d v="2023-06-09T00:00:00"/>
    <d v="2024-05-31T00:00:00"/>
    <s v="MIST-PRD-751"/>
    <s v="BURGLARY"/>
    <n v="4325"/>
    <n v="12.531791907514451"/>
    <n v="542"/>
    <s v="Delhi"/>
    <s v="NE"/>
    <s v="NE"/>
    <m/>
    <s v="Darvesh Panchal"/>
    <s v="Rohit Kumar Mehndiratta"/>
    <x v="77"/>
    <n v="3081"/>
    <s v="Rushiraj"/>
    <m/>
    <s v="No"/>
    <m/>
    <m/>
    <s v="NE"/>
  </r>
  <r>
    <x v="2"/>
    <m/>
    <n v="510000"/>
    <s v="CBRO DELHI"/>
    <s v="OIC/23-24/1340"/>
    <s v="510000/48/2023/1618"/>
    <n v="3"/>
    <s v="DENTSU AEGIS NETWORK INDIA PRIVATE LIMITED"/>
    <d v="2023-02-03T00:00:00"/>
    <d v="2024-02-02T00:00:00"/>
    <s v="MIST-PRD-890"/>
    <s v="GROUP MEDICLAIM -TAILORMADE-RISK FLOATER"/>
    <n v="75450"/>
    <n v="0.5"/>
    <n v="377.25"/>
    <s v="Delhi"/>
    <n v="434030"/>
    <s v="NE"/>
    <m/>
    <s v="Amit Pandey"/>
    <s v="Niladri Mangal Choudhury"/>
    <x v="77"/>
    <n v="3081"/>
    <s v="Rushiraj"/>
    <m/>
    <m/>
    <m/>
    <m/>
    <s v="NE"/>
  </r>
  <r>
    <x v="2"/>
    <m/>
    <n v="132000"/>
    <s v="DO JOGESHWARI"/>
    <s v="OIC/23-24/1341"/>
    <s v="132000/11/2022/416"/>
    <n v="3"/>
    <s v=" Allied Blender &amp; Distillers Pvt Ltd"/>
    <d v="2021-09-02T00:00:00"/>
    <d v="2022-09-01T00:00:00"/>
    <s v="FIR-PRD-010"/>
    <s v="ORIENTAL BHARAT SOOKSHMA UDYAM SURAKSHA POLICY"/>
    <n v="-3104"/>
    <n v="10.792525773195877"/>
    <n v="-335"/>
    <s v="Mumbai"/>
    <n v="360493"/>
    <s v="NE"/>
    <m/>
    <s v="Susmeet Kaur"/>
    <s v="Pooja Yadav"/>
    <x v="80"/>
    <n v="3100"/>
    <s v="Rushiraj"/>
    <m/>
    <m/>
    <m/>
    <m/>
    <s v="NE"/>
  </r>
  <r>
    <x v="2"/>
    <m/>
    <n v="222105"/>
    <s v="KANPUR DEHAT"/>
    <s v="OIC/23-24/1342"/>
    <s v="222105/48/2024/385"/>
    <n v="0"/>
    <s v="AMIT AGARWAL"/>
    <d v="2023-06-01T00:00:00"/>
    <d v="2024-05-31T00:00:00"/>
    <s v="MIST-PRD-094"/>
    <s v="ORIENTAL MEDICLAIM INSURANCE POLICY(INDIVIDUAL)"/>
    <n v="22051"/>
    <n v="7.50079361480205"/>
    <n v="1654"/>
    <s v="Mumbai"/>
    <n v="442451"/>
    <s v="0"/>
    <m/>
    <s v="Kushal Bhatia"/>
    <s v="Ankit Kumar Gangwar"/>
    <x v="79"/>
    <n v="3078"/>
    <s v="Rushiraj"/>
    <m/>
    <m/>
    <m/>
    <s v="Part"/>
    <s v="Updation  done in Saiba"/>
  </r>
  <r>
    <x v="2"/>
    <m/>
    <n v="112400"/>
    <s v="MRO 1 Aviation Cell"/>
    <s v="OIC/23-24/1343"/>
    <s v="112400/43/2024/46"/>
    <n v="0"/>
    <s v="JET SERVE AVIATION PRIVATE LIMITED"/>
    <d v="2023-06-05T00:00:00"/>
    <d v="2024-06-04T00:00:00"/>
    <s v="AVI-PRD-014"/>
    <s v="AVIATION - GROUP PA (UN-NAMED)"/>
    <n v="30000"/>
    <n v="10"/>
    <n v="3000"/>
    <s v="Delhi"/>
    <n v="436320"/>
    <n v="0"/>
    <m/>
    <s v="Vineet Khattar"/>
    <s v="Varun Malik"/>
    <x v="96"/>
    <n v="3087"/>
    <s v="Rushiraj"/>
    <m/>
    <m/>
    <s v="Premium Mismatched"/>
    <m/>
    <s v="Modification"/>
  </r>
  <r>
    <x v="2"/>
    <m/>
    <n v="510000"/>
    <s v="CBRO DELHI"/>
    <s v="OIC/23-24/1344"/>
    <s v="510000/48/2024/185"/>
    <n v="1"/>
    <s v="NUCLEUS SOFTWARE EXPORT LIMITED"/>
    <d v="2023-04-01T00:00:00"/>
    <d v="2024-03-31T00:00:00"/>
    <s v="MIST-PRD-890"/>
    <s v="GROUP MEDICLAIM -TAILORMADE-RISK FLOATER"/>
    <n v="12848"/>
    <n v="5"/>
    <n v="642.4"/>
    <s v="Delhi"/>
    <n v="435891"/>
    <s v="NE"/>
    <m/>
    <s v="Abhishek Sharma"/>
    <s v="Ishita Sharma"/>
    <x v="77"/>
    <n v="3081"/>
    <s v="Rushiraj"/>
    <m/>
    <m/>
    <m/>
    <m/>
    <s v="NE"/>
  </r>
  <r>
    <x v="2"/>
    <m/>
    <n v="510000"/>
    <s v="CBRO DELHI"/>
    <s v="OIC/23-24/1345"/>
    <s v="510000/48/2023/797"/>
    <n v="10"/>
    <s v="INNOVAPTIVE GLOBAL SOLUTIONS PRIVATE LIMITED"/>
    <d v="2022-07-15T00:00:00"/>
    <d v="2023-07-14T00:00:00"/>
    <s v="MIST-PRD-890"/>
    <s v="GROUP MEDICLAIM -TAILORMADE-RISK FLOATER"/>
    <n v="26408"/>
    <n v="5.0000000000000009"/>
    <n v="1320.4"/>
    <s v="Hyderabad"/>
    <n v="397706"/>
    <s v="NE"/>
    <m/>
    <s v="Prasanna Vadhana"/>
    <s v="Manisha Marda"/>
    <x v="77"/>
    <n v="3081"/>
    <s v="Rushiraj"/>
    <m/>
    <m/>
    <m/>
    <m/>
    <s v="NE"/>
  </r>
  <r>
    <x v="2"/>
    <m/>
    <n v="222105"/>
    <s v="KANPUR DEHAT"/>
    <s v="OIC/23-24/1346"/>
    <s v="222105/48/2024/654"/>
    <n v="0"/>
    <s v="VINAY KUMAR JAISWAL"/>
    <d v="2023-07-11T00:00:00"/>
    <d v="2024-07-10T00:00:00"/>
    <s v="MIST-PRD-094"/>
    <s v="ORIENTAL MEDICLAIM INSURANCE POLICY(INDIVIDUAL)"/>
    <n v="61776"/>
    <n v="5.0003237503237505"/>
    <n v="3089"/>
    <s v="Delhi"/>
    <n v="442776"/>
    <s v="0"/>
    <m/>
    <s v="Kushal Bhatia"/>
    <s v="Navneet Arora"/>
    <x v="79"/>
    <n v="3078"/>
    <s v="Rushiraj"/>
    <m/>
    <m/>
    <m/>
    <s v="Part"/>
    <s v="Updation  done in Saiba"/>
  </r>
  <r>
    <x v="2"/>
    <m/>
    <n v="540000"/>
    <s v="CBO BANGALORE"/>
    <s v="OIC/23-24/1347"/>
    <s v="540000/48/2024/39"/>
    <n v="0"/>
    <s v="KERN-LIEBERS (INDIA) PRIVATE LIMITED"/>
    <d v="2023-07-03T00:00:00"/>
    <d v="2024-07-02T00:00:00"/>
    <s v="MIST-PRD-061"/>
    <s v="All RISK"/>
    <n v="58566"/>
    <n v="12.500426868831745"/>
    <n v="7321"/>
    <s v="Bangalore"/>
    <n v="441715"/>
    <s v="0"/>
    <m/>
    <s v="Anusha Jaiswal"/>
    <s v="Priya Pant"/>
    <x v="78"/>
    <n v="3123"/>
    <s v="Rushiraj"/>
    <m/>
    <m/>
    <m/>
    <m/>
    <s v="Updation  done in Saiba"/>
  </r>
  <r>
    <x v="2"/>
    <m/>
    <n v="540000"/>
    <s v="CBO BANGALORE"/>
    <s v="OIC/23-24/1348"/>
    <s v="421300/48/2024/393"/>
    <n v="1"/>
    <s v="WAFER SPACE SEMICONDUCTOR TECHNOLOGIES PVT LTD"/>
    <d v="2023-04-17T00:00:00"/>
    <d v="2024-04-16T00:00:00"/>
    <s v="MIST-PRD-001"/>
    <s v="GPA - NAMED"/>
    <n v="446"/>
    <n v="7.623318385650224"/>
    <n v="34"/>
    <s v="Bangalore"/>
    <n v="437069"/>
    <s v="NE"/>
    <m/>
    <s v="Jaya Chitra.M"/>
    <s v="Deep Shikha"/>
    <x v="78"/>
    <n v="3123"/>
    <s v="Rushiraj"/>
    <m/>
    <m/>
    <m/>
    <m/>
    <s v="NE"/>
  </r>
  <r>
    <x v="2"/>
    <m/>
    <n v="540000"/>
    <s v="CBO BANGALORE"/>
    <s v="OIC/23-24/1349"/>
    <s v="421300/48/2023/1155"/>
    <n v="5"/>
    <s v="MISTRAL SOLUTIONS PVT LTD"/>
    <d v="2022-11-16T00:00:00"/>
    <d v="2023-11-15T00:00:00"/>
    <s v="MIST-PRD-890"/>
    <s v="GROUP MEDICLAIM -TAILORMADE-RISK FLOATER"/>
    <n v="15402"/>
    <n v="3"/>
    <n v="462.06"/>
    <s v="Bangalore"/>
    <n v="0"/>
    <s v="E2"/>
    <m/>
    <s v="Shashikala Ganesh Rao"/>
    <s v="Poorvi Kullegowda"/>
    <x v="78"/>
    <n v="3123"/>
    <s v="Rushiraj"/>
    <m/>
    <m/>
    <m/>
    <m/>
    <s v="Updation done in saiba"/>
  </r>
  <r>
    <x v="2"/>
    <m/>
    <n v="414890"/>
    <s v="BC  SINGAPERUMAL KOIL"/>
    <s v="OIC/23-24/1350"/>
    <s v="414890/31/2024/433"/>
    <n v="0"/>
    <s v=" OBOBETTERMANN INDIA PVT LTD"/>
    <d v="2023-06-06T00:00:00"/>
    <d v="2024-06-05T00:00:00"/>
    <s v="MOT-PRD-001"/>
    <s v="PRIVATE CAR"/>
    <n v="12091"/>
    <n v="9.9495492515093868"/>
    <n v="1203"/>
    <s v="Chennai"/>
    <n v="437331"/>
    <s v="0"/>
    <m/>
    <s v="Raghunathan S"/>
    <s v="Vinoth Kumar E"/>
    <x v="91"/>
    <n v="3071"/>
    <s v="Rushiraj"/>
    <m/>
    <m/>
    <m/>
    <s v="Excess"/>
    <s v="Updation  done in Saiba"/>
  </r>
  <r>
    <x v="2"/>
    <m/>
    <n v="272200"/>
    <s v="DO 3 NEW DELHI"/>
    <s v="OIC/23-24/1351"/>
    <s v="272200/31/2024/300"/>
    <n v="0"/>
    <s v="GOLDEN AERO LOGISTICS &amp; CONCIERGE SERVICES PVT LTD"/>
    <d v="2023-06-03T00:00:00"/>
    <d v="2024-06-02T00:00:00"/>
    <s v="MOT-PRD-003"/>
    <s v="GCCV"/>
    <n v="18977"/>
    <n v="7.5143594878010216"/>
    <n v="1426"/>
    <s v="Delhi"/>
    <s v="NE"/>
    <s v="NE"/>
    <m/>
    <s v="Suspense"/>
    <s v="Suspense"/>
    <x v="87"/>
    <n v="3079"/>
    <s v="Rushiraj"/>
    <m/>
    <s v="No"/>
    <m/>
    <m/>
    <s v="NE"/>
  </r>
  <r>
    <x v="2"/>
    <m/>
    <n v="222105"/>
    <s v="KANPUR DEHAT"/>
    <s v="OIC/23-24/1352"/>
    <s v="222105/48/2024/618"/>
    <n v="0"/>
    <s v="CYNTHIA MATHIAS"/>
    <d v="2023-06-28T00:00:00"/>
    <d v="2024-06-27T00:00:00"/>
    <s v="MIST-PRD-943"/>
    <s v="HAPPY FAMILY FLOATER POLICY-2021"/>
    <n v="20964"/>
    <n v="4.9990459835909178"/>
    <n v="1048"/>
    <s v="Mumbai"/>
    <n v="443610"/>
    <s v="0"/>
    <m/>
    <s v="Kushal Bhatia"/>
    <s v="Anju Shukla"/>
    <x v="79"/>
    <n v="3078"/>
    <s v="Rushiraj"/>
    <m/>
    <m/>
    <m/>
    <s v="Part"/>
    <s v="Updation  done in Saiba"/>
  </r>
  <r>
    <x v="2"/>
    <m/>
    <n v="272200"/>
    <s v="DO 3 NEW DELHI"/>
    <s v="OIC/23-24/1353"/>
    <s v="272200/31/2024/351"/>
    <n v="0"/>
    <s v="JCB INDIA LTD"/>
    <d v="2023-06-12T00:00:00"/>
    <d v="2024-06-11T00:00:00"/>
    <s v="MOT-PRD-006"/>
    <s v="MISCELANEOUS CLASS D VEHICLES"/>
    <n v="12981"/>
    <n v="12.495185270780372"/>
    <n v="1622"/>
    <s v="Delhi"/>
    <s v="NE"/>
    <s v="NE"/>
    <m/>
    <s v="Tejinder Pal Singh"/>
    <s v="Pushpinder Kaur"/>
    <x v="87"/>
    <n v="3079"/>
    <s v="Rushiraj"/>
    <m/>
    <s v="No"/>
    <m/>
    <m/>
    <s v="NE"/>
  </r>
  <r>
    <x v="2"/>
    <m/>
    <n v="233600"/>
    <s v="DO RAJPURA"/>
    <s v="OIC/23-24/1354"/>
    <s v="233600/48/2023/1973"/>
    <n v="9"/>
    <s v="HUDL INDIA PRIVATE LIMITED"/>
    <d v="2023-02-25T00:00:00"/>
    <d v="2024-02-24T00:00:00"/>
    <s v="MIST-PRD-001"/>
    <s v="GPA - NAMED"/>
    <n v="5168"/>
    <n v="7.5000000000000009"/>
    <n v="387.6"/>
    <s v="Mumbai"/>
    <n v="421676"/>
    <s v="NE"/>
    <m/>
    <s v="Ashita Lotia"/>
    <s v="Manpreet Kaur Gill"/>
    <x v="102"/>
    <n v="3084"/>
    <s v="Rushiraj"/>
    <m/>
    <m/>
    <m/>
    <m/>
    <s v="NE"/>
  </r>
  <r>
    <x v="2"/>
    <m/>
    <n v="431500"/>
    <s v="DO IV HYDERABAD"/>
    <s v="OIC/23-24/1355"/>
    <s v="431500/48/2024/677"/>
    <n v="0"/>
    <s v="SILABS INDIA PRIVATE LIMITED"/>
    <d v="2023-04-29T00:00:00"/>
    <d v="2024-04-28T00:00:00"/>
    <s v="MIST-PRD-001"/>
    <s v="GPA - NAMED"/>
    <n v="1354616"/>
    <n v="7.5080317964648282"/>
    <n v="101705"/>
    <s v="Hyderabad"/>
    <n v="429576"/>
    <s v="0"/>
    <m/>
    <s v="Rani Sudhakar Ranipeta"/>
    <s v="Prasanna Vadhana"/>
    <x v="93"/>
    <n v="3082"/>
    <s v="Rushiraj"/>
    <m/>
    <m/>
    <m/>
    <m/>
    <s v="Updation  done in Saiba"/>
  </r>
  <r>
    <x v="2"/>
    <m/>
    <n v="163600"/>
    <s v="DO IV PUNE"/>
    <s v="OIC/23-24/1356"/>
    <s v="163600/21/2024/3/0004"/>
    <n v="0"/>
    <s v="RATHI DYE CHEM (P) LTD"/>
    <d v="2023-06-26T00:00:00"/>
    <d v="2024-05-31T00:00:00"/>
    <s v="MC-PRD-015"/>
    <s v="MARINE CARGO - OPEN COVER"/>
    <n v="1845"/>
    <n v="20"/>
    <n v="369"/>
    <s v="Pune"/>
    <s v="NE"/>
    <s v="NE"/>
    <m/>
    <s v="Smita Lokapure"/>
    <s v="Vishal Sushil Pachisia"/>
    <x v="83"/>
    <n v="3090"/>
    <s v="Rushiraj"/>
    <m/>
    <s v="No"/>
    <m/>
    <m/>
    <s v="NE"/>
  </r>
  <r>
    <x v="2"/>
    <s v="Jun'23 161100"/>
    <n v="161100"/>
    <m/>
    <s v=" OIC/23-24/1357"/>
    <s v="161100/48/2023/4823"/>
    <m/>
    <m/>
    <m/>
    <m/>
    <m/>
    <m/>
    <n v="40588"/>
    <n v="12.5"/>
    <n v="5073.5"/>
    <s v="Mumbai"/>
    <n v="422444"/>
    <n v="0"/>
    <m/>
    <s v="Susmeet Kaur"/>
    <s v="Shriram Giri"/>
    <x v="108"/>
    <n v="2153"/>
    <s v="Rushiraj"/>
    <m/>
    <m/>
    <m/>
    <s v="Part"/>
    <s v="Updation done in saiba"/>
  </r>
  <r>
    <x v="2"/>
    <s v="Jun'23 161100"/>
    <n v="161100"/>
    <m/>
    <s v=" OIC/23-24/1358"/>
    <s v="161100/48/2023/4824"/>
    <m/>
    <m/>
    <m/>
    <m/>
    <m/>
    <m/>
    <n v="48823"/>
    <n v="12.5"/>
    <n v="6102.875"/>
    <s v="Mumbai"/>
    <n v="411809"/>
    <n v="0"/>
    <m/>
    <s v="Susmeet Kaur"/>
    <s v="Shriram Giri"/>
    <x v="108"/>
    <n v="2153"/>
    <s v="Rushiraj"/>
    <m/>
    <m/>
    <m/>
    <s v="Part"/>
    <s v="Updation done in saiba"/>
  </r>
  <r>
    <x v="2"/>
    <s v="Jun'23 161100"/>
    <n v="161100"/>
    <m/>
    <s v=" OIC/23-24/1359"/>
    <s v="161100/48/2023/4825"/>
    <m/>
    <m/>
    <m/>
    <m/>
    <m/>
    <m/>
    <n v="40392"/>
    <n v="12.5"/>
    <n v="5049"/>
    <s v="Mumbai"/>
    <n v="411816"/>
    <n v="0"/>
    <m/>
    <s v="Susmeet Kaur"/>
    <s v="Shriram Giri"/>
    <x v="108"/>
    <n v="2153"/>
    <s v="Rushiraj"/>
    <m/>
    <m/>
    <m/>
    <m/>
    <s v="Updation done in saiba"/>
  </r>
  <r>
    <x v="2"/>
    <s v="Jun'23 161100"/>
    <n v="161100"/>
    <m/>
    <s v=" OIC/23-24/1360"/>
    <s v="161100/11/2023/335"/>
    <m/>
    <m/>
    <m/>
    <m/>
    <m/>
    <m/>
    <n v="627569"/>
    <n v="11.5"/>
    <n v="72170.434999999998"/>
    <s v="Mumbai"/>
    <n v="432318"/>
    <n v="0"/>
    <m/>
    <s v="Susmeet Kaur"/>
    <s v="Shriram Giri"/>
    <x v="108"/>
    <n v="2153"/>
    <s v="Rushiraj"/>
    <m/>
    <m/>
    <m/>
    <m/>
    <s v="Updation done in saiba"/>
  </r>
  <r>
    <x v="2"/>
    <s v="Jun'23 161100"/>
    <n v="161100"/>
    <m/>
    <s v=" OIC/23-24/1361"/>
    <s v="161100/11/2023/336"/>
    <m/>
    <m/>
    <m/>
    <m/>
    <m/>
    <m/>
    <n v="261660"/>
    <n v="11.5"/>
    <n v="30090.9"/>
    <s v="Mumbai"/>
    <n v="418889"/>
    <n v="0"/>
    <m/>
    <s v="Susmeet Kaur"/>
    <s v="Shriram Giri"/>
    <x v="108"/>
    <n v="2153"/>
    <s v="Rushiraj"/>
    <m/>
    <m/>
    <m/>
    <m/>
    <s v="Updation done in saiba"/>
  </r>
  <r>
    <x v="2"/>
    <s v="Jun'23 SHREEJI 111900"/>
    <n v="111900"/>
    <s v="Office :    - MCDO 14"/>
    <s v=" OIC/23-24/1362"/>
    <s v="111900/48/2023/119"/>
    <m/>
    <s v="1 SHREEJI"/>
    <m/>
    <m/>
    <s v="MIST-PRD-051 - KIDNAP &amp;"/>
    <m/>
    <n v="733834"/>
    <n v="12.5"/>
    <n v="91729"/>
    <s v="Mumbai"/>
    <n v="423599"/>
    <n v="0"/>
    <m/>
    <s v="Lakshmanan Subramanian Iyer"/>
    <s v="Saikumar G Shirwatkar"/>
    <x v="109"/>
    <n v="3204"/>
    <s v="Rushiraj"/>
    <m/>
    <m/>
    <m/>
    <m/>
    <s v="Updation done in saiba"/>
  </r>
  <r>
    <x v="3"/>
    <m/>
    <n v="510000"/>
    <s v="CBRO DELHI"/>
    <s v="OIC/23-24/1363"/>
    <s v="510000/48/2023/1049"/>
    <n v="4"/>
    <s v="HITACHI METALS INDIA PRIVATE LIMITED"/>
    <d v="2022-10-07T00:00:00"/>
    <d v="2023-10-06T00:00:00"/>
    <s v="MIST-PRD-001"/>
    <s v="GPA - NAMED"/>
    <n v="-208"/>
    <n v="7.6923076923076916"/>
    <n v="-16"/>
    <s v="Delhi"/>
    <n v="412930"/>
    <s v="NE"/>
    <m/>
    <s v="Rajiv Choudhary"/>
    <s v="Amit kumar Sharma"/>
    <x v="110"/>
    <n v="3398"/>
    <s v="Rushiraj"/>
    <m/>
    <m/>
    <m/>
    <m/>
    <s v="NE"/>
  </r>
  <r>
    <x v="3"/>
    <m/>
    <n v="510000"/>
    <s v="CBRO DELHI"/>
    <s v="OIC/23-24/1364"/>
    <s v="510000/48/2023/721"/>
    <n v="6"/>
    <s v="JCB POWER PRODUCTS INDIA PVT. LTD."/>
    <d v="2022-06-01T00:00:00"/>
    <d v="2023-05-31T00:00:00"/>
    <s v="MIST-PRD-001"/>
    <s v="GPA - NAMED"/>
    <n v="36"/>
    <n v="8.3333333333333339"/>
    <n v="3"/>
    <s v="Delhi"/>
    <n v="387275"/>
    <s v="NE"/>
    <m/>
    <s v="Sonia Schofield"/>
    <s v="Vikas Saxena"/>
    <x v="110"/>
    <n v="3398"/>
    <s v="Rushiraj"/>
    <m/>
    <m/>
    <m/>
    <m/>
    <s v="NE"/>
  </r>
  <r>
    <x v="3"/>
    <m/>
    <n v="212203"/>
    <s v="CBO 13 N-34 C.PLACE"/>
    <s v="OIC/23-24/1373"/>
    <s v="212203/31/2024/922"/>
    <n v="0"/>
    <s v="MINISTRY OF AYUSH"/>
    <d v="2023-07-20T00:00:00"/>
    <d v="2024-07-19T00:00:00"/>
    <s v="MOT-PRD-015"/>
    <s v="STANDALONE OWN DAMAGE(OD)-PRIVATE CAR"/>
    <n v="8111"/>
    <n v="14.991986191591666"/>
    <n v="1216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411700"/>
    <s v="DO 7 CHENNAI"/>
    <s v="OIC/23-24/1376"/>
    <s v="411700/48/2023/2106"/>
    <n v="10"/>
    <s v="FINANCIAL SOFTWARE &amp; SYSTEMS (P) LTD."/>
    <d v="2022-10-01T00:00:00"/>
    <d v="2023-09-30T00:00:00"/>
    <s v="MIST-PRD-001"/>
    <s v="GPA - NAMED"/>
    <n v="-2286"/>
    <n v="7.5240594925634294"/>
    <n v="-172"/>
    <s v="Chennai"/>
    <n v="407984"/>
    <s v="NE"/>
    <m/>
    <s v="Sudha S"/>
    <s v="Ajith Adithyan"/>
    <x v="112"/>
    <n v="3397"/>
    <s v="Rushiraj"/>
    <m/>
    <m/>
    <m/>
    <m/>
    <s v="NE"/>
  </r>
  <r>
    <x v="3"/>
    <m/>
    <n v="132100"/>
    <s v="DO - 1"/>
    <s v="OIC/23-24/1377"/>
    <s v="124600/48/2024/645"/>
    <n v="1"/>
    <s v="VISHAY SEMICONDUCTOR INDIA PRIVATE LIMITED"/>
    <d v="2023-05-18T00:00:00"/>
    <d v="2024-03-31T00:00:00"/>
    <s v="MIST-PRD-890"/>
    <s v="GROUP MEDICLAIM -TAILORMADE-RISK FLOATER"/>
    <n v="21269"/>
    <n v="7.5000235083924967"/>
    <n v="1595.18"/>
    <s v="Pune"/>
    <n v="443352"/>
    <s v="NE"/>
    <m/>
    <s v="Amarjeet Sahu"/>
    <s v="Shahaji Dhage"/>
    <x v="113"/>
    <n v="3385"/>
    <s v="Rushiraj"/>
    <m/>
    <m/>
    <m/>
    <m/>
    <s v="NE"/>
  </r>
  <r>
    <x v="3"/>
    <m/>
    <n v="540000"/>
    <s v="CBO BANGALORE"/>
    <s v="OIC/23-24/1381"/>
    <s v="421300/48/2023/1243"/>
    <n v="7"/>
    <s v="FRESHTOHOME FOODS PRIVATE LIMITED"/>
    <d v="2022-10-16T00:00:00"/>
    <d v="2023-10-15T00:00:00"/>
    <s v="MIST-PRD-890"/>
    <s v="GROUP MEDICLAIM -TAILORMADE-RISK FLOATER"/>
    <n v="-27331"/>
    <n v="7.5006402985620726"/>
    <n v="-2050"/>
    <s v="Bangalore"/>
    <s v="NE"/>
    <s v="NE"/>
    <m/>
    <s v="Jaya Chitra.M"/>
    <s v="Raghuram P S"/>
    <x v="114"/>
    <n v="3393"/>
    <s v="Rushiraj"/>
    <m/>
    <m/>
    <m/>
    <m/>
    <s v="NE"/>
  </r>
  <r>
    <x v="3"/>
    <m/>
    <n v="212203"/>
    <s v="CBO 13 N-34 C.PLACE"/>
    <s v="OIC/23-24/1382"/>
    <s v="212203/31/2024/979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163600"/>
    <s v="DO IV PUNE"/>
    <s v="OIC/23-24/1384"/>
    <s v="163600/11/2024/142"/>
    <n v="0"/>
    <s v="BARAMATI AGRO LIMITED"/>
    <d v="2023-07-27T00:00:00"/>
    <d v="2024-07-26T00:00:00"/>
    <s v="FIR-PRD-010"/>
    <s v="ORIENTAL BHARAT SOOKSHMA UDYAM SURAKSHA POLICY"/>
    <n v="3423"/>
    <n v="18.11276657902425"/>
    <n v="620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212203"/>
    <s v="CBO 13 N-34 C.PLACE"/>
    <s v="OIC/23-24/1387"/>
    <s v="212203/31/2024/915"/>
    <n v="0"/>
    <s v="POWER GRID CORPORATION OF INDIA LIMITED"/>
    <d v="2023-07-14T00:00:00"/>
    <d v="2024-07-13T00:00:00"/>
    <s v="MOT-PRD-012"/>
    <s v="PRIVATE CAR-(3 Years)"/>
    <n v="12488"/>
    <n v="16.311659192825111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389"/>
    <s v="212203/31/2024/700"/>
    <n v="1"/>
    <s v="LESSEE POWER GRID CORPORATION OF INDIA LTD"/>
    <d v="2023-06-21T00:00:00"/>
    <d v="2023-06-21T00:00:00"/>
    <s v="MOT-PRD-012"/>
    <s v="PRIVATE CAR-(3 Years)"/>
    <n v="-12668"/>
    <n v="12.756551941900852"/>
    <n v="-1616"/>
    <s v="Delhi"/>
    <n v="443947"/>
    <s v="NE"/>
    <m/>
    <s v="Saurabh Dwivedi"/>
    <s v="Mohit Mendiratta"/>
    <x v="111"/>
    <n v="3371"/>
    <s v="Rushiraj"/>
    <m/>
    <m/>
    <m/>
    <m/>
    <s v="NE"/>
  </r>
  <r>
    <x v="3"/>
    <m/>
    <n v="540000"/>
    <s v="CBO BANGALORE"/>
    <s v="OIC/23-24/1391"/>
    <s v="421300/48/2023/1267"/>
    <n v="4"/>
    <s v="FRESHALICIOUS SUPER BAZAAR PRIVATE LIMITED"/>
    <d v="2022-12-24T00:00:00"/>
    <d v="2023-12-23T00:00:00"/>
    <s v="MIST-PRD-001"/>
    <s v="GPA - NAMED"/>
    <n v="8147"/>
    <n v="7.4996931385786176"/>
    <n v="611"/>
    <s v="Bangalore"/>
    <s v="NE"/>
    <s v="NE"/>
    <m/>
    <s v="Jaya Chitra.M"/>
    <s v="Raghuram P S"/>
    <x v="114"/>
    <n v="3393"/>
    <s v="Rushiraj"/>
    <m/>
    <m/>
    <m/>
    <m/>
    <s v="NE"/>
  </r>
  <r>
    <x v="3"/>
    <m/>
    <n v="510000"/>
    <s v="CBRO DELHI"/>
    <s v="OIC/23-24/1392"/>
    <s v="510000/11/2023/481"/>
    <n v="6"/>
    <s v="M/S R.SYSTEMS INTERNATIONAL LTD."/>
    <d v="2023-02-07T00:00:00"/>
    <d v="2024-01-26T00:00:00"/>
    <s v="FIR-PRD-006"/>
    <s v="STANDARD FIRE -- New Tariff"/>
    <n v="627"/>
    <n v="9.8883572567783098"/>
    <n v="62"/>
    <s v="Delhi"/>
    <n v="423526"/>
    <s v="NE"/>
    <m/>
    <s v="Sumit Gupta"/>
    <s v="Sahil Wadhwa"/>
    <x v="110"/>
    <n v="3398"/>
    <s v="Rushiraj"/>
    <m/>
    <m/>
    <m/>
    <m/>
    <s v="NE"/>
  </r>
  <r>
    <x v="3"/>
    <m/>
    <n v="222105"/>
    <s v="KANPUR DEHAT"/>
    <s v="OIC/23-24/1394"/>
    <s v="222105/48/2024/662"/>
    <n v="0"/>
    <s v="MS SANJOLI JAIN"/>
    <d v="2023-07-30T00:00:00"/>
    <d v="2024-07-29T00:00:00"/>
    <s v="MIST-PRD-943"/>
    <s v="HAPPY FAMILY FLOATER POLICY-2021"/>
    <n v="8219"/>
    <n v="20.002433386056698"/>
    <n v="1644"/>
    <s v="Delhi"/>
    <s v="NE"/>
    <s v="NE"/>
    <m/>
    <s v="Kushal Bhatia"/>
    <s v="Navneet Arora"/>
    <x v="116"/>
    <n v="3374"/>
    <s v="Rushiraj"/>
    <m/>
    <s v="No"/>
    <m/>
    <m/>
    <s v="NE"/>
  </r>
  <r>
    <x v="3"/>
    <m/>
    <n v="421100"/>
    <s v="CBU Bangalore"/>
    <s v="OIC/23-24/1398"/>
    <s v="421100/48/2024/186"/>
    <n v="1"/>
    <s v="INFOSTRETCH CORPORATION INDIA PRIVATE LIMITED"/>
    <d v="2023-05-01T00:00:00"/>
    <d v="2024-04-30T00:00:00"/>
    <s v="MIST-PRD-890"/>
    <s v="GROUP MEDICLAIM -TAILORMADE-RISK FLOATER"/>
    <n v="6648344"/>
    <n v="5"/>
    <n v="332417.2"/>
    <s v="Pune"/>
    <n v="444212"/>
    <s v="NE"/>
    <m/>
    <s v="Sheetal Gurav"/>
    <s v="Renny Ignatius Peter"/>
    <x v="117"/>
    <n v="3361"/>
    <s v="Rushiraj"/>
    <m/>
    <m/>
    <m/>
    <m/>
    <s v="NE"/>
  </r>
  <r>
    <x v="3"/>
    <m/>
    <n v="510000"/>
    <s v="CBRO DELHI"/>
    <s v="OIC/23-24/1399"/>
    <s v="510000/48/2024/581"/>
    <n v="0"/>
    <s v="JCB INDIA LTD."/>
    <d v="2023-06-01T00:00:00"/>
    <d v="2024-05-31T00:00:00"/>
    <s v="MIST-PRD-890"/>
    <s v="GROUP MEDICLAIM -TAILORMADE-RISK FLOATER"/>
    <n v="15304938"/>
    <n v="3.0000056191014952"/>
    <n v="459149"/>
    <s v="Pune"/>
    <s v="NE"/>
    <s v="NE"/>
    <m/>
    <s v="Atul Chordiya"/>
    <s v="Amit Rokade"/>
    <x v="110"/>
    <n v="3398"/>
    <s v="Rushiraj"/>
    <m/>
    <s v="No"/>
    <m/>
    <m/>
    <s v="NE"/>
  </r>
  <r>
    <x v="3"/>
    <m/>
    <n v="272200"/>
    <s v="DO 3 NEW DELHI"/>
    <s v="OIC/23-24/1400"/>
    <s v="272200/31/2024/526"/>
    <n v="0"/>
    <s v="MR. KARAN MANN"/>
    <d v="2023-07-13T00:00:00"/>
    <d v="2024-07-12T00:00:00"/>
    <s v="MOT-PRD-001"/>
    <s v="PRIVATE CAR"/>
    <n v="8567"/>
    <n v="7.5055445313411928"/>
    <n v="643"/>
    <s v="Delhi"/>
    <s v="NE"/>
    <s v="NE"/>
    <m/>
    <s v="Saurabh Dwivedi"/>
    <s v="Santosh Kumar Gupta"/>
    <x v="118"/>
    <n v="3376"/>
    <s v="Rushiraj"/>
    <m/>
    <s v="No"/>
    <m/>
    <m/>
    <s v="NE"/>
  </r>
  <r>
    <x v="3"/>
    <m/>
    <n v="222104"/>
    <s v="CBO 1 KANPUR"/>
    <s v="OIC/23-24/1401"/>
    <s v="222104/48/2023/900"/>
    <n v="4"/>
    <s v="NIVA BUPA HEALTH INSURANCE COMPANY LIMITED"/>
    <d v="2022-10-24T00:00:00"/>
    <d v="2023-10-23T00:00:00"/>
    <s v="MIST-PRD-001"/>
    <s v="GPA - NAMED"/>
    <n v="2018"/>
    <n v="7.5"/>
    <n v="151.35"/>
    <s v="Delhi"/>
    <n v="406280"/>
    <s v="NE"/>
    <m/>
    <s v="Vitty Pandita"/>
    <s v="Naresh Joshi"/>
    <x v="119"/>
    <n v="3373"/>
    <s v="Rushiraj"/>
    <m/>
    <m/>
    <m/>
    <m/>
    <s v="NE"/>
  </r>
  <r>
    <x v="3"/>
    <m/>
    <n v="431500"/>
    <s v="DO IV HYDERABAD"/>
    <s v="OIC/23-24/1402"/>
    <s v="431500/48/2023/3635"/>
    <n v="9"/>
    <s v="WAVEMAKER INDIA PRIVATE LIMITED"/>
    <d v="2023-03-15T00:00:00"/>
    <d v="2024-03-14T00:00:00"/>
    <s v="MIST-PRD-890"/>
    <s v="GROUP MEDICLAIM -TAILORMADE-RISK FLOATER"/>
    <n v="-3789"/>
    <n v="7.5001319609395622"/>
    <n v="-284.18"/>
    <s v="Hyderabad"/>
    <n v="424815"/>
    <s v="NE"/>
    <m/>
    <s v="Prasanna Vadhana"/>
    <s v="Manisha Marda"/>
    <x v="120"/>
    <n v="3377"/>
    <s v="Rushiraj"/>
    <m/>
    <m/>
    <m/>
    <m/>
    <s v="NE"/>
  </r>
  <r>
    <x v="3"/>
    <m/>
    <n v="212203"/>
    <s v="CBO 13 N-34 C.PLACE"/>
    <s v="OIC/23-24/1403"/>
    <s v="212203/31/2024/1044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404"/>
    <s v="212203/31/2024/796"/>
    <n v="0"/>
    <s v="EXPORT CREDIT GUARANTEE CORPORATION"/>
    <d v="2023-07-05T00:00:00"/>
    <d v="2024-07-04T00:00:00"/>
    <s v="MOT-PRD-015"/>
    <s v="STANDALONE OWN DAMAGE(OD)-PRIVATE CAR"/>
    <n v="8806"/>
    <n v="15.001135589370882"/>
    <n v="1321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411700"/>
    <s v="DO 7 CHENNAI"/>
    <s v="OIC/23-24/1406"/>
    <s v="411700/48/2023/2420"/>
    <n v="13"/>
    <s v="FINANCIAL SOFTWARE &amp; SYSTEMS (P) LTD."/>
    <d v="2022-10-01T00:00:00"/>
    <d v="2023-09-30T00:00:00"/>
    <s v="MIST-PRD-890"/>
    <s v="GROUP MEDICLAIM -TAILORMADE-RISK FLOATER"/>
    <n v="13014"/>
    <n v="0.99892423543875841"/>
    <n v="130"/>
    <s v="Chennai"/>
    <n v="407988"/>
    <s v="NE"/>
    <m/>
    <s v="Sudha S"/>
    <s v="Ajith Adithyan"/>
    <x v="112"/>
    <n v="3397"/>
    <s v="Rushiraj"/>
    <m/>
    <m/>
    <m/>
    <m/>
    <s v="NE"/>
  </r>
  <r>
    <x v="3"/>
    <m/>
    <n v="212203"/>
    <s v="CBO 13 N-34 C.PLACE"/>
    <s v="OIC/23-24/1407"/>
    <s v="212203/31/2024/921"/>
    <n v="0"/>
    <s v="MINISTRY OF AYUSH"/>
    <d v="2023-07-20T00:00:00"/>
    <d v="2024-07-19T00:00:00"/>
    <s v="MOT-PRD-015"/>
    <s v="STANDALONE OWN DAMAGE(OD)-PRIVATE CAR"/>
    <n v="8111"/>
    <n v="14.991986191591666"/>
    <n v="1216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272200"/>
    <s v="DO 3 NEW DELHI"/>
    <s v="OIC/23-24/1409"/>
    <s v="272200/31/2024/505"/>
    <n v="0"/>
    <s v="SANJAY SHARMA"/>
    <d v="2023-07-13T00:00:00"/>
    <d v="2024-07-12T00:00:00"/>
    <s v="MOT-PRD-002"/>
    <s v="MOTORISED-TWO WHEELERS"/>
    <n v="1174"/>
    <n v="7.7512776831345827"/>
    <n v="91"/>
    <s v="Delhi"/>
    <s v="NE"/>
    <s v="NE"/>
    <m/>
    <s v="Saurabh Dwivedi"/>
    <s v="Santosh Kumar Gupta"/>
    <x v="118"/>
    <n v="3376"/>
    <s v="Rushiraj"/>
    <m/>
    <s v="No"/>
    <m/>
    <m/>
    <s v="NE"/>
  </r>
  <r>
    <x v="3"/>
    <m/>
    <n v="510000"/>
    <s v="CBRO DELHI"/>
    <s v="OIC/23-24/1410"/>
    <s v="510000/48/2024/225"/>
    <n v="2"/>
    <s v="NXP INDIA PRIVATE LIMITED"/>
    <d v="2023-04-01T00:00:00"/>
    <d v="2024-03-31T00:00:00"/>
    <s v="MIST-PRD-890"/>
    <s v="GROUP MEDICLAIM -TAILORMADE-RISK FLOATER"/>
    <n v="92108"/>
    <n v="2"/>
    <n v="1842.16"/>
    <s v="Delhi"/>
    <n v="427731"/>
    <s v="NE"/>
    <m/>
    <s v="Sonia Schofield"/>
    <s v="Surender Banga"/>
    <x v="110"/>
    <n v="3398"/>
    <s v="Rushiraj"/>
    <m/>
    <m/>
    <m/>
    <m/>
    <s v="NE"/>
  </r>
  <r>
    <x v="3"/>
    <m/>
    <n v="212203"/>
    <s v="CBO 13 N-34 C.PLACE"/>
    <s v="OIC/23-24/1411"/>
    <s v="212203/31/2024/909"/>
    <n v="0"/>
    <s v="PAWAN HANS LIMITED"/>
    <d v="2023-07-14T00:00:00"/>
    <d v="2024-07-13T00:00:00"/>
    <s v="MOT-PRD-012"/>
    <s v="PRIVATE CAR-(3 Years)"/>
    <n v="12699"/>
    <n v="16.284746830459092"/>
    <n v="2068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212203"/>
    <s v="CBO 13 N-34 C.PLACE"/>
    <s v="OIC/23-24/1413"/>
    <s v="212203/31/2024/1064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72200"/>
    <s v="DO 3 NEW DELHI"/>
    <s v="OIC/23-24/1418"/>
    <s v="272200/31/2024/679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540000"/>
    <s v="CBO BANGALORE"/>
    <s v="OIC/23-24/1419"/>
    <s v="421300/48/2023/789"/>
    <n v="12"/>
    <s v="ETC MANAGEMENT SERVICES INDIA PRIVATE LIMITED"/>
    <d v="2022-08-06T00:00:00"/>
    <d v="2023-08-05T00:00:00"/>
    <s v="MIST-PRD-890"/>
    <s v="GROUP MEDICLAIM -TAILORMADE-RISK FLOATER"/>
    <n v="5047"/>
    <n v="5"/>
    <n v="252.35"/>
    <s v="Bangalore"/>
    <n v="400929"/>
    <s v="NE"/>
    <m/>
    <s v="Shashikala Ganesh Rao"/>
    <s v="Poorvi Kullegowda"/>
    <x v="114"/>
    <n v="3393"/>
    <s v="Rushiraj"/>
    <m/>
    <m/>
    <m/>
    <m/>
    <s v="NE"/>
  </r>
  <r>
    <x v="3"/>
    <m/>
    <n v="510000"/>
    <s v="CBRO DELHI"/>
    <s v="OIC/23-24/1420"/>
    <s v="510000/48/2023/611"/>
    <n v="1"/>
    <s v="ADVENTITY GLOBAL SERVICES PRIVATE LIMITED"/>
    <d v="2022-07-06T00:00:00"/>
    <d v="2023-04-11T00:00:00"/>
    <s v="MIST-PRD-001"/>
    <s v="GPA - NAMED"/>
    <n v="-56"/>
    <n v="8.928571428571427"/>
    <n v="-5"/>
    <s v="Chennai"/>
    <n v="401578"/>
    <s v="NE"/>
    <m/>
    <s v="Payal Batra"/>
    <s v="Aas Mohammad"/>
    <x v="110"/>
    <n v="3398"/>
    <s v="Rushiraj"/>
    <m/>
    <m/>
    <m/>
    <m/>
    <s v="NE"/>
  </r>
  <r>
    <x v="3"/>
    <m/>
    <n v="212203"/>
    <s v="CBO 13 N-34 C.PLACE"/>
    <s v="OIC/23-24/1421"/>
    <s v="212203/31/2024/794"/>
    <n v="0"/>
    <s v="REC LIMITED"/>
    <d v="2023-07-06T00:00:00"/>
    <d v="2024-07-05T00:00:00"/>
    <s v="MOT-PRD-015"/>
    <s v="STANDALONE OWN DAMAGE(OD)-PRIVATE CAR"/>
    <n v="13915"/>
    <n v="14.991016888250089"/>
    <n v="2086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431500"/>
    <s v="DO IV HYDERABAD"/>
    <s v="OIC/23-24/1423"/>
    <s v="431500/48/2024/649"/>
    <n v="5"/>
    <s v="SILABS INDIA PRIVATE LIMITED"/>
    <d v="2023-04-29T00:00:00"/>
    <d v="2024-04-28T00:00:00"/>
    <s v="MIST-PRD-890"/>
    <s v="GROUP MEDICLAIM -TAILORMADE-RISK FLOATER"/>
    <n v="452144"/>
    <n v="7.5000000000000009"/>
    <n v="33910.800000000003"/>
    <s v="Hyderabad"/>
    <n v="429567"/>
    <s v="NE"/>
    <m/>
    <s v="Rani Sudhakar Ranipeta"/>
    <s v="Prasanna Vadhana"/>
    <x v="120"/>
    <n v="3377"/>
    <s v="Rushiraj"/>
    <m/>
    <m/>
    <m/>
    <m/>
    <s v="NE"/>
  </r>
  <r>
    <x v="3"/>
    <m/>
    <n v="222105"/>
    <s v="KANPUR DEHAT"/>
    <s v="OIC/23-24/1424"/>
    <s v="222105/48/2024/757"/>
    <n v="0"/>
    <s v="SH. RUPENDRA SINGH"/>
    <d v="2023-08-12T00:00:00"/>
    <d v="2024-08-11T00:00:00"/>
    <s v="MIST-PRD-094"/>
    <s v="ORIENTAL MEDICLAIM INSURANCE POLICY(INDIVIDUAL)"/>
    <n v="65248"/>
    <n v="5.00091956841589"/>
    <n v="3263"/>
    <s v="Delhi"/>
    <s v="NE"/>
    <s v="NE"/>
    <m/>
    <s v="Kushal Bhatia"/>
    <s v="Navneet Arora"/>
    <x v="116"/>
    <n v="3374"/>
    <s v="Rushiraj"/>
    <m/>
    <s v="No"/>
    <m/>
    <m/>
    <s v="NE"/>
  </r>
  <r>
    <x v="3"/>
    <m/>
    <n v="510000"/>
    <s v="CBRO DELHI"/>
    <s v="OIC/23-24/1426"/>
    <s v="510000/48/2024/460"/>
    <n v="0"/>
    <s v="JCB INDIA LIMITED"/>
    <d v="2023-07-07T00:00:00"/>
    <d v="2024-07-06T00:00:00"/>
    <s v="MIST-PRD-061"/>
    <s v="All RISK"/>
    <n v="1460"/>
    <n v="12.534246575342467"/>
    <n v="183"/>
    <s v="Pune"/>
    <s v="NE"/>
    <s v="NE"/>
    <m/>
    <s v="Atul Chordiya"/>
    <s v="Amit Rokade"/>
    <x v="110"/>
    <n v="3398"/>
    <s v="Rushiraj"/>
    <m/>
    <s v="No"/>
    <m/>
    <m/>
    <s v="NE"/>
  </r>
  <r>
    <x v="3"/>
    <m/>
    <n v="510000"/>
    <s v="CBRO DELHI"/>
    <s v="OIC/23-24/1429"/>
    <s v="510000/48/2024/579"/>
    <n v="0"/>
    <s v="JCB INDIA LTD."/>
    <d v="2023-06-01T00:00:00"/>
    <d v="2024-05-31T00:00:00"/>
    <s v="MIST-PRD-890"/>
    <s v="GROUP MEDICLAIM -TAILORMADE-RISK FLOATER"/>
    <n v="8596005"/>
    <n v="3.0000098883143971"/>
    <n v="257881"/>
    <s v="Pune"/>
    <s v="NE"/>
    <s v="NE"/>
    <m/>
    <s v="Atul Chordiya"/>
    <s v="Amit Rokade"/>
    <x v="110"/>
    <n v="3398"/>
    <s v="Rushiraj"/>
    <m/>
    <s v="No"/>
    <m/>
    <m/>
    <s v="NE"/>
  </r>
  <r>
    <x v="3"/>
    <m/>
    <n v="212203"/>
    <s v="CBO 13 N-34 C.PLACE"/>
    <s v="OIC/23-24/1433"/>
    <s v="212203/31/2024/919"/>
    <n v="0"/>
    <s v="MINISTRY OF AYUSH"/>
    <d v="2023-07-20T00:00:00"/>
    <d v="2024-07-19T00:00:00"/>
    <s v="MOT-PRD-015"/>
    <s v="STANDALONE OWN DAMAGE(OD)-PRIVATE CAR"/>
    <n v="8111"/>
    <n v="14.991986191591666"/>
    <n v="1216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212203"/>
    <s v="CBO 13 N-34 C.PLACE"/>
    <s v="OIC/23-24/1434"/>
    <s v="212203/31/2024/997"/>
    <n v="0"/>
    <s v="POWER GRID CORPORATION OF INDIA LIMITED"/>
    <d v="2023-07-24T00:00:00"/>
    <d v="2024-07-23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431500"/>
    <s v="DO IV HYDERABAD"/>
    <s v="OIC/23-24/1435"/>
    <s v="431500/48/2023/3635"/>
    <n v="8"/>
    <s v="WAVEMAKER INDIA PRIVATE LIMITED"/>
    <d v="2023-03-15T00:00:00"/>
    <d v="2024-03-14T00:00:00"/>
    <s v="MIST-PRD-890"/>
    <s v="GROUP MEDICLAIM -TAILORMADE-RISK FLOATER"/>
    <n v="-97320"/>
    <n v="7.5"/>
    <n v="-7299"/>
    <s v="Hyderabad"/>
    <n v="424815"/>
    <s v="NE"/>
    <m/>
    <s v="Prasanna Vadhana"/>
    <s v="Manisha Marda"/>
    <x v="120"/>
    <n v="3377"/>
    <s v="Rushiraj"/>
    <m/>
    <m/>
    <m/>
    <m/>
    <s v="NE"/>
  </r>
  <r>
    <x v="3"/>
    <m/>
    <n v="272200"/>
    <s v="DO 3 NEW DELHI"/>
    <s v="OIC/23-24/1439"/>
    <s v="272200/31/2024/678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212203"/>
    <s v="CBO 13 N-34 C.PLACE"/>
    <s v="OIC/23-24/1442"/>
    <s v="212203/31/2024/697"/>
    <n v="1"/>
    <s v="LESSEE POWER GRID CORPORATION OF INDIA LTD"/>
    <d v="2023-06-21T00:00:00"/>
    <d v="2023-07-06T00:00:00"/>
    <s v="MOT-PRD-012"/>
    <s v="PRIVATE CAR-(3 Years)"/>
    <n v="-12668"/>
    <n v="12.756551941900852"/>
    <n v="-1616"/>
    <s v="Delhi"/>
    <n v="443944"/>
    <s v="NE"/>
    <m/>
    <s v="Saurabh Dwivedi"/>
    <s v="Mohit Mendiratta"/>
    <x v="111"/>
    <n v="3371"/>
    <s v="Rushiraj"/>
    <m/>
    <m/>
    <m/>
    <m/>
    <s v="NE"/>
  </r>
  <r>
    <x v="3"/>
    <m/>
    <n v="431500"/>
    <s v="DO IV HYDERABAD"/>
    <s v="OIC/23-24/1443"/>
    <s v="431500/48/2024/649"/>
    <n v="4"/>
    <s v="SILABS INDIA PRIVATE LIMITED"/>
    <d v="2023-04-29T00:00:00"/>
    <d v="2024-04-28T00:00:00"/>
    <s v="MIST-PRD-890"/>
    <s v="GROUP MEDICLAIM -TAILORMADE-RISK FLOATER"/>
    <n v="-68305"/>
    <n v="7.5000073201083381"/>
    <n v="-5122.88"/>
    <s v="Hyderabad"/>
    <n v="429567"/>
    <s v="NE"/>
    <m/>
    <s v="Rani Sudhakar Ranipeta"/>
    <s v="Prasanna Vadhana"/>
    <x v="120"/>
    <n v="3377"/>
    <s v="Rushiraj"/>
    <m/>
    <m/>
    <m/>
    <m/>
    <s v="NE"/>
  </r>
  <r>
    <x v="3"/>
    <m/>
    <n v="222105"/>
    <s v="KANPUR DEHAT"/>
    <s v="OIC/23-24/1444"/>
    <s v="222105/48/2024/754"/>
    <n v="0"/>
    <s v="RAJESH MUKHIJA"/>
    <d v="2023-07-25T00:00:00"/>
    <d v="2024-07-24T00:00:00"/>
    <s v="MIST-PRD-943"/>
    <s v="HAPPY FAMILY FLOATER POLICY-2021"/>
    <n v="89197"/>
    <n v="5.0001681670908216"/>
    <n v="4460"/>
    <s v="Delhi"/>
    <s v="NE"/>
    <s v="NE"/>
    <m/>
    <s v="Kushal Bhatia"/>
    <s v="Navneet Arora"/>
    <x v="116"/>
    <n v="3374"/>
    <s v="Rushiraj"/>
    <m/>
    <s v="No"/>
    <m/>
    <m/>
    <s v="NE"/>
  </r>
  <r>
    <x v="3"/>
    <m/>
    <n v="212203"/>
    <s v="CBO 13 N-34 C.PLACE"/>
    <s v="OIC/23-24/1445"/>
    <s v="212203/31/2024/907"/>
    <n v="0"/>
    <s v="PAWAN HANS LIMITED"/>
    <d v="2023-07-14T00:00:00"/>
    <d v="2024-07-13T00:00:00"/>
    <s v="MOT-PRD-012"/>
    <s v="PRIVATE CAR-(3 Years)"/>
    <n v="12699"/>
    <n v="16.284746830459092"/>
    <n v="2068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212203"/>
    <s v="CBO 13 N-34 C.PLACE"/>
    <s v="OIC/23-24/1447"/>
    <s v="212203/31/2024/1058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510000"/>
    <s v="CBRO DELHI"/>
    <s v="OIC/23-24/1448"/>
    <s v="510000/48/2024/519"/>
    <n v="0"/>
    <s v="JCB POWER PRODUCTS INDIA PVT. LTD."/>
    <d v="2023-07-18T00:00:00"/>
    <d v="2024-05-31T00:00:00"/>
    <s v="MIST-PRD-047"/>
    <s v="FIDELITY GUARANTEE"/>
    <n v="25000"/>
    <n v="12.5"/>
    <n v="3125"/>
    <s v="Delhi"/>
    <s v="NE"/>
    <s v="NE"/>
    <m/>
    <s v="Darvesh Panchal"/>
    <s v="Rohit Kumar Mehndiratta"/>
    <x v="110"/>
    <n v="3398"/>
    <s v="Rushiraj"/>
    <m/>
    <s v="No"/>
    <m/>
    <m/>
    <s v="NE"/>
  </r>
  <r>
    <x v="3"/>
    <m/>
    <n v="222105"/>
    <s v="KANPUR DEHAT"/>
    <s v="OIC/23-24/1449"/>
    <s v="222105/48/2024/808"/>
    <n v="0"/>
    <s v="MR. SIBA PRASAD MISHRA"/>
    <d v="2023-08-01T00:00:00"/>
    <d v="2024-07-31T00:00:00"/>
    <s v="MIST-PRD-943"/>
    <s v="HAPPY FAMILY FLOATER POLICY-2021"/>
    <n v="61953"/>
    <n v="5.0005649443933304"/>
    <n v="3098"/>
    <s v="Delhi"/>
    <s v="NE"/>
    <s v="NE"/>
    <m/>
    <s v="Kushal Bhatia"/>
    <s v="Navneet Arora"/>
    <x v="116"/>
    <n v="3374"/>
    <s v="Rushiraj"/>
    <m/>
    <s v="No"/>
    <m/>
    <m/>
    <s v="NE"/>
  </r>
  <r>
    <x v="3"/>
    <m/>
    <n v="222105"/>
    <s v="KANPUR DEHAT"/>
    <s v="OIC/23-24/1450"/>
    <s v="222105/48/2024/811"/>
    <n v="0"/>
    <s v="Deep Agrawal"/>
    <d v="2023-08-14T00:00:00"/>
    <d v="2024-08-13T00:00:00"/>
    <s v="MIST-PRD-094"/>
    <s v="ORIENTAL MEDICLAIM INSURANCE POLICY(INDIVIDUAL)"/>
    <n v="20533"/>
    <n v="5.0017045731261867"/>
    <n v="1027"/>
    <s v="Delhi"/>
    <s v="NE"/>
    <s v="NE"/>
    <m/>
    <s v="Kushal Bhatia"/>
    <s v="Navneet Arora"/>
    <x v="116"/>
    <n v="3374"/>
    <s v="Rushiraj"/>
    <m/>
    <s v="No"/>
    <m/>
    <m/>
    <s v="NE"/>
  </r>
  <r>
    <x v="3"/>
    <m/>
    <n v="510000"/>
    <s v="CBRO DELHI"/>
    <s v="OIC/23-24/1452"/>
    <s v="510000/48/2024/538"/>
    <n v="0"/>
    <s v="JCB POWER PRODUCTS INDIA PVT. LTD."/>
    <d v="2023-07-24T00:00:00"/>
    <d v="2024-05-31T00:00:00"/>
    <s v="MIST-PRD-030"/>
    <s v="PUBLIC LIABILITY-ACT"/>
    <n v="6500"/>
    <n v="12.507692307692308"/>
    <n v="813"/>
    <s v="Delhi"/>
    <s v="NE"/>
    <s v="NE"/>
    <m/>
    <s v="Darvesh Panchal"/>
    <s v="Rohit Kumar Mehndiratta"/>
    <x v="110"/>
    <n v="3398"/>
    <s v="Rushiraj"/>
    <m/>
    <s v="No"/>
    <m/>
    <m/>
    <s v="NE"/>
  </r>
  <r>
    <x v="3"/>
    <m/>
    <n v="272200"/>
    <s v="DO 3 NEW DELHI"/>
    <s v="OIC/23-24/1453"/>
    <s v="272200/31/2024/553"/>
    <n v="0"/>
    <s v="ANKUR NAGPAL"/>
    <d v="2023-07-18T00:00:00"/>
    <d v="2024-07-17T00:00:00"/>
    <s v="MOT-PRD-001"/>
    <s v="PRIVATE CAR"/>
    <n v="6918"/>
    <n v="10.682278115062156"/>
    <n v="739"/>
    <s v="Delhi"/>
    <s v="NE"/>
    <s v="NE"/>
    <m/>
    <s v="Kushal Bhatia"/>
    <s v="Navneet Arora"/>
    <x v="118"/>
    <n v="3376"/>
    <s v="Rushiraj"/>
    <m/>
    <s v="No"/>
    <m/>
    <m/>
    <s v="NE"/>
  </r>
  <r>
    <x v="3"/>
    <m/>
    <n v="510000"/>
    <s v="CBRO DELHI"/>
    <s v="OIC/23-24/1456"/>
    <s v="510000/48/2023/675"/>
    <n v="21"/>
    <s v="JCB INDIA LTD."/>
    <d v="2022-06-01T00:00:00"/>
    <d v="2023-05-31T00:00:00"/>
    <s v="MIST-PRD-890"/>
    <s v="GROUP MEDICLAIM -TAILORMADE-RISK FLOATER"/>
    <n v="269"/>
    <n v="0"/>
    <n v="0"/>
    <s v="Delhi"/>
    <n v="387255"/>
    <s v="NE"/>
    <m/>
    <s v="Sonia Schofield"/>
    <s v="Vikas Saxena"/>
    <x v="110"/>
    <n v="3398"/>
    <s v="Rushiraj"/>
    <m/>
    <m/>
    <m/>
    <m/>
    <s v="NE"/>
  </r>
  <r>
    <x v="3"/>
    <m/>
    <n v="431500"/>
    <s v="DO IV HYDERABAD"/>
    <s v="OIC/23-24/1457"/>
    <s v="431500/48/2024/619"/>
    <n v="5"/>
    <s v="SILABS INDIA PRIVATE LIMITED"/>
    <d v="2023-04-29T00:00:00"/>
    <d v="2024-04-28T00:00:00"/>
    <s v="MIST-PRD-890"/>
    <s v="GROUP MEDICLAIM -TAILORMADE-RISK FLOATER"/>
    <n v="1012554"/>
    <n v="7.5"/>
    <n v="75941.55"/>
    <s v="Hyderabad"/>
    <n v="429580"/>
    <s v="NE"/>
    <m/>
    <s v="Rani Sudhakar Ranipeta"/>
    <s v="Prasanna Vadhana"/>
    <x v="120"/>
    <n v="3377"/>
    <s v="Rushiraj"/>
    <m/>
    <m/>
    <m/>
    <m/>
    <s v="NE"/>
  </r>
  <r>
    <x v="3"/>
    <m/>
    <n v="112400"/>
    <s v="MRO 1 Aviation Cell"/>
    <s v="OIC/23-24/1459"/>
    <s v="112400/43/2024/76"/>
    <n v="0"/>
    <s v="KESTREL AVIATION PVT.LTD."/>
    <d v="2023-07-14T00:00:00"/>
    <d v="2024-07-13T00:00:00"/>
    <s v="AVI-PRD-037"/>
    <s v="HULL ALL RISK"/>
    <n v="126250"/>
    <n v="16"/>
    <n v="20200"/>
    <s v="Mumbai"/>
    <s v="NE"/>
    <s v="NE"/>
    <m/>
    <s v="Susmeet Kaur"/>
    <s v="Shriram Giri"/>
    <x v="121"/>
    <n v="3381"/>
    <s v="Rushiraj"/>
    <m/>
    <s v="No"/>
    <m/>
    <m/>
    <s v="NE"/>
  </r>
  <r>
    <x v="3"/>
    <m/>
    <n v="510000"/>
    <s v="CBRO DELHI"/>
    <s v="OIC/23-24/1462"/>
    <s v="510000/48/2024/516"/>
    <n v="0"/>
    <s v="JCB POWER PRODUCTS INDIA PVT. LTD."/>
    <d v="2023-06-01T00:00:00"/>
    <d v="2024-05-31T00:00:00"/>
    <s v="MIST-PRD-060"/>
    <s v="EMPLOYERS LIABILITY"/>
    <n v="10000"/>
    <n v="12.5"/>
    <n v="1250"/>
    <s v="Delhi"/>
    <s v="NE"/>
    <s v="NE"/>
    <m/>
    <s v="Darvesh Panchal"/>
    <s v="Rohit Kumar Mehndiratta"/>
    <x v="110"/>
    <n v="3398"/>
    <s v="Rushiraj"/>
    <m/>
    <s v="No"/>
    <m/>
    <m/>
    <s v="NE"/>
  </r>
  <r>
    <x v="3"/>
    <m/>
    <n v="421100"/>
    <s v="CBU Bangalore"/>
    <s v="OIC/23-24/1463"/>
    <s v="421100/48/2024/185"/>
    <n v="2"/>
    <s v="INFOSTRETCH CORPORATION INDIA PRIVATE LIMITED"/>
    <d v="2023-05-01T00:00:00"/>
    <d v="2024-04-30T00:00:00"/>
    <s v="MIST-PRD-890"/>
    <s v="GROUP MEDICLAIM -TAILORMADE-RISK FLOATER"/>
    <n v="47678"/>
    <n v="6"/>
    <n v="2860.68"/>
    <s v="Pune"/>
    <n v="444213"/>
    <s v="NE"/>
    <m/>
    <s v="Sheetal Gurav"/>
    <s v="Renny Ignatius Peter"/>
    <x v="117"/>
    <n v="3361"/>
    <s v="Rushiraj"/>
    <m/>
    <m/>
    <m/>
    <m/>
    <s v="NE"/>
  </r>
  <r>
    <x v="3"/>
    <m/>
    <n v="212203"/>
    <s v="CBO 13 N-34 C.PLACE"/>
    <s v="OIC/23-24/1465"/>
    <s v="212203/31/2024/1019"/>
    <n v="0"/>
    <s v="TIRUMALA TIRUPATHI DEVASTHANAMS"/>
    <d v="2023-07-30T00:00:00"/>
    <d v="2024-07-29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72200"/>
    <s v="DO 3 NEW DELHI"/>
    <s v="OIC/23-24/1466"/>
    <s v="272200/31/2024/603"/>
    <n v="0"/>
    <s v="AMICUS NATURAL PRODUCTS PVT LTD"/>
    <d v="2023-07-25T00:00:00"/>
    <d v="2024-07-24T00:00:00"/>
    <s v="MOT-PRD-001"/>
    <s v="PRIVATE CAR"/>
    <n v="123896"/>
    <n v="14.519435655711241"/>
    <n v="17989"/>
    <s v="Delhi"/>
    <s v="NE"/>
    <s v="NE"/>
    <m/>
    <s v="Suspense"/>
    <s v="Suspense"/>
    <x v="118"/>
    <n v="3376"/>
    <s v="Rushiraj"/>
    <m/>
    <s v="No"/>
    <m/>
    <m/>
    <s v="NE"/>
  </r>
  <r>
    <x v="3"/>
    <m/>
    <n v="431500"/>
    <s v="DO IV HYDERABAD"/>
    <s v="OIC/23-24/1471"/>
    <s v="431500/48/2023/3635"/>
    <n v="5"/>
    <s v="WAVEMAKER INDIA PRIVATE LIMITED"/>
    <d v="2023-03-15T00:00:00"/>
    <d v="2024-03-14T00:00:00"/>
    <s v="MIST-PRD-890"/>
    <s v="GROUP MEDICLAIM -TAILORMADE-RISK FLOATER"/>
    <n v="5550"/>
    <n v="7.5"/>
    <n v="416.25"/>
    <s v="Hyderabad"/>
    <n v="424815"/>
    <s v="NE"/>
    <m/>
    <s v="Prasanna Vadhana"/>
    <s v="Manisha Marda"/>
    <x v="120"/>
    <n v="3377"/>
    <s v="Rushiraj"/>
    <m/>
    <m/>
    <m/>
    <m/>
    <s v="NE"/>
  </r>
  <r>
    <x v="3"/>
    <m/>
    <n v="510000"/>
    <s v="CBRO DELHI"/>
    <s v="OIC/23-24/1475"/>
    <s v="510000/48/2023/719"/>
    <n v="12"/>
    <s v="JCB INDIA LTD."/>
    <d v="2022-06-01T00:00:00"/>
    <d v="2023-05-31T00:00:00"/>
    <s v="MIST-PRD-001"/>
    <s v="GPA - NAMED"/>
    <n v="356"/>
    <n v="7.3033707865168536"/>
    <n v="26"/>
    <s v="Pune"/>
    <n v="402805"/>
    <s v="NE"/>
    <m/>
    <s v="Atul Chordiya"/>
    <s v="Amit Rokade"/>
    <x v="110"/>
    <n v="3398"/>
    <s v="Rushiraj"/>
    <m/>
    <m/>
    <m/>
    <m/>
    <s v="NE"/>
  </r>
  <r>
    <x v="3"/>
    <m/>
    <n v="212203"/>
    <s v="CBO 13 N-34 C.PLACE"/>
    <s v="OIC/23-24/1477"/>
    <s v="212203/31/2024/1049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5600"/>
    <s v="DO 4 NEW DELHI"/>
    <s v="OIC/23-24/1478"/>
    <s v="215600/11/2024/49"/>
    <n v="1"/>
    <s v="LUMAX ANCILLARY LIMITED"/>
    <d v="2023-04-01T00:00:00"/>
    <d v="2024-03-31T00:00:00"/>
    <s v="FIR-PRD-012"/>
    <s v="ORIENTAL INSURANCE - FLEXI BHARAT LAGHU UDYAM SURAKSHA"/>
    <n v="-13608"/>
    <n v="11.500587889476778"/>
    <n v="-1565"/>
    <s v="Delhi"/>
    <n v="439764"/>
    <s v="NE"/>
    <m/>
    <s v="Rohit Kumar Mendiratta"/>
    <s v="Prince Tayal"/>
    <x v="122"/>
    <n v="3372"/>
    <s v="Rushiraj"/>
    <m/>
    <m/>
    <m/>
    <m/>
    <s v="NE"/>
  </r>
  <r>
    <x v="3"/>
    <m/>
    <n v="222104"/>
    <s v="CBO 1 KANPUR"/>
    <s v="OIC/23-24/1479"/>
    <s v="222104/48/2023/900"/>
    <n v="6"/>
    <s v="NIVA BUPA HEALTH INSURANCE COMPANY LIMITED"/>
    <d v="2022-10-24T00:00:00"/>
    <d v="2023-10-23T00:00:00"/>
    <s v="MIST-PRD-001"/>
    <s v="GPA - NAMED"/>
    <n v="40380"/>
    <n v="7.5"/>
    <n v="3028.5"/>
    <s v="Delhi"/>
    <n v="406280"/>
    <s v="NE"/>
    <m/>
    <s v="Vitty Pandita"/>
    <s v="Naresh Joshi"/>
    <x v="119"/>
    <n v="3373"/>
    <s v="Rushiraj"/>
    <m/>
    <m/>
    <m/>
    <m/>
    <s v="NE"/>
  </r>
  <r>
    <x v="3"/>
    <m/>
    <n v="212203"/>
    <s v="CBO 13 N-34 C.PLACE"/>
    <s v="OIC/23-24/1480"/>
    <s v="212203/31/2024/981"/>
    <n v="0"/>
    <s v="TIRUMALA TIRUPATHI DEVASTHANAMS"/>
    <d v="2023-07-28T00:00:00"/>
    <d v="2024-07-27T00:00:00"/>
    <s v="MOT-PRD-015"/>
    <s v="STANDALONE OWN DAMAGE(OD)-PRIVATE CAR"/>
    <n v="9862"/>
    <n v="15.007097951733927"/>
    <n v="1480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481"/>
    <s v="212203/31/2024/984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483"/>
    <s v="212203/31/2024/998"/>
    <n v="0"/>
    <s v="POWER GRID CORPORATION OF INDIA LIMITED"/>
    <d v="2023-07-24T00:00:00"/>
    <d v="2024-07-23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510000"/>
    <s v="CBRO DELHI"/>
    <s v="OIC/23-24/1484"/>
    <s v="510000/48/2023/1458"/>
    <n v="9"/>
    <s v="R SYSTEMS INTERNATIONAL LIMITED"/>
    <d v="2023-02-07T00:00:00"/>
    <d v="2024-01-26T00:00:00"/>
    <s v="MIST-PRD-050"/>
    <s v="OFFICE UMBRELLA"/>
    <n v="2"/>
    <n v="12.5"/>
    <n v="0.25"/>
    <s v="Delhi"/>
    <n v="423543"/>
    <s v="NE"/>
    <m/>
    <s v="Sumit Gupta"/>
    <s v="Sahil Wadhwa"/>
    <x v="110"/>
    <n v="3398"/>
    <s v="Rushiraj"/>
    <m/>
    <m/>
    <m/>
    <m/>
    <s v="NE"/>
  </r>
  <r>
    <x v="3"/>
    <m/>
    <n v="510000"/>
    <s v="CBRO DELHI"/>
    <s v="OIC/23-24/1486"/>
    <s v="510000/48/2023/1411"/>
    <n v="9"/>
    <s v="HAYS BUSINESS SOLUTIONS PVT LTD"/>
    <d v="2023-01-01T00:00:00"/>
    <d v="2023-12-31T00:00:00"/>
    <s v="MIST-PRD-890"/>
    <s v="GROUP MEDICLAIM -TAILORMADE-RISK FLOATER"/>
    <n v="-60330"/>
    <n v="7.5000000000000009"/>
    <n v="-4524.75"/>
    <s v="Delhi"/>
    <n v="421505"/>
    <s v="NE"/>
    <m/>
    <s v="Abhishek Sharma"/>
    <s v="Ishita Sharma"/>
    <x v="110"/>
    <n v="3398"/>
    <s v="Rushiraj"/>
    <m/>
    <m/>
    <m/>
    <m/>
    <s v="NE"/>
  </r>
  <r>
    <x v="3"/>
    <m/>
    <n v="212203"/>
    <s v="CBO 13 N-34 C.PLACE"/>
    <s v="OIC/23-24/1487"/>
    <s v="212203/31/2024/802"/>
    <n v="0"/>
    <s v="EXPORT CREDIT GUARANTEE CORPORATION"/>
    <d v="2023-07-05T00:00:00"/>
    <d v="2024-07-04T00:00:00"/>
    <s v="MOT-PRD-015"/>
    <s v="STANDALONE OWN DAMAGE(OD)-PRIVATE CAR"/>
    <n v="8111"/>
    <n v="14.991986191591666"/>
    <n v="1216"/>
    <s v="Delhi"/>
    <s v="NE"/>
    <s v="NE"/>
    <m/>
    <s v="Suspense"/>
    <s v="Suspense"/>
    <x v="111"/>
    <n v="3371"/>
    <s v="Rushiraj"/>
    <m/>
    <s v="No"/>
    <m/>
    <m/>
    <s v="NE"/>
  </r>
  <r>
    <x v="3"/>
    <m/>
    <n v="212203"/>
    <s v="CBO 13 N-34 C.PLACE"/>
    <s v="OIC/23-24/1488"/>
    <s v="212203/31/2024/699"/>
    <n v="1"/>
    <s v="LESSEE POWER GRID CORPORATION OF INDIA LTD"/>
    <d v="2023-06-21T00:00:00"/>
    <d v="2023-06-21T00:00:00"/>
    <s v="MOT-PRD-012"/>
    <s v="PRIVATE CAR-(3 Years)"/>
    <n v="-12668"/>
    <n v="12.756551941900852"/>
    <n v="-1616"/>
    <s v="Delhi"/>
    <n v="443946"/>
    <s v="NE"/>
    <m/>
    <s v="Saurabh Dwivedi"/>
    <s v="Mohit Mendiratta"/>
    <x v="111"/>
    <n v="3371"/>
    <s v="Rushiraj"/>
    <m/>
    <m/>
    <m/>
    <m/>
    <s v="NE"/>
  </r>
  <r>
    <x v="3"/>
    <m/>
    <n v="421100"/>
    <s v="CBU Bangalore"/>
    <s v="OIC/23-24/1490"/>
    <s v="421100/48/2024/185"/>
    <n v="1"/>
    <s v="INFOSTRETCH CORPORATION INDIA PRIVATE LIMITED"/>
    <d v="2023-05-01T00:00:00"/>
    <d v="2024-04-30T00:00:00"/>
    <s v="MIST-PRD-890"/>
    <s v="GROUP MEDICLAIM -TAILORMADE-RISK FLOATER"/>
    <n v="5200854"/>
    <n v="6"/>
    <n v="312051.24"/>
    <s v="Pune"/>
    <n v="444213"/>
    <s v="NE"/>
    <m/>
    <s v="Sheetal Gurav"/>
    <s v="Renny Ignatius Peter"/>
    <x v="117"/>
    <n v="3361"/>
    <s v="Rushiraj"/>
    <m/>
    <m/>
    <m/>
    <m/>
    <s v="NE"/>
  </r>
  <r>
    <x v="3"/>
    <m/>
    <n v="212203"/>
    <s v="CBO 13 N-34 C.PLACE"/>
    <s v="OIC/23-24/1492"/>
    <s v="212203/31/2024/1021"/>
    <n v="0"/>
    <s v="TIRUMALA TIRUPATHI DEVASTHANAMS"/>
    <d v="2023-07-30T00:00:00"/>
    <d v="2024-07-29T00:00:00"/>
    <s v="MOT-PRD-015"/>
    <s v="STANDALONE OWN DAMAGE(OD)-PRIVATE CAR"/>
    <n v="9254"/>
    <n v="14.998919386211368"/>
    <n v="1388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494"/>
    <s v="212203/31/2024/980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431500"/>
    <s v="DO IV HYDERABAD"/>
    <s v="OIC/23-24/1502"/>
    <s v="431500/48/2024/619"/>
    <n v="4"/>
    <s v="SILABS INDIA PRIVATE LIMITED"/>
    <d v="2023-04-29T00:00:00"/>
    <d v="2024-04-28T00:00:00"/>
    <s v="MIST-PRD-890"/>
    <s v="GROUP MEDICLAIM -TAILORMADE-RISK FLOATER"/>
    <n v="-142055"/>
    <n v="7.5000035197634718"/>
    <n v="-10654.13"/>
    <s v="Hyderabad"/>
    <n v="429580"/>
    <s v="NE"/>
    <m/>
    <s v="Rani Sudhakar Ranipeta"/>
    <s v="Prasanna Vadhana"/>
    <x v="120"/>
    <n v="3377"/>
    <s v="Rushiraj"/>
    <m/>
    <m/>
    <m/>
    <m/>
    <s v="NE"/>
  </r>
  <r>
    <x v="3"/>
    <m/>
    <n v="215600"/>
    <s v="DO 4 NEW DELHI"/>
    <s v="OIC/23-24/1503"/>
    <s v="215600/48/2023/1309"/>
    <n v="6"/>
    <s v="M/S TIMEX GROUP INDIA LIMITED"/>
    <d v="2022-08-04T00:00:00"/>
    <d v="2023-08-03T00:00:00"/>
    <s v="MIST-PRD-890"/>
    <s v="GROUP MEDICLAIM -TAILORMADE-RISK FLOATER"/>
    <n v="50848"/>
    <n v="6.4999999999999991"/>
    <n v="3305.12"/>
    <s v="Delhi"/>
    <n v="397246"/>
    <s v="NE"/>
    <m/>
    <s v="Raju Kumar"/>
    <s v="Sarfuddin Ansari"/>
    <x v="122"/>
    <n v="3372"/>
    <s v="Rushiraj"/>
    <m/>
    <m/>
    <m/>
    <m/>
    <s v="NE"/>
  </r>
  <r>
    <x v="3"/>
    <m/>
    <n v="212203"/>
    <s v="CBO 13 N-34 C.PLACE"/>
    <s v="OIC/23-24/1506"/>
    <s v="212203/31/2024/986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508"/>
    <s v="212203/31/2024/1057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22104"/>
    <s v="CBO 1 KANPUR"/>
    <s v="OIC/23-24/1510"/>
    <s v="222104/48/2022/1547"/>
    <n v="24"/>
    <s v="ORIENT ELECTRIC LIMITED"/>
    <d v="2022-03-06T00:00:00"/>
    <d v="2023-03-05T00:00:00"/>
    <s v="MIST-PRD-001"/>
    <s v="GPA - NAMED"/>
    <n v="-46"/>
    <n v="7.5"/>
    <n v="-3.45"/>
    <s v="Delhi"/>
    <n v="380690"/>
    <s v="NE"/>
    <m/>
    <s v="Sonia Schofield"/>
    <s v="Surender Banga"/>
    <x v="119"/>
    <n v="3373"/>
    <s v="Rushiraj"/>
    <m/>
    <m/>
    <m/>
    <m/>
    <s v="NE"/>
  </r>
  <r>
    <x v="3"/>
    <m/>
    <n v="212203"/>
    <s v="CBO 13 N-34 C.PLACE"/>
    <s v="OIC/23-24/1517"/>
    <s v="212203/31/2024/801"/>
    <n v="0"/>
    <s v="EXPORT CREDIT GUARANTEE CORPORATION"/>
    <d v="2023-07-05T00:00:00"/>
    <d v="2024-07-04T00:00:00"/>
    <s v="MOT-PRD-015"/>
    <s v="STANDALONE OWN DAMAGE(OD)-PRIVATE CAR"/>
    <n v="8111"/>
    <n v="14.991986191591666"/>
    <n v="1216"/>
    <s v="Delhi"/>
    <s v="NE"/>
    <s v="NE"/>
    <m/>
    <s v="Suspense"/>
    <s v="Suspense"/>
    <x v="111"/>
    <n v="3371"/>
    <s v="Rushiraj"/>
    <m/>
    <s v="No"/>
    <m/>
    <m/>
    <s v="NE"/>
  </r>
  <r>
    <x v="3"/>
    <m/>
    <n v="212203"/>
    <s v="CBO 13 N-34 C.PLACE"/>
    <s v="OIC/23-24/1522"/>
    <s v="212203/31/2024/1020"/>
    <n v="0"/>
    <s v="TIRUMALA TIRUPATHI DEVASTHANAMS"/>
    <d v="2023-07-30T00:00:00"/>
    <d v="2024-07-29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523"/>
    <s v="212203/31/2024/1055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524"/>
    <s v="212203/31/2024/1061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72200"/>
    <s v="DO 3 NEW DELHI"/>
    <s v="OIC/23-24/1525"/>
    <s v="272200/31/2024/680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212203"/>
    <s v="CBO 13 N-34 C.PLACE"/>
    <s v="OIC/23-24/1528"/>
    <s v="212203/31/2024/816"/>
    <n v="0"/>
    <s v="V O CHIDAMBARANAR PORT TRUST"/>
    <d v="2023-07-07T00:00:00"/>
    <d v="2024-07-06T00:00:00"/>
    <s v="MOT-PRD-015"/>
    <s v="STANDALONE OWN DAMAGE(OD)-PRIVATE CAR"/>
    <n v="5727"/>
    <n v="14.999126942552818"/>
    <n v="859"/>
    <s v="Delhi"/>
    <s v="NE"/>
    <s v="NE"/>
    <m/>
    <s v="Suspense"/>
    <s v="Suspense"/>
    <x v="111"/>
    <n v="3371"/>
    <s v="Rushiraj"/>
    <m/>
    <s v="No"/>
    <m/>
    <m/>
    <s v="NE"/>
  </r>
  <r>
    <x v="3"/>
    <m/>
    <n v="411700"/>
    <s v="DO 7 CHENNAI"/>
    <s v="OIC/23-24/1534"/>
    <s v="411700/48/2023/2426"/>
    <n v="10"/>
    <s v="FINANCIAL SOFTWARE &amp; SYSTEMS (P) LTD."/>
    <d v="2022-10-01T00:00:00"/>
    <d v="2023-09-30T00:00:00"/>
    <s v="MIST-PRD-890"/>
    <s v="GROUP MEDICLAIM -TAILORMADE-RISK FLOATER"/>
    <n v="-7818"/>
    <n v="1"/>
    <n v="-78.180000000000007"/>
    <s v="Chennai"/>
    <n v="408012"/>
    <s v="NE"/>
    <m/>
    <s v="Sudha S"/>
    <s v="Ajith Adithyan"/>
    <x v="112"/>
    <n v="3397"/>
    <s v="Rushiraj"/>
    <m/>
    <m/>
    <m/>
    <m/>
    <s v="NE"/>
  </r>
  <r>
    <x v="3"/>
    <m/>
    <n v="540000"/>
    <s v="CBO BANGALORE"/>
    <s v="OIC/23-24/1540"/>
    <s v="421300/48/2024/396"/>
    <n v="3"/>
    <s v="WAFER SPACE SEMICONDUCTOR TECHNOLOGIES PVT. LTD."/>
    <d v="2023-04-17T00:00:00"/>
    <d v="2024-04-16T00:00:00"/>
    <s v="MIST-PRD-890"/>
    <s v="GROUP MEDICLAIM -TAILORMADE-RISK FLOATER"/>
    <n v="-49142"/>
    <n v="7.5007122217247977"/>
    <n v="-3686"/>
    <s v="Bangalore"/>
    <n v="441188"/>
    <s v="NE"/>
    <m/>
    <s v="Jaya Chitra.M"/>
    <s v="Deep Shikha"/>
    <x v="114"/>
    <n v="3393"/>
    <s v="Rushiraj"/>
    <m/>
    <m/>
    <m/>
    <m/>
    <s v="NE"/>
  </r>
  <r>
    <x v="3"/>
    <m/>
    <n v="212203"/>
    <s v="CBO 13 N-34 C.PLACE"/>
    <s v="OIC/23-24/1541"/>
    <s v="212203/31/2024/914"/>
    <n v="0"/>
    <s v="POWER GRID CORPORATION OF INDIA LIMITED"/>
    <d v="2023-07-14T00:00:00"/>
    <d v="2024-07-13T00:00:00"/>
    <s v="MOT-PRD-012"/>
    <s v="PRIVATE CAR-(3 Years)"/>
    <n v="12488"/>
    <n v="16.311659192825111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421200"/>
    <s v="DO2 BANGALORE"/>
    <s v="OIC/23-24/1542"/>
    <s v="421200/48/2023/4443"/>
    <n v="7"/>
    <s v="Mobileum Technologies Private Limited"/>
    <d v="2023-01-10T00:00:00"/>
    <d v="2024-01-09T00:00:00"/>
    <s v="MIST-PRD-890"/>
    <s v="GROUP MEDICLAIM -TAILORMADE-RISK FLOATER"/>
    <n v="5396603"/>
    <n v="7.8428596656081613"/>
    <n v="423248"/>
    <s v="Mumbai"/>
    <n v="441196"/>
    <s v="NE"/>
    <m/>
    <s v="Saraswati Shetty"/>
    <s v="Pravin Arun Jagtap"/>
    <x v="123"/>
    <n v="3362"/>
    <s v="Rushiraj"/>
    <m/>
    <m/>
    <m/>
    <m/>
    <s v="NE"/>
  </r>
  <r>
    <x v="3"/>
    <m/>
    <n v="411700"/>
    <s v="DO 7 CHENNAI"/>
    <s v="OIC/23-24/1544"/>
    <s v="411700/48/2023/2419"/>
    <n v="11"/>
    <s v="FINANCIAL SOFTWARE &amp; SYSTEMS (P) LTD."/>
    <d v="2022-10-01T00:00:00"/>
    <d v="2023-09-30T00:00:00"/>
    <s v="MIST-PRD-890"/>
    <s v="GROUP MEDICLAIM -TAILORMADE-RISK FLOATER"/>
    <n v="-4693"/>
    <n v="1.0014915832090348"/>
    <n v="-47"/>
    <s v="Chennai"/>
    <n v="409179"/>
    <s v="NE"/>
    <m/>
    <s v="Sudha S"/>
    <s v="Ajith Adithyan"/>
    <x v="112"/>
    <n v="3397"/>
    <s v="Rushiraj"/>
    <m/>
    <m/>
    <m/>
    <m/>
    <s v="NE"/>
  </r>
  <r>
    <x v="3"/>
    <m/>
    <n v="212203"/>
    <s v="CBO 13 N-34 C.PLACE"/>
    <s v="OIC/23-24/1546"/>
    <s v="212203/31/2024/1053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510000"/>
    <s v="CBRO DELHI"/>
    <s v="OIC/23-24/1547"/>
    <s v="510000/48/2024/204"/>
    <n v="4"/>
    <s v="NXP INDIA PRIVATE LIMITED"/>
    <d v="2023-04-01T00:00:00"/>
    <d v="2024-03-31T00:00:00"/>
    <s v="MIST-PRD-890"/>
    <s v="GROUP MEDICLAIM -TAILORMADE-RISK FLOATER"/>
    <n v="-98778"/>
    <n v="2"/>
    <n v="-1975.56"/>
    <s v="Delhi"/>
    <n v="427737"/>
    <s v="NE"/>
    <m/>
    <s v="Sonia Schofield"/>
    <s v="Surender Banga"/>
    <x v="110"/>
    <n v="3398"/>
    <s v="Rushiraj"/>
    <m/>
    <m/>
    <m/>
    <m/>
    <s v="NE"/>
  </r>
  <r>
    <x v="3"/>
    <m/>
    <n v="510000"/>
    <s v="CBRO DELHI"/>
    <s v="OIC/23-24/1554"/>
    <s v="510000/48/2024/322"/>
    <n v="1"/>
    <s v="NXP INDIA PRIVATE LIMITED"/>
    <d v="2023-04-01T00:00:00"/>
    <d v="2024-03-31T00:00:00"/>
    <s v="MIST-PRD-890"/>
    <s v="GROUP MEDICLAIM -TAILORMADE-RISK FLOATER"/>
    <n v="36423"/>
    <n v="2"/>
    <n v="728.46"/>
    <s v="Delhi"/>
    <n v="431824"/>
    <s v="NE"/>
    <m/>
    <s v="Sonia Schofield"/>
    <s v="Surender Banga"/>
    <x v="110"/>
    <n v="3398"/>
    <s v="Rushiraj"/>
    <m/>
    <m/>
    <m/>
    <m/>
    <s v="NE"/>
  </r>
  <r>
    <x v="3"/>
    <m/>
    <n v="510000"/>
    <s v="CBRO DELHI"/>
    <s v="OIC/23-24/1556"/>
    <s v="510000/48/2023/544"/>
    <n v="7"/>
    <s v="Sutherland Global Services Private Limited"/>
    <d v="2022-06-22T00:00:00"/>
    <d v="2023-04-11T00:00:00"/>
    <s v="MIST-PRD-001"/>
    <s v="GPA - NAMED"/>
    <n v="53"/>
    <n v="7.5471698113207539"/>
    <n v="4"/>
    <s v="Chennai"/>
    <n v="401582"/>
    <s v="NE"/>
    <m/>
    <s v="Payal Batra"/>
    <s v="Aas Mohammad"/>
    <x v="110"/>
    <n v="3398"/>
    <s v="Rushiraj"/>
    <m/>
    <m/>
    <m/>
    <m/>
    <s v="NE"/>
  </r>
  <r>
    <x v="3"/>
    <m/>
    <n v="311800"/>
    <s v="CBU Kolkata"/>
    <s v="OIC/23-24/1558"/>
    <s v="311800/48/2024/343"/>
    <n v="0"/>
    <s v="ORISSA METALIKS PVT LTD"/>
    <d v="2023-07-03T00:00:00"/>
    <d v="2024-07-02T00:00:00"/>
    <s v="MIST-PRD-049"/>
    <s v="SPECIAL CONTINGENCY - POLICY"/>
    <n v="584822"/>
    <n v="12.500042748049834"/>
    <n v="73103"/>
    <s v="Mumbai"/>
    <s v="NE"/>
    <s v="NE"/>
    <m/>
    <s v="Suspense"/>
    <s v="Suspense"/>
    <x v="113"/>
    <n v="3385"/>
    <s v="Rushiraj"/>
    <m/>
    <s v="No"/>
    <m/>
    <m/>
    <s v="NE"/>
  </r>
  <r>
    <x v="3"/>
    <m/>
    <n v="222104"/>
    <s v="CBO 1 KANPUR"/>
    <s v="OIC/23-24/1559"/>
    <s v="222104/48/2023/926"/>
    <n v="8"/>
    <s v="CONSCIENT INFRASTRUCTURE PRIVATE LIMITED"/>
    <d v="2022-11-03T00:00:00"/>
    <d v="2023-11-02T00:00:00"/>
    <s v="MIST-PRD-890"/>
    <s v="GROUP MEDICLAIM -TAILORMADE-RISK FLOATER"/>
    <n v="-51247"/>
    <n v="5"/>
    <n v="-2562.35"/>
    <s v="Delhi"/>
    <n v="407875"/>
    <s v="NE"/>
    <m/>
    <s v="Rakesh Kumar Singh"/>
    <s v="Pranav Das Piyush"/>
    <x v="119"/>
    <n v="3373"/>
    <s v="Rushiraj"/>
    <m/>
    <m/>
    <m/>
    <m/>
    <s v="NE"/>
  </r>
  <r>
    <x v="3"/>
    <m/>
    <n v="112400"/>
    <s v="MRO 1 Aviation Cell"/>
    <s v="OIC/23-24/1560"/>
    <s v="112400/43/2024/77"/>
    <n v="0"/>
    <s v="KESTREL AVIATION PVT.LTD."/>
    <d v="2023-07-14T00:00:00"/>
    <d v="2024-07-13T00:00:00"/>
    <s v="AVI-PRD-011"/>
    <s v="HULL WAR RISK"/>
    <n v="15000"/>
    <n v="16"/>
    <n v="2400"/>
    <s v="Mumbai"/>
    <s v="NE"/>
    <s v="NE"/>
    <m/>
    <s v="Susmeet Kaur"/>
    <s v="Shriram Giri"/>
    <x v="121"/>
    <n v="3381"/>
    <s v="Rushiraj"/>
    <m/>
    <s v="No"/>
    <m/>
    <m/>
    <s v="NE"/>
  </r>
  <r>
    <x v="3"/>
    <m/>
    <n v="510000"/>
    <s v="CBRO DELHI"/>
    <s v="OIC/23-24/1562"/>
    <s v="510000/48/2024/577"/>
    <n v="0"/>
    <s v="JCB INDIA LIMITED"/>
    <d v="2023-06-01T00:00:00"/>
    <d v="2024-05-31T00:00:00"/>
    <s v="MIST-PRD-890"/>
    <s v="GROUP MEDICLAIM -TAILORMADE-RISK FLOATER"/>
    <n v="4934375"/>
    <n v="3.0000151994933502"/>
    <n v="148032"/>
    <s v="Pune"/>
    <s v="NE"/>
    <s v="NE"/>
    <m/>
    <s v="Atul Chordiya"/>
    <s v="Amit Rokade"/>
    <x v="110"/>
    <n v="3398"/>
    <s v="Rushiraj"/>
    <m/>
    <s v="No"/>
    <m/>
    <m/>
    <s v="NE"/>
  </r>
  <r>
    <x v="3"/>
    <m/>
    <n v="510000"/>
    <s v="CBRO DELHI"/>
    <s v="OIC/23-24/1566"/>
    <s v="510000/48/2024/412"/>
    <n v="1"/>
    <s v="JCB INDIA LIMITED"/>
    <d v="2023-06-27T00:00:00"/>
    <d v="2024-05-31T00:00:00"/>
    <s v="MIST-PRD-061"/>
    <s v="All RISK"/>
    <n v="33"/>
    <n v="12.515151515151514"/>
    <n v="4.13"/>
    <s v="Delhi"/>
    <n v="444749"/>
    <s v="NE"/>
    <m/>
    <s v="Rohit Kumar Mendiratta"/>
    <s v="Prikshat Singh"/>
    <x v="110"/>
    <n v="3398"/>
    <s v="Rushiraj"/>
    <m/>
    <m/>
    <m/>
    <m/>
    <s v="NE"/>
  </r>
  <r>
    <x v="3"/>
    <m/>
    <n v="222105"/>
    <s v="KANPUR DEHAT"/>
    <s v="OIC/23-24/1567"/>
    <s v="222105/48/2024/794"/>
    <n v="0"/>
    <s v="YOGESH KASHYAP"/>
    <d v="2023-07-27T00:00:00"/>
    <d v="2024-07-26T00:00:00"/>
    <s v="MIST-PRD-943"/>
    <s v="HAPPY FAMILY FLOATER POLICY-2021"/>
    <n v="14273"/>
    <n v="15.000350311777483"/>
    <n v="2141"/>
    <s v="Delhi"/>
    <s v="NE"/>
    <s v="NE"/>
    <m/>
    <s v="Kushal Bhatia"/>
    <s v="Navneet Arora"/>
    <x v="116"/>
    <n v="3374"/>
    <s v="Rushiraj"/>
    <m/>
    <s v="No"/>
    <m/>
    <m/>
    <s v="NE"/>
  </r>
  <r>
    <x v="3"/>
    <m/>
    <n v="212203"/>
    <s v="CBO 13 N-34 C.PLACE"/>
    <s v="OIC/23-24/1571"/>
    <s v="212203/31/2024/817"/>
    <n v="0"/>
    <s v="V O CHIDAMBARANAR PORT TRUST"/>
    <d v="2023-07-07T00:00:00"/>
    <d v="2024-07-06T00:00:00"/>
    <s v="MOT-PRD-015"/>
    <s v="STANDALONE OWN DAMAGE(OD)-PRIVATE CAR"/>
    <n v="5727"/>
    <n v="14.999126942552818"/>
    <n v="859"/>
    <s v="Delhi"/>
    <s v="NE"/>
    <s v="NE"/>
    <m/>
    <s v="Suspense"/>
    <s v="Suspense"/>
    <x v="111"/>
    <n v="3371"/>
    <s v="Rushiraj"/>
    <m/>
    <s v="No"/>
    <m/>
    <m/>
    <s v="NE"/>
  </r>
  <r>
    <x v="3"/>
    <m/>
    <n v="510000"/>
    <s v="CBRO DELHI"/>
    <s v="OIC/23-24/1572"/>
    <s v="510000/48/2023/1111"/>
    <n v="2"/>
    <s v="NEC CORPORATION INDIA PRIVATE LIMITED"/>
    <d v="2022-10-22T00:00:00"/>
    <d v="2023-10-21T00:00:00"/>
    <s v="MIST-PRD-061"/>
    <s v="All RISK"/>
    <n v="44176"/>
    <n v="12.5"/>
    <n v="5522"/>
    <s v="Delhi"/>
    <n v="407649"/>
    <s v="NE"/>
    <m/>
    <s v="Darvesh Panchal"/>
    <s v="Rohit Kumar Mehndiratta"/>
    <x v="110"/>
    <n v="3398"/>
    <s v="Rushiraj"/>
    <m/>
    <m/>
    <m/>
    <m/>
    <s v="NE"/>
  </r>
  <r>
    <x v="3"/>
    <m/>
    <n v="212203"/>
    <s v="CBO 13 N-34 C.PLACE"/>
    <s v="OIC/23-24/1574"/>
    <s v="212203/31/2024/989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163600"/>
    <s v="DO IV PUNE"/>
    <s v="OIC/23-24/1575"/>
    <s v="163600/11/2024/141"/>
    <n v="0"/>
    <s v="BARAMATI AGRO LIMITED"/>
    <d v="2023-07-27T00:00:00"/>
    <d v="2024-07-26T00:00:00"/>
    <s v="FIR-PRD-010"/>
    <s v="ORIENTAL BHARAT SOOKSHMA UDYAM SURAKSHA POLICY"/>
    <n v="1209"/>
    <n v="16.790736145574854"/>
    <n v="203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540000"/>
    <s v="CBO BANGALORE"/>
    <s v="OIC/23-24/1576"/>
    <s v="421300/48/2023/1150"/>
    <n v="5"/>
    <s v="ATRIA CONVERGENCE TECHNOLOGIES LIMITED"/>
    <d v="2022-12-01T00:00:00"/>
    <d v="2023-11-30T00:00:00"/>
    <s v="MIST-PRD-001"/>
    <s v="GPA - NAMED"/>
    <n v="-147"/>
    <n v="7.4829931972789119"/>
    <n v="-11"/>
    <s v="Bangalore"/>
    <n v="414345"/>
    <s v="NE"/>
    <m/>
    <s v="Jayachitra M"/>
    <s v="Vinod Kumar Heggadadevanapura Thammaiah"/>
    <x v="114"/>
    <n v="3393"/>
    <s v="Rushiraj"/>
    <m/>
    <m/>
    <m/>
    <m/>
    <s v="NE"/>
  </r>
  <r>
    <x v="3"/>
    <m/>
    <n v="441202"/>
    <s v="BO NEYYATINKARA"/>
    <s v="OIC/23-24/1578"/>
    <s v="441202/48/2023/727"/>
    <n v="16"/>
    <s v="TECHVERSANT INFOTECH PRIVATE LIMITED"/>
    <d v="2022-10-17T00:00:00"/>
    <d v="2023-10-16T00:00:00"/>
    <s v="MIST-PRD-890"/>
    <s v="GROUP MEDICLAIM -TAILORMADE-RISK FLOATER"/>
    <n v="781"/>
    <n v="6.6581306017925739"/>
    <n v="52"/>
    <s v="Chennai"/>
    <n v="405682"/>
    <s v="NE"/>
    <m/>
    <s v="Balakrishnan M"/>
    <s v="Balakrishnan.G"/>
    <x v="124"/>
    <n v="3396"/>
    <s v="Rushiraj"/>
    <m/>
    <m/>
    <m/>
    <m/>
    <s v="NE"/>
  </r>
  <r>
    <x v="3"/>
    <m/>
    <n v="510000"/>
    <s v="CBRO DELHI"/>
    <s v="OIC/23-24/1580"/>
    <s v="510000/48/2024/155"/>
    <n v="5"/>
    <s v="NUCLEUS SOFTWARE EXPORT LIMITED"/>
    <d v="2023-04-01T00:00:00"/>
    <d v="2024-03-31T00:00:00"/>
    <s v="MIST-PRD-890"/>
    <s v="GROUP MEDICLAIM -TAILORMADE-RISK FLOATER"/>
    <n v="115333"/>
    <n v="0"/>
    <n v="0"/>
    <s v="Delhi"/>
    <n v="435884"/>
    <s v="NE"/>
    <m/>
    <s v="Abhishek Sharma"/>
    <s v="Ishita Sharma"/>
    <x v="110"/>
    <n v="3398"/>
    <s v="Rushiraj"/>
    <m/>
    <m/>
    <m/>
    <m/>
    <s v="NE"/>
  </r>
  <r>
    <x v="3"/>
    <m/>
    <n v="431500"/>
    <s v="DO IV HYDERABAD"/>
    <s v="OIC/23-24/1581"/>
    <s v="431500/48/2023/3635"/>
    <n v="7"/>
    <s v="WAVEMAKER INDIA PRIVATE LIMITED"/>
    <d v="2023-03-15T00:00:00"/>
    <d v="2024-03-14T00:00:00"/>
    <s v="MIST-PRD-890"/>
    <s v="GROUP MEDICLAIM -TAILORMADE-RISK FLOATER"/>
    <n v="3678"/>
    <n v="7.5"/>
    <n v="275.85000000000002"/>
    <s v="Hyderabad"/>
    <n v="424815"/>
    <s v="NE"/>
    <m/>
    <s v="Prasanna Vadhana"/>
    <s v="Manisha Marda"/>
    <x v="120"/>
    <n v="3377"/>
    <s v="Rushiraj"/>
    <m/>
    <m/>
    <m/>
    <m/>
    <s v="NE"/>
  </r>
  <r>
    <x v="3"/>
    <m/>
    <n v="431500"/>
    <s v="DO IV HYDERABAD"/>
    <s v="OIC/23-24/1583"/>
    <s v="431500/48/2024/1202"/>
    <n v="1"/>
    <s v="SILABS INDIA PRIVATE LIMITED"/>
    <d v="2023-07-12T00:00:00"/>
    <d v="2024-04-28T00:00:00"/>
    <s v="MIST-PRD-890"/>
    <s v="GROUP MEDICLAIM -TAILORMADE-RISK FLOATER"/>
    <n v="-13987"/>
    <n v="7.5000357474798021"/>
    <n v="-1049.03"/>
    <s v="Hyderabad"/>
    <n v="445823"/>
    <s v="NE"/>
    <m/>
    <s v="Rani Sudhakar Ranipeta"/>
    <s v="Prasanna Vadhana"/>
    <x v="120"/>
    <n v="3377"/>
    <s v="Rushiraj"/>
    <m/>
    <m/>
    <m/>
    <m/>
    <s v="NE"/>
  </r>
  <r>
    <x v="3"/>
    <m/>
    <n v="540000"/>
    <s v="CBO BANGALORE"/>
    <s v="OIC/23-24/1584"/>
    <s v="421300/48/2023/1166"/>
    <n v="6"/>
    <s v="ATRIA CONVERGENCE TECHNOLOGIES LIMITED"/>
    <d v="2022-12-01T00:00:00"/>
    <d v="2023-11-30T00:00:00"/>
    <s v="MIST-PRD-890"/>
    <s v="GROUP MEDICLAIM -TAILORMADE-RISK FLOATER"/>
    <n v="-6169"/>
    <n v="7.5000810504133577"/>
    <n v="-462.68"/>
    <s v="Bangalore"/>
    <n v="414344"/>
    <s v="NE"/>
    <m/>
    <s v="Jayachitra M"/>
    <s v="Vinod Kumar Heggadadevanapura Thammaiah"/>
    <x v="114"/>
    <n v="3393"/>
    <s v="Rushiraj"/>
    <m/>
    <m/>
    <m/>
    <m/>
    <s v="NE"/>
  </r>
  <r>
    <x v="3"/>
    <m/>
    <n v="163600"/>
    <s v="DO IV PUNE"/>
    <s v="OIC/23-24/1585"/>
    <s v="163600/11/2024/138"/>
    <n v="0"/>
    <s v="BARAMATI AGRO LIMITED"/>
    <d v="2023-07-18T00:00:00"/>
    <d v="2024-07-17T00:00:00"/>
    <s v="FIR-PRD-010"/>
    <s v="ORIENTAL BHARAT SOOKSHMA UDYAM SURAKSHA POLICY"/>
    <n v="200"/>
    <n v="19.5"/>
    <n v="39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272200"/>
    <s v="DO 3 NEW DELHI"/>
    <s v="OIC/23-24/1588"/>
    <s v="272200/31/2024/656"/>
    <n v="0"/>
    <s v="MAX ROADLINE PRIVATE LIMITED"/>
    <d v="2023-07-28T00:00:00"/>
    <d v="2024-07-27T00:00:00"/>
    <s v="MOT-PRD-003"/>
    <s v="GCCV"/>
    <n v="58398"/>
    <n v="7.9985615945751567"/>
    <n v="4671"/>
    <s v="Delhi"/>
    <s v="NE"/>
    <s v="NE"/>
    <m/>
    <s v="Saurabh Dwivedi"/>
    <s v="Santosh Kumar Gupta"/>
    <x v="118"/>
    <n v="3376"/>
    <s v="Rushiraj"/>
    <m/>
    <s v="No"/>
    <m/>
    <m/>
    <s v="NE"/>
  </r>
  <r>
    <x v="3"/>
    <m/>
    <n v="212203"/>
    <s v="CBO 13 N-34 C.PLACE"/>
    <s v="OIC/23-24/1589"/>
    <s v="212203/31/2024/1052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590"/>
    <s v="212203/31/2024/1062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72200"/>
    <s v="DO 3 NEW DELHI"/>
    <s v="OIC/23-24/1591"/>
    <s v="272200/31/2024/677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212203"/>
    <s v="CBO 13 N-34 C.PLACE"/>
    <s v="OIC/23-24/1592"/>
    <s v="212203/31/2024/978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593"/>
    <s v="212203/31/2024/912"/>
    <n v="0"/>
    <s v="POWER GRID CORPORATION OF INDIA LIMITED"/>
    <d v="2023-07-14T00:00:00"/>
    <d v="2024-07-13T00:00:00"/>
    <s v="MOT-PRD-012"/>
    <s v="PRIVATE CAR-(3 Years)"/>
    <n v="12488"/>
    <n v="16.311659192825111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431500"/>
    <s v="DO IV HYDERABAD"/>
    <s v="OIC/23-24/1594"/>
    <s v="431500/48/2023/3634"/>
    <n v="10"/>
    <s v="WAVEMAKER INDIA PRIVATE LIMITED"/>
    <d v="2023-03-15T00:00:00"/>
    <d v="2024-03-14T00:00:00"/>
    <s v="MIST-PRD-890"/>
    <s v="GROUP MEDICLAIM -TAILORMADE-RISK FLOATER"/>
    <n v="97320"/>
    <n v="2.5"/>
    <n v="2433"/>
    <s v="Hyderabad"/>
    <n v="424816"/>
    <s v="NE"/>
    <m/>
    <s v="Prasanna Vadhana"/>
    <s v="Manisha Marda"/>
    <x v="120"/>
    <n v="3377"/>
    <s v="Rushiraj"/>
    <m/>
    <m/>
    <m/>
    <m/>
    <s v="NE"/>
  </r>
  <r>
    <x v="3"/>
    <m/>
    <n v="212203"/>
    <s v="CBO 13 N-34 C.PLACE"/>
    <s v="OIC/23-24/1595"/>
    <s v="212203/31/2024/903"/>
    <n v="0"/>
    <s v="NORTHERN REGIONAL POWER COMMITTEE"/>
    <d v="2023-07-14T00:00:00"/>
    <d v="2024-07-13T00:00:00"/>
    <s v="MOT-PRD-012"/>
    <s v="PRIVATE CAR-(3 Years)"/>
    <n v="12699"/>
    <n v="16.284746830459092"/>
    <n v="2068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212203"/>
    <s v="CBO 13 N-34 C.PLACE"/>
    <s v="OIC/23-24/1597"/>
    <s v="212203/31/2024/1054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598"/>
    <s v="212203/31/2024/1056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540000"/>
    <s v="CBO BANGALORE"/>
    <s v="OIC/23-24/1599"/>
    <s v="421300/48/2024/393"/>
    <n v="3"/>
    <s v="WAFER SPACE SEMICONDUCTOR TECHNOLOGIES PVT. LTD."/>
    <d v="2023-04-17T00:00:00"/>
    <d v="2024-04-16T00:00:00"/>
    <s v="MIST-PRD-001"/>
    <s v="GPA - NAMED"/>
    <n v="-303"/>
    <n v="7.5907590759075916"/>
    <n v="-23"/>
    <s v="Bangalore"/>
    <n v="437069"/>
    <s v="NE"/>
    <m/>
    <s v="Jaya Chitra.M"/>
    <s v="Deep Shikha"/>
    <x v="114"/>
    <n v="3393"/>
    <s v="Rushiraj"/>
    <m/>
    <m/>
    <m/>
    <m/>
    <s v="NE"/>
  </r>
  <r>
    <x v="3"/>
    <m/>
    <n v="163600"/>
    <s v="DO IV PUNE"/>
    <s v="OIC/23-24/1604"/>
    <s v="163600/11/2024/135"/>
    <n v="0"/>
    <s v="BARAMATI AGRO LIMITED"/>
    <d v="2023-07-18T00:00:00"/>
    <d v="2024-07-17T00:00:00"/>
    <s v="FIR-PRD-010"/>
    <s v="ORIENTAL BHARAT SOOKSHMA UDYAM SURAKSHA POLICY"/>
    <n v="25475"/>
    <n v="18.00981354268891"/>
    <n v="4588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421200"/>
    <s v="DO2 BANGALORE"/>
    <s v="OIC/23-24/1606"/>
    <s v="421200/48/2023/4442"/>
    <n v="7"/>
    <s v="Mobileum (India) Private Limited"/>
    <d v="2023-01-10T00:00:00"/>
    <d v="2024-01-09T00:00:00"/>
    <s v="MIST-PRD-890"/>
    <s v="GROUP MEDICLAIM -TAILORMADE-RISK FLOATER"/>
    <n v="4211776"/>
    <n v="8.1205885593155944"/>
    <n v="342021"/>
    <s v="Mumbai"/>
    <n v="441195"/>
    <s v="NE"/>
    <m/>
    <s v="Saraswati Shetty"/>
    <s v="Pravin Arun Jagtap"/>
    <x v="123"/>
    <n v="3362"/>
    <s v="Rushiraj"/>
    <m/>
    <m/>
    <m/>
    <m/>
    <s v="NE"/>
  </r>
  <r>
    <x v="3"/>
    <m/>
    <n v="212203"/>
    <s v="CBO 13 N-34 C.PLACE"/>
    <s v="OIC/23-24/1608"/>
    <s v="212203/31/2024/1048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609"/>
    <s v="212203/31/2024/1050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611"/>
    <s v="212203/31/2024/920"/>
    <n v="0"/>
    <s v="MINISTRY OF AYUSH"/>
    <d v="2023-07-20T00:00:00"/>
    <d v="2024-07-19T00:00:00"/>
    <s v="MOT-PRD-015"/>
    <s v="STANDALONE OWN DAMAGE(OD)-PRIVATE CAR"/>
    <n v="8111"/>
    <n v="14.991986191591666"/>
    <n v="1216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212203"/>
    <s v="CBO 13 N-34 C.PLACE"/>
    <s v="OIC/23-24/1614"/>
    <s v="212203/31/2024/906"/>
    <n v="0"/>
    <s v="PAWAN HANS LIMITED"/>
    <d v="2023-07-14T00:00:00"/>
    <d v="2024-07-13T00:00:00"/>
    <s v="MOT-PRD-012"/>
    <s v="PRIVATE CAR-(3 Years)"/>
    <n v="12699"/>
    <n v="16.284746830459092"/>
    <n v="2068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411700"/>
    <s v="DO 7 CHENNAI"/>
    <s v="OIC/23-24/1615"/>
    <s v="411700/48/2023/2423"/>
    <n v="13"/>
    <s v="FINANCIAL SOFTWARE &amp; SYSTEMS (P) LTD."/>
    <d v="2022-10-01T00:00:00"/>
    <d v="2023-09-30T00:00:00"/>
    <s v="MIST-PRD-890"/>
    <s v="GROUP MEDICLAIM -TAILORMADE-RISK FLOATER"/>
    <n v="-28650"/>
    <n v="1.5008726003490402"/>
    <n v="-430"/>
    <s v="Chennai"/>
    <n v="409570"/>
    <s v="NE"/>
    <m/>
    <s v="Sudha S"/>
    <s v="Ajith Adithyan"/>
    <x v="112"/>
    <n v="3397"/>
    <s v="Rushiraj"/>
    <m/>
    <m/>
    <m/>
    <m/>
    <s v="NE"/>
  </r>
  <r>
    <x v="3"/>
    <m/>
    <n v="212203"/>
    <s v="CBO 13 N-34 C.PLACE"/>
    <s v="OIC/23-24/1616"/>
    <s v="212203/31/2024/818"/>
    <n v="0"/>
    <s v="V O CHIDAMBARANAR PORT TRUST"/>
    <d v="2023-07-07T00:00:00"/>
    <d v="2024-07-06T00:00:00"/>
    <s v="MOT-PRD-015"/>
    <s v="STANDALONE OWN DAMAGE(OD)-PRIVATE CAR"/>
    <n v="5727"/>
    <n v="14.999126942552818"/>
    <n v="859"/>
    <s v="Delhi"/>
    <s v="NE"/>
    <s v="NE"/>
    <m/>
    <s v="Suspense"/>
    <s v="Suspense"/>
    <x v="111"/>
    <n v="3371"/>
    <s v="Rushiraj"/>
    <m/>
    <s v="No"/>
    <m/>
    <m/>
    <s v="NE"/>
  </r>
  <r>
    <x v="3"/>
    <m/>
    <n v="510000"/>
    <s v="CBRO DELHI"/>
    <s v="OIC/23-24/1617"/>
    <s v="510000/48/2024/412"/>
    <n v="2"/>
    <s v="JCB INDIA LIMITED"/>
    <d v="2023-06-27T00:00:00"/>
    <d v="2024-05-31T00:00:00"/>
    <s v="MIST-PRD-061"/>
    <s v="All RISK"/>
    <n v="30"/>
    <n v="12.5"/>
    <n v="3.75"/>
    <s v="Delhi"/>
    <n v="444749"/>
    <s v="NE"/>
    <m/>
    <s v="Rohit Kumar Mendiratta"/>
    <s v="Prikshat Singh"/>
    <x v="110"/>
    <n v="3398"/>
    <s v="Rushiraj"/>
    <m/>
    <m/>
    <m/>
    <m/>
    <s v="NE"/>
  </r>
  <r>
    <x v="3"/>
    <m/>
    <n v="222105"/>
    <s v="KANPUR DEHAT"/>
    <s v="OIC/23-24/1618"/>
    <s v="222105/48/2024/782"/>
    <n v="0"/>
    <s v="DATTARAJ KRISHNARAO BUTLE"/>
    <d v="2023-08-01T00:00:00"/>
    <d v="2024-07-31T00:00:00"/>
    <s v="MIST-PRD-943"/>
    <s v="HAPPY FAMILY FLOATER POLICY-2021"/>
    <n v="43966"/>
    <n v="4.9993176545512439"/>
    <n v="2198"/>
    <s v="Pune"/>
    <s v="NE"/>
    <s v="NE"/>
    <m/>
    <s v="Azmi Raza"/>
    <s v="Salman Shaikh"/>
    <x v="116"/>
    <n v="3374"/>
    <s v="Rushiraj"/>
    <m/>
    <s v="No"/>
    <m/>
    <m/>
    <s v="NE"/>
  </r>
  <r>
    <x v="3"/>
    <m/>
    <n v="222105"/>
    <s v="KANPUR DEHAT"/>
    <s v="OIC/23-24/1619"/>
    <s v="222105/48/2024/758"/>
    <n v="0"/>
    <s v="AMIT SHARMA"/>
    <d v="2023-07-25T00:00:00"/>
    <d v="2024-07-24T00:00:00"/>
    <s v="MIST-PRD-943"/>
    <s v="HAPPY FAMILY FLOATER POLICY-2021"/>
    <n v="23915"/>
    <n v="5.0010453690152623"/>
    <n v="1196"/>
    <s v="Delhi"/>
    <s v="NE"/>
    <s v="NE"/>
    <m/>
    <s v="Kushal Bhatia"/>
    <s v="Ankit Kumar Gangwar"/>
    <x v="116"/>
    <n v="3374"/>
    <s v="Rushiraj"/>
    <m/>
    <s v="No"/>
    <m/>
    <m/>
    <s v="NE"/>
  </r>
  <r>
    <x v="3"/>
    <m/>
    <n v="212203"/>
    <s v="CBO 13 N-34 C.PLACE"/>
    <s v="OIC/23-24/1620"/>
    <s v="212203/31/2024/1051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510000"/>
    <s v="CBRO DELHI"/>
    <s v="OIC/23-24/1621"/>
    <s v="510000/48/2024/225"/>
    <n v="3"/>
    <s v="NXP INDIA PRIVATE LIMITED"/>
    <d v="2023-04-01T00:00:00"/>
    <d v="2024-03-31T00:00:00"/>
    <s v="MIST-PRD-890"/>
    <s v="GROUP MEDICLAIM -TAILORMADE-RISK FLOATER"/>
    <n v="133161"/>
    <n v="2"/>
    <n v="2663.22"/>
    <s v="Delhi"/>
    <n v="427731"/>
    <s v="NE"/>
    <m/>
    <s v="Sonia Schofield"/>
    <s v="Surender Banga"/>
    <x v="110"/>
    <n v="3398"/>
    <s v="Rushiraj"/>
    <m/>
    <m/>
    <m/>
    <m/>
    <s v="NE"/>
  </r>
  <r>
    <x v="3"/>
    <m/>
    <n v="272200"/>
    <s v="DO 3 NEW DELHI"/>
    <s v="OIC/23-24/1622"/>
    <s v="272200/31/2024/673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212203"/>
    <s v="CBO 13 N-34 C.PLACE"/>
    <s v="OIC/23-24/1623"/>
    <s v="212203/31/2024/803"/>
    <n v="0"/>
    <s v="ARTIFICIAL LIMBS MANUFACTURING"/>
    <d v="2023-07-05T00:00:00"/>
    <d v="2024-07-04T00:00:00"/>
    <s v="MOT-PRD-015"/>
    <s v="STANDALONE OWN DAMAGE(OD)-PRIVATE CAR"/>
    <n v="9611"/>
    <n v="14.993236916033711"/>
    <n v="1441"/>
    <s v="Delhi"/>
    <s v="NE"/>
    <s v="NE"/>
    <m/>
    <s v="Suspense"/>
    <s v="Suspense"/>
    <x v="111"/>
    <n v="3371"/>
    <s v="Rushiraj"/>
    <m/>
    <s v="No"/>
    <m/>
    <m/>
    <s v="NE"/>
  </r>
  <r>
    <x v="3"/>
    <m/>
    <n v="212203"/>
    <s v="CBO 13 N-34 C.PLACE"/>
    <s v="OIC/23-24/1624"/>
    <s v="212203/31/2024/701"/>
    <n v="1"/>
    <s v="LESSEE POWER GRID CORPORATION OF INDIA LTD"/>
    <d v="2023-06-21T00:00:00"/>
    <d v="2023-06-21T00:00:00"/>
    <s v="MOT-PRD-012"/>
    <s v="PRIVATE CAR-(3 Years)"/>
    <n v="-12668"/>
    <n v="12.756551941900852"/>
    <n v="-1616"/>
    <s v="Delhi"/>
    <n v="443948"/>
    <s v="NE"/>
    <m/>
    <s v="Saurabh Dwivedi"/>
    <s v="Mohit Mendiratta"/>
    <x v="111"/>
    <n v="3371"/>
    <s v="Rushiraj"/>
    <m/>
    <m/>
    <m/>
    <m/>
    <s v="NE"/>
  </r>
  <r>
    <x v="3"/>
    <m/>
    <n v="510000"/>
    <s v="CBRO DELHI"/>
    <s v="OIC/23-24/1625"/>
    <s v="510000/11/2024/121"/>
    <n v="1"/>
    <s v="JCB INDIA LTD."/>
    <d v="2023-06-01T00:00:00"/>
    <d v="2024-05-31T00:00:00"/>
    <s v="FIR-PRD-003"/>
    <s v="INDUSTRIAL ALL RISK POLICY"/>
    <n v="20108615"/>
    <n v="-4.2102668930704574"/>
    <n v="-846626.36"/>
    <s v="Delhi"/>
    <n v="441862"/>
    <s v="NE"/>
    <m/>
    <s v="Darvesh Panchal"/>
    <s v="Rohit Kumar Mehndiratta"/>
    <x v="110"/>
    <n v="3398"/>
    <s v="Rushiraj"/>
    <m/>
    <m/>
    <m/>
    <m/>
    <s v="NE"/>
  </r>
  <r>
    <x v="3"/>
    <m/>
    <n v="510000"/>
    <s v="CBRO DELHI"/>
    <s v="OIC/23-24/1626"/>
    <s v="510000/11/2024/129"/>
    <n v="1"/>
    <s v="JCB INDIA LIMITED"/>
    <d v="2023-06-01T00:00:00"/>
    <d v="2024-05-31T00:00:00"/>
    <s v="FIR-PRD-003"/>
    <s v="INDUSTRIAL ALL RISK POLICY"/>
    <n v="16481375"/>
    <n v="-3.8893233119202733"/>
    <n v="-641013.96"/>
    <s v="Delhi"/>
    <n v="441870"/>
    <s v="NE"/>
    <m/>
    <s v="Darvesh Panchal"/>
    <s v="Rohit Kumar Mehndiratta"/>
    <x v="110"/>
    <n v="3398"/>
    <s v="Rushiraj"/>
    <m/>
    <m/>
    <m/>
    <m/>
    <s v="NE"/>
  </r>
  <r>
    <x v="3"/>
    <m/>
    <n v="431500"/>
    <s v="DO IV HYDERABAD"/>
    <s v="OIC/23-24/1627"/>
    <s v="431500/48/2023/3633"/>
    <n v="7"/>
    <s v="WAVEMAKER INDIA PRIVATE LIMITED"/>
    <d v="2023-03-12T00:00:00"/>
    <d v="2024-03-11T00:00:00"/>
    <s v="MIST-PRD-001"/>
    <s v="GPA - NAMED"/>
    <n v="-657"/>
    <n v="7.5007610350076099"/>
    <n v="-49.28"/>
    <s v="Hyderabad"/>
    <n v="424818"/>
    <s v="NE"/>
    <m/>
    <s v="Prasanna Vadhana"/>
    <s v="Manisha Marda"/>
    <x v="120"/>
    <n v="3377"/>
    <s v="Rushiraj"/>
    <m/>
    <m/>
    <m/>
    <m/>
    <s v="NE"/>
  </r>
  <r>
    <x v="3"/>
    <m/>
    <n v="163600"/>
    <s v="DO IV PUNE"/>
    <s v="OIC/23-24/1628"/>
    <s v="163600/11/2024/140"/>
    <n v="0"/>
    <s v="BARAMATI AGRO LIMITED"/>
    <d v="2023-07-27T00:00:00"/>
    <d v="2024-07-26T00:00:00"/>
    <s v="FIR-PRD-010"/>
    <s v="ORIENTAL BHARAT SOOKSHMA UDYAM SURAKSHA POLICY"/>
    <n v="15184"/>
    <n v="17.037671232876711"/>
    <n v="2587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163600"/>
    <s v="DO IV PUNE"/>
    <s v="OIC/23-24/1629"/>
    <s v="163600/11/2024/145"/>
    <n v="0"/>
    <s v="BARAMATI AGRO LIMITED"/>
    <d v="2023-07-27T00:00:00"/>
    <d v="2024-07-26T00:00:00"/>
    <s v="FIR-PRD-010"/>
    <s v="ORIENTAL BHARAT SOOKSHMA UDYAM SURAKSHA POLICY"/>
    <n v="13125"/>
    <n v="19.017142857142858"/>
    <n v="2496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540000"/>
    <s v="CBO BANGALORE"/>
    <s v="OIC/23-24/1632"/>
    <s v="421300/48/2023/928"/>
    <n v="8"/>
    <s v="ATRIA CONVERGENCE TECHNOLOGIES LIMITED"/>
    <d v="2022-09-03T00:00:00"/>
    <d v="2023-09-02T00:00:00"/>
    <s v="MIST-PRD-890"/>
    <s v="GROUP MEDICLAIM -TAILORMADE-RISK FLOATER"/>
    <n v="70111"/>
    <n v="5"/>
    <n v="3505.55"/>
    <s v="Bangalore"/>
    <n v="401739"/>
    <s v="NE"/>
    <m/>
    <s v="Jayachitra M"/>
    <s v="Vinod Kumar Heggadadevanapura Thammaiah"/>
    <x v="114"/>
    <n v="3393"/>
    <s v="Rushiraj"/>
    <m/>
    <m/>
    <m/>
    <m/>
    <s v="NE"/>
  </r>
  <r>
    <x v="3"/>
    <m/>
    <n v="421100"/>
    <s v="CBU Bangalore"/>
    <s v="OIC/23-24/1633"/>
    <s v="421100/48/2024/144"/>
    <n v="1"/>
    <s v="PRECISION PRECAST SOLUTIONS PRIVATE LIMITED"/>
    <d v="2023-05-01T00:00:00"/>
    <d v="2024-04-30T00:00:00"/>
    <s v="MIST-PRD-001"/>
    <s v="GPA - NAMED"/>
    <n v="3647"/>
    <n v="7.5001370989854674"/>
    <n v="273.52999999999997"/>
    <s v="Pune"/>
    <n v="431906"/>
    <s v="NE"/>
    <m/>
    <s v="Shraddha Verma"/>
    <s v="Sanket Surve"/>
    <x v="117"/>
    <n v="3361"/>
    <s v="Rushiraj"/>
    <m/>
    <m/>
    <m/>
    <m/>
    <s v="NE"/>
  </r>
  <r>
    <x v="3"/>
    <m/>
    <n v="212203"/>
    <s v="CBO 13 N-34 C.PLACE"/>
    <s v="OIC/23-24/1634"/>
    <s v="212203/31/2024/976"/>
    <n v="0"/>
    <s v="TIRUMALA TIRUPATHI DEVASTHANAMS"/>
    <d v="2023-07-28T00:00:00"/>
    <d v="2024-07-27T00:00:00"/>
    <s v="MOT-PRD-015"/>
    <s v="STANDALONE OWN DAMAGE(OD)-PRIVATE CAR"/>
    <n v="9254"/>
    <n v="14.998919386211368"/>
    <n v="1388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163600"/>
    <s v="DO IV PUNE"/>
    <s v="OIC/23-24/1636"/>
    <s v="163600/11/2024/136"/>
    <n v="0"/>
    <s v="BARAMATI AGRO LIMITED"/>
    <d v="2023-07-18T00:00:00"/>
    <d v="2024-07-17T00:00:00"/>
    <s v="FIR-PRD-010"/>
    <s v="ORIENTAL BHARAT SOOKSHMA UDYAM SURAKSHA POLICY"/>
    <n v="10069"/>
    <n v="17.300625682788759"/>
    <n v="1742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132100"/>
    <s v="DO - 1"/>
    <s v="OIC/23-24/1637"/>
    <s v="124600/48/2024/639"/>
    <n v="3"/>
    <s v="VISHAY SEMICONDUCTOR INDIA PRIVATE LIMITED"/>
    <d v="2023-05-17T00:00:00"/>
    <d v="2024-03-31T00:00:00"/>
    <s v="MIST-PRD-001"/>
    <s v="GPA - NAMED"/>
    <n v="-2391"/>
    <n v="7.4864073609368464"/>
    <n v="-179"/>
    <s v="Pune"/>
    <n v="443369"/>
    <s v="NE"/>
    <m/>
    <s v="Amarjeet Sahu"/>
    <s v="Shahaji Dhage"/>
    <x v="113"/>
    <n v="3385"/>
    <s v="Rushiraj"/>
    <m/>
    <m/>
    <m/>
    <m/>
    <s v="NE"/>
  </r>
  <r>
    <x v="3"/>
    <m/>
    <n v="540000"/>
    <s v="CBO BANGALORE"/>
    <s v="OIC/23-24/1639"/>
    <s v="421300/48/2023/1317"/>
    <n v="6"/>
    <s v="CREATIVE SYNERGIES CONSULTING INDIA PVT LTD"/>
    <d v="2023-02-07T00:00:00"/>
    <d v="2024-02-06T00:00:00"/>
    <s v="MIST-PRD-001"/>
    <s v="GPA - NAMED"/>
    <n v="1505"/>
    <n v="7.5083056478405314"/>
    <n v="113"/>
    <s v="Bangalore"/>
    <n v="418819"/>
    <s v="NE"/>
    <m/>
    <s v="Jaya Chitra.M"/>
    <s v="Aiyappa Parivaranayaka Mahadeva"/>
    <x v="114"/>
    <n v="3393"/>
    <s v="Rushiraj"/>
    <m/>
    <m/>
    <m/>
    <m/>
    <s v="NE"/>
  </r>
  <r>
    <x v="3"/>
    <m/>
    <n v="212203"/>
    <s v="CBO 13 N-34 C.PLACE"/>
    <s v="OIC/23-24/1642"/>
    <s v="212203/31/2024/1022"/>
    <n v="0"/>
    <s v="TIRUMALA TIRUPATHI DEVASTHANAMS"/>
    <d v="2023-07-30T00:00:00"/>
    <d v="2024-07-29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645"/>
    <s v="212203/31/2024/982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163600"/>
    <s v="DO IV PUNE"/>
    <s v="OIC/23-24/1646"/>
    <s v="163600/11/2024/143"/>
    <n v="0"/>
    <s v="BARAMATI AGRO LIMITED"/>
    <d v="2023-07-27T00:00:00"/>
    <d v="2024-07-26T00:00:00"/>
    <s v="FIR-PRD-010"/>
    <s v="ORIENTAL BHARAT SOOKSHMA UDYAM SURAKSHA POLICY"/>
    <n v="5244"/>
    <n v="17.143401983218919"/>
    <n v="899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212203"/>
    <s v="CBO 13 N-34 C.PLACE"/>
    <s v="OIC/23-24/1647"/>
    <s v="212203/31/2024/905"/>
    <n v="0"/>
    <s v="PAWAN HANS LIMITED"/>
    <d v="2023-07-14T00:00:00"/>
    <d v="2024-07-13T00:00:00"/>
    <s v="MOT-PRD-012"/>
    <s v="PRIVATE CAR-(3 Years)"/>
    <n v="12699"/>
    <n v="16.284746830459092"/>
    <n v="2068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222104"/>
    <s v="CBO 1 KANPUR"/>
    <s v="OIC/23-24/1648"/>
    <s v="222104/48/2022/1547"/>
    <n v="20"/>
    <s v="ORIENT ELECTRIC LIMITED"/>
    <d v="2022-03-06T00:00:00"/>
    <d v="2023-03-05T00:00:00"/>
    <s v="MIST-PRD-001"/>
    <s v="GPA - NAMED"/>
    <n v="-659"/>
    <n v="7.5007587253414263"/>
    <n v="-49.43"/>
    <s v="Delhi"/>
    <n v="380690"/>
    <s v="NE"/>
    <m/>
    <s v="Sonia Schofield"/>
    <s v="Surender Banga"/>
    <x v="119"/>
    <n v="3373"/>
    <s v="Rushiraj"/>
    <m/>
    <m/>
    <m/>
    <m/>
    <s v="NE"/>
  </r>
  <r>
    <x v="3"/>
    <m/>
    <n v="510000"/>
    <s v="CBRO DELHI"/>
    <s v="OIC/23-24/1649"/>
    <s v="510000/48/2023/1456"/>
    <n v="8"/>
    <s v="M/S R.SYSTEMS INTERNATIONAL LTD."/>
    <d v="2023-02-07T00:00:00"/>
    <d v="2024-01-26T00:00:00"/>
    <s v="MIST-PRD-050"/>
    <s v="OFFICE UMBRELLA"/>
    <n v="158"/>
    <n v="12.531645569620252"/>
    <n v="19.8"/>
    <s v="Delhi"/>
    <n v="423534"/>
    <s v="E3"/>
    <m/>
    <s v="Sumit Gupta"/>
    <s v="Sahil Wadhwa"/>
    <x v="110"/>
    <n v="3398"/>
    <s v="Rushiraj"/>
    <m/>
    <m/>
    <s v="Brokerage % need to update in saiba"/>
    <m/>
    <s v="Modification"/>
  </r>
  <r>
    <x v="3"/>
    <m/>
    <n v="510000"/>
    <s v="CBRO DELHI"/>
    <s v="OIC/23-24/1650"/>
    <s v="510000/48/2024/467"/>
    <n v="0"/>
    <s v="ANKUR GUPTA"/>
    <d v="2023-07-08T00:00:00"/>
    <d v="2024-07-07T00:00:00"/>
    <s v="MIST-PRD-943"/>
    <s v="HAPPY FAMILY FLOATER POLICY-2021"/>
    <n v="45123"/>
    <n v="4.9996675752941959"/>
    <n v="2256"/>
    <s v="Delhi"/>
    <s v="NE"/>
    <s v="NE"/>
    <m/>
    <s v="Kushal Bhatia"/>
    <s v="Navneet Arora"/>
    <x v="110"/>
    <n v="3398"/>
    <s v="Rushiraj"/>
    <m/>
    <s v="No"/>
    <m/>
    <m/>
    <s v="NE"/>
  </r>
  <r>
    <x v="3"/>
    <m/>
    <n v="212203"/>
    <s v="CBO 13 N-34 C.PLACE"/>
    <s v="OIC/23-24/1653"/>
    <s v="212203/31/2024/904"/>
    <n v="0"/>
    <s v="PAWAN HANS LIMITED"/>
    <d v="2023-07-14T00:00:00"/>
    <d v="2024-07-13T00:00:00"/>
    <s v="MOT-PRD-012"/>
    <s v="PRIVATE CAR-(3 Years)"/>
    <n v="12699"/>
    <n v="16.284746830459092"/>
    <n v="2068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510000"/>
    <s v="CBRO DELHI"/>
    <s v="OIC/23-24/1654"/>
    <s v="510000/48/2024/549"/>
    <n v="0"/>
    <s v="Omicron Energy Solutions Pvt. Ltd"/>
    <d v="2023-07-25T00:00:00"/>
    <d v="2024-07-21T00:00:00"/>
    <s v="MIST-PRD-049"/>
    <s v="SPECIAL CONTINGENCY - POLICY"/>
    <n v="281193"/>
    <n v="12.499955546546323"/>
    <n v="35149"/>
    <s v="Delhi"/>
    <s v="NE"/>
    <s v="NE"/>
    <m/>
    <s v="Namit Malhotra"/>
    <s v="Rahul Arora"/>
    <x v="110"/>
    <n v="3398"/>
    <s v="Rushiraj"/>
    <n v="221702"/>
    <s v="Yes"/>
    <m/>
    <m/>
    <s v="RFQ"/>
  </r>
  <r>
    <x v="3"/>
    <m/>
    <n v="212203"/>
    <s v="CBO 13 N-34 C.PLACE"/>
    <s v="OIC/23-24/1655"/>
    <s v="212203/31/2024/1046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510000"/>
    <s v="CBRO DELHI"/>
    <s v="OIC/23-24/1665"/>
    <s v="510000/48/2024/548"/>
    <n v="0"/>
    <s v="JETSYNTHESYS PRIVATE LIMITED"/>
    <d v="2023-07-25T00:00:00"/>
    <d v="2024-07-06T00:00:00"/>
    <s v="MIST-PRD-890"/>
    <s v="GROUP MEDICLAIM -TAILORMADE-RISK FLOATER"/>
    <n v="4883067"/>
    <n v="2.9999997952106741"/>
    <n v="146492"/>
    <s v="Mumbai"/>
    <s v="NE"/>
    <s v="NE"/>
    <m/>
    <s v="Saraswati Shetty"/>
    <s v="Pravin Arun Jagtap"/>
    <x v="110"/>
    <n v="3398"/>
    <s v="Rushiraj"/>
    <m/>
    <s v="No"/>
    <m/>
    <m/>
    <s v="NE"/>
  </r>
  <r>
    <x v="3"/>
    <m/>
    <n v="215600"/>
    <s v="DO 4 NEW DELHI"/>
    <s v="OIC/23-24/1666"/>
    <s v="215600/48/2023/1309"/>
    <n v="7"/>
    <s v="M/S TIMEX GROUP INDIA LIMITED"/>
    <d v="2022-08-04T00:00:00"/>
    <d v="2023-08-03T00:00:00"/>
    <s v="MIST-PRD-890"/>
    <s v="GROUP MEDICLAIM -TAILORMADE-RISK FLOATER"/>
    <n v="23825"/>
    <n v="6.5000209863588676"/>
    <n v="1548.63"/>
    <s v="Delhi"/>
    <n v="397246"/>
    <s v="NE"/>
    <m/>
    <s v="Raju Kumar"/>
    <s v="Sarfuddin Ansari"/>
    <x v="122"/>
    <n v="3372"/>
    <s v="Rushiraj"/>
    <m/>
    <m/>
    <m/>
    <m/>
    <s v="NE"/>
  </r>
  <r>
    <x v="3"/>
    <m/>
    <n v="510000"/>
    <s v="CBRO DELHI"/>
    <s v="OIC/23-24/1667"/>
    <s v="510000/48/2024/578"/>
    <n v="0"/>
    <s v="JCB INDIA LIMITED"/>
    <d v="2023-06-01T00:00:00"/>
    <d v="2024-05-31T00:00:00"/>
    <s v="MIST-PRD-890"/>
    <s v="GROUP MEDICLAIM -TAILORMADE-RISK FLOATER"/>
    <n v="3598845"/>
    <n v="2.9999902746575642"/>
    <n v="107965"/>
    <s v="Pune"/>
    <s v="NE"/>
    <s v="NE"/>
    <m/>
    <s v="Atul Chordiya"/>
    <s v="Amit Rokade"/>
    <x v="110"/>
    <n v="3398"/>
    <s v="Rushiraj"/>
    <m/>
    <s v="No"/>
    <m/>
    <m/>
    <s v="NE"/>
  </r>
  <r>
    <x v="3"/>
    <m/>
    <n v="510000"/>
    <s v="CBRO DELHI"/>
    <s v="OIC/23-24/1669"/>
    <s v="510000/48/2024/518"/>
    <n v="0"/>
    <s v="JCB POWER PRODUCTS INDIA PVT. LTD."/>
    <d v="2023-07-18T00:00:00"/>
    <d v="2024-05-31T00:00:00"/>
    <s v="MIST-PRD-061"/>
    <s v="All RISK"/>
    <n v="753"/>
    <n v="12.48339973439575"/>
    <n v="94"/>
    <s v="Delhi"/>
    <s v="NE"/>
    <s v="NE"/>
    <m/>
    <s v="Darvesh Panchal"/>
    <s v="Rohit Kumar Mehndiratta"/>
    <x v="110"/>
    <n v="3398"/>
    <s v="Rushiraj"/>
    <m/>
    <s v="No"/>
    <m/>
    <m/>
    <s v="NE"/>
  </r>
  <r>
    <x v="3"/>
    <m/>
    <n v="431500"/>
    <s v="DO IV HYDERABAD"/>
    <s v="OIC/23-24/1670"/>
    <s v="431500/48/2024/1202"/>
    <n v="2"/>
    <s v="SILABS INDIA PRIVATE LIMITED"/>
    <d v="2023-07-12T00:00:00"/>
    <d v="2024-04-28T00:00:00"/>
    <s v="MIST-PRD-890"/>
    <s v="GROUP MEDICLAIM -TAILORMADE-RISK FLOATER"/>
    <n v="15577"/>
    <n v="7.50003209860692"/>
    <n v="1168.28"/>
    <s v="Hyderabad"/>
    <n v="445823"/>
    <s v="NE"/>
    <m/>
    <s v="Rani Sudhakar Ranipeta"/>
    <s v="Prasanna Vadhana"/>
    <x v="120"/>
    <n v="3377"/>
    <s v="Rushiraj"/>
    <m/>
    <m/>
    <m/>
    <m/>
    <s v="NE"/>
  </r>
  <r>
    <x v="3"/>
    <m/>
    <n v="212203"/>
    <s v="CBO 13 N-34 C.PLACE"/>
    <s v="OIC/23-24/1671"/>
    <s v="212203/31/2024/985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431500"/>
    <s v="DO IV HYDERABAD"/>
    <s v="OIC/23-24/1672"/>
    <s v="431500/48/2023/3635"/>
    <n v="10"/>
    <s v="WAVEMAKER INDIA PRIVATE LIMITED"/>
    <d v="2023-03-15T00:00:00"/>
    <d v="2024-03-14T00:00:00"/>
    <s v="MIST-PRD-890"/>
    <s v="GROUP MEDICLAIM -TAILORMADE-RISK FLOATER"/>
    <n v="13239"/>
    <n v="7.5000377672029614"/>
    <n v="992.93"/>
    <s v="Hyderabad"/>
    <n v="424815"/>
    <s v="NE"/>
    <m/>
    <s v="Prasanna Vadhana"/>
    <s v="Manisha Marda"/>
    <x v="120"/>
    <n v="3377"/>
    <s v="Rushiraj"/>
    <m/>
    <m/>
    <m/>
    <m/>
    <s v="NE"/>
  </r>
  <r>
    <x v="3"/>
    <m/>
    <n v="212203"/>
    <s v="CBO 13 N-34 C.PLACE"/>
    <s v="OIC/23-24/1675"/>
    <s v="212203/11/2024/2"/>
    <n v="3"/>
    <s v="HAVELLS INDIA LTD"/>
    <d v="2023-04-01T00:00:00"/>
    <d v="2024-03-31T00:00:00"/>
    <s v="FIR-PRD-003"/>
    <s v="INDUSTRIAL ALL RISK POLICY"/>
    <n v="1754567"/>
    <n v="11.499988316205652"/>
    <n v="201775"/>
    <s v="Delhi"/>
    <n v="434338"/>
    <s v="NE"/>
    <m/>
    <s v="Malika Umrail Khanna"/>
    <s v="Nisha Sethi"/>
    <x v="111"/>
    <n v="3371"/>
    <s v="Rushiraj"/>
    <m/>
    <m/>
    <m/>
    <m/>
    <s v="NE"/>
  </r>
  <r>
    <x v="3"/>
    <m/>
    <n v="163600"/>
    <s v="DO IV PUNE"/>
    <s v="OIC/23-24/1677"/>
    <s v="163600/11/2024/137"/>
    <n v="0"/>
    <s v="BARAMATI AGRO LIMITED"/>
    <d v="2023-07-18T00:00:00"/>
    <d v="2024-07-17T00:00:00"/>
    <s v="FIR-PRD-010"/>
    <s v="ORIENTAL BHARAT SOOKSHMA UDYAM SURAKSHA POLICY"/>
    <n v="7963"/>
    <n v="17.00364184352631"/>
    <n v="1354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510000"/>
    <s v="CBRO DELHI"/>
    <s v="OIC/23-24/1678"/>
    <s v="510000/48/2024/155"/>
    <n v="4"/>
    <s v="NUCLEUS SOFTWARE EXPORT LIMITED"/>
    <d v="2023-04-01T00:00:00"/>
    <d v="2024-03-31T00:00:00"/>
    <s v="MIST-PRD-890"/>
    <s v="GROUP MEDICLAIM -TAILORMADE-RISK FLOATER"/>
    <n v="-7199"/>
    <n v="0"/>
    <n v="0"/>
    <s v="Delhi"/>
    <n v="435884"/>
    <s v="NE"/>
    <m/>
    <s v="Abhishek Sharma"/>
    <s v="Ishita Sharma"/>
    <x v="110"/>
    <n v="3398"/>
    <s v="Rushiraj"/>
    <m/>
    <m/>
    <m/>
    <m/>
    <s v="NE"/>
  </r>
  <r>
    <x v="3"/>
    <m/>
    <n v="411600"/>
    <s v="DO 6 CHENNAI"/>
    <s v="OIC/23-24/1681"/>
    <s v="411600/48/2024/740"/>
    <n v="0"/>
    <s v="JOYSON ANAND ABHISHEK SAFETY SYSTEMS PRIVATE LIMITED"/>
    <d v="2023-06-19T00:00:00"/>
    <d v="2024-06-18T00:00:00"/>
    <s v="MIST-PRD-001"/>
    <s v="GPA - NAMED"/>
    <n v="125895"/>
    <n v="7.4006116207951065"/>
    <n v="9317"/>
    <s v="Chennai"/>
    <n v="440911"/>
    <s v="0"/>
    <m/>
    <s v="Meenakshi Menon"/>
    <s v="Muthahara Khan"/>
    <x v="125"/>
    <n v="3364"/>
    <s v="Rushiraj"/>
    <m/>
    <m/>
    <s v="Premium Mismatched"/>
    <m/>
    <s v="Modification"/>
  </r>
  <r>
    <x v="3"/>
    <m/>
    <n v="215600"/>
    <s v="DO 4 NEW DELHI"/>
    <s v="OIC/23-24/1682"/>
    <s v="215600/44/2024/21"/>
    <n v="0"/>
    <s v="M/S LUMAX MANAGEMENT SERVICES PVT. LTD."/>
    <d v="2023-07-01T00:00:00"/>
    <d v="2024-06-30T00:00:00"/>
    <s v="ENG-PRD-004"/>
    <s v="MACHINERY BREAKDOWN INSURANCE"/>
    <n v="34038"/>
    <n v="15.000881367882954"/>
    <n v="5106"/>
    <s v="Delhi"/>
    <n v="443673"/>
    <s v="0"/>
    <m/>
    <s v="Rohit Kumar Mendiratta"/>
    <s v="Prince Tayal"/>
    <x v="122"/>
    <n v="3372"/>
    <s v="Rushiraj"/>
    <m/>
    <m/>
    <s v="Premium Mismatched"/>
    <m/>
    <s v="Modification"/>
  </r>
  <r>
    <x v="3"/>
    <m/>
    <n v="212203"/>
    <s v="CBO 13 N-34 C.PLACE"/>
    <s v="OIC/23-24/1685"/>
    <s v="212203/31/2024/987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22105"/>
    <s v="KANPUR DEHAT"/>
    <s v="OIC/23-24/1686"/>
    <s v="222105/48/2024/753"/>
    <n v="0"/>
    <s v="ANUJ BHANDARI"/>
    <d v="2023-07-21T00:00:00"/>
    <d v="2024-07-20T00:00:00"/>
    <s v="MIST-PRD-943"/>
    <s v="HAPPY FAMILY FLOATER POLICY-2021"/>
    <n v="58022"/>
    <n v="4.9998276515804347"/>
    <n v="2901"/>
    <s v="Delhi"/>
    <s v="NE"/>
    <s v="NE"/>
    <m/>
    <s v="Kushal Bhatia"/>
    <s v="Navneet Arora"/>
    <x v="116"/>
    <n v="3374"/>
    <s v="Rushiraj"/>
    <m/>
    <s v="No"/>
    <m/>
    <m/>
    <s v="NE"/>
  </r>
  <r>
    <x v="3"/>
    <m/>
    <n v="272200"/>
    <s v="DO 3 NEW DELHI"/>
    <s v="OIC/23-24/1689"/>
    <s v="272200/31/2024/675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411700"/>
    <s v="DO 7 CHENNAI"/>
    <s v="OIC/23-24/1690"/>
    <s v="411700/48/2023/2420"/>
    <n v="14"/>
    <s v="FINANCIAL SOFTWARE &amp; SYSTEMS (P) LTD."/>
    <d v="2022-10-01T00:00:00"/>
    <d v="2023-09-30T00:00:00"/>
    <s v="MIST-PRD-890"/>
    <s v="GROUP MEDICLAIM -TAILORMADE-RISK FLOATER"/>
    <n v="27983"/>
    <n v="1.0006075117035342"/>
    <n v="280"/>
    <s v="Chennai"/>
    <n v="407988"/>
    <s v="NE"/>
    <m/>
    <s v="Sudha S"/>
    <s v="Ajith Adithyan"/>
    <x v="112"/>
    <n v="3397"/>
    <s v="Rushiraj"/>
    <m/>
    <m/>
    <m/>
    <m/>
    <s v="NE"/>
  </r>
  <r>
    <x v="3"/>
    <m/>
    <n v="540000"/>
    <s v="CBO BANGALORE"/>
    <s v="OIC/23-24/1691"/>
    <s v="421300/48/2024/482"/>
    <n v="1"/>
    <s v="SSP INDIA PRIVATE LIMITED"/>
    <d v="2023-06-07T00:00:00"/>
    <d v="2024-06-06T00:00:00"/>
    <s v="MIST-PRD-890"/>
    <s v="GROUP MEDICLAIM -TAILORMADE-RISK FLOATER"/>
    <n v="-10400"/>
    <n v="7"/>
    <n v="-728"/>
    <s v="Delhi"/>
    <n v="438851"/>
    <s v="NE"/>
    <m/>
    <s v="Rajiv Choudhary"/>
    <s v="Ashwini Kumar Srivastava"/>
    <x v="114"/>
    <n v="3393"/>
    <s v="Rushiraj"/>
    <m/>
    <m/>
    <m/>
    <m/>
    <s v="NE"/>
  </r>
  <r>
    <x v="3"/>
    <m/>
    <n v="212203"/>
    <s v="CBO 13 N-34 C.PLACE"/>
    <s v="OIC/23-24/1692"/>
    <s v="212203/31/2024/800"/>
    <n v="0"/>
    <s v="EXPORT CREDIT GUARANTEE CORPORATION"/>
    <d v="2023-07-05T00:00:00"/>
    <d v="2024-07-04T00:00:00"/>
    <s v="MOT-PRD-015"/>
    <s v="STANDALONE OWN DAMAGE(OD)-PRIVATE CAR"/>
    <n v="8111"/>
    <n v="14.991986191591666"/>
    <n v="1216"/>
    <s v="Delhi"/>
    <s v="NE"/>
    <s v="NE"/>
    <m/>
    <s v="Suspense"/>
    <s v="Suspense"/>
    <x v="111"/>
    <n v="3371"/>
    <s v="Rushiraj"/>
    <m/>
    <s v="No"/>
    <m/>
    <m/>
    <s v="NE"/>
  </r>
  <r>
    <x v="3"/>
    <m/>
    <n v="212203"/>
    <s v="CBO 13 N-34 C.PLACE"/>
    <s v="OIC/23-24/1693"/>
    <s v="212203/31/2024/702"/>
    <n v="1"/>
    <s v="LESSEE POWER GRID CORPORATION OF INDIA LTD"/>
    <d v="2023-06-21T00:00:00"/>
    <d v="2023-06-21T00:00:00"/>
    <s v="MOT-PRD-012"/>
    <s v="PRIVATE CAR-(3 Years)"/>
    <n v="-12668"/>
    <n v="12.756551941900852"/>
    <n v="-1616"/>
    <s v="Delhi"/>
    <n v="443949"/>
    <s v="NE"/>
    <m/>
    <s v="Saurabh Dwivedi"/>
    <s v="Mohit Mendiratta"/>
    <x v="111"/>
    <n v="3371"/>
    <s v="Rushiraj"/>
    <m/>
    <m/>
    <m/>
    <m/>
    <s v="NE"/>
  </r>
  <r>
    <x v="3"/>
    <m/>
    <n v="510000"/>
    <s v="CBRO DELHI"/>
    <s v="OIC/23-24/1696"/>
    <s v="510000/48/2024/517"/>
    <n v="0"/>
    <s v="JCB POWER PRODUCTS INDIA PVT. LTD."/>
    <d v="2023-06-01T00:00:00"/>
    <d v="2024-05-31T00:00:00"/>
    <s v="MIST-PRD-031"/>
    <s v="PUBLIC LIABILITY INDUSTRIAL"/>
    <n v="10001"/>
    <n v="12.498750124987501"/>
    <n v="1250"/>
    <s v="Delhi"/>
    <s v="NE"/>
    <s v="NE"/>
    <m/>
    <s v="Darvesh Panchal"/>
    <s v="Rohit Kumar Mehndiratta"/>
    <x v="110"/>
    <n v="3398"/>
    <s v="Rushiraj"/>
    <m/>
    <s v="No"/>
    <m/>
    <m/>
    <s v="NE"/>
  </r>
  <r>
    <x v="3"/>
    <m/>
    <n v="222104"/>
    <s v="CBO 1 KANPUR"/>
    <s v="OIC/23-24/1697"/>
    <s v="222104/48/2023/900"/>
    <n v="5"/>
    <s v="NIVA BUPA HEALTH INSURANCE COMPANY LIMITED"/>
    <d v="2022-10-24T00:00:00"/>
    <d v="2023-10-23T00:00:00"/>
    <s v="MIST-PRD-001"/>
    <s v="GPA - NAMED"/>
    <n v="28106"/>
    <n v="7.4999999999999991"/>
    <n v="2107.9499999999998"/>
    <s v="Delhi"/>
    <n v="406280"/>
    <s v="NE"/>
    <m/>
    <s v="Vitty Pandita"/>
    <s v="Naresh Joshi"/>
    <x v="119"/>
    <n v="3373"/>
    <s v="Rushiraj"/>
    <m/>
    <m/>
    <m/>
    <m/>
    <s v="NE"/>
  </r>
  <r>
    <x v="3"/>
    <m/>
    <n v="212203"/>
    <s v="CBO 13 N-34 C.PLACE"/>
    <s v="OIC/23-24/1700"/>
    <s v="212203/31/2024/1047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701"/>
    <s v="212203/31/2024/963"/>
    <n v="0"/>
    <s v="PAWAN HANS LIMITED"/>
    <d v="2023-07-19T00:00:00"/>
    <d v="2024-07-18T00:00:00"/>
    <s v="MOT-PRD-012"/>
    <s v="PRIVATE CAR-(3 Years)"/>
    <n v="12698"/>
    <n v="16.286029295952119"/>
    <n v="2068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510000"/>
    <s v="CBRO DELHI"/>
    <s v="OIC/23-24/1702"/>
    <s v="510000/48/2024/204"/>
    <n v="3"/>
    <s v="NXP INDIA PRIVATE LIMITED"/>
    <d v="2023-04-01T00:00:00"/>
    <d v="2024-03-31T00:00:00"/>
    <s v="MIST-PRD-890"/>
    <s v="GROUP MEDICLAIM -TAILORMADE-RISK FLOATER"/>
    <n v="-185137"/>
    <n v="2"/>
    <n v="-3702.74"/>
    <s v="Delhi"/>
    <n v="427737"/>
    <s v="NE"/>
    <m/>
    <s v="Sonia Schofield"/>
    <s v="Surender Banga"/>
    <x v="110"/>
    <n v="3398"/>
    <s v="Rushiraj"/>
    <m/>
    <m/>
    <m/>
    <m/>
    <s v="NE"/>
  </r>
  <r>
    <x v="3"/>
    <m/>
    <n v="510000"/>
    <s v="CBRO DELHI"/>
    <s v="OIC/23-24/1703"/>
    <s v="510000/48/2024/203"/>
    <n v="2"/>
    <s v="NXP INDIA PRIVATE LIMITED"/>
    <d v="2023-04-01T00:00:00"/>
    <d v="2024-03-31T00:00:00"/>
    <s v="MIST-PRD-890"/>
    <s v="GROUP MEDICLAIM -TAILORMADE-RISK FLOATER"/>
    <n v="38982"/>
    <n v="2"/>
    <n v="779.64"/>
    <s v="Delhi"/>
    <n v="427733"/>
    <s v="NE"/>
    <m/>
    <s v="Sonia Schofield"/>
    <s v="Surender Banga"/>
    <x v="110"/>
    <n v="3398"/>
    <s v="Rushiraj"/>
    <m/>
    <m/>
    <m/>
    <m/>
    <s v="NE"/>
  </r>
  <r>
    <x v="3"/>
    <m/>
    <n v="163600"/>
    <s v="DO IV PUNE"/>
    <s v="OIC/23-24/1704"/>
    <s v="163600/11/2024/144"/>
    <n v="0"/>
    <s v="BARAMATI AGRO LIMITED"/>
    <d v="2023-07-27T00:00:00"/>
    <d v="2024-07-26T00:00:00"/>
    <s v="FIR-PRD-010"/>
    <s v="ORIENTAL BHARAT SOOKSHMA UDYAM SURAKSHA POLICY"/>
    <n v="20682"/>
    <n v="17.561164297456727"/>
    <n v="3632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510000"/>
    <s v="CBRO DELHI"/>
    <s v="OIC/23-24/1705"/>
    <s v="510000/48/2024/490"/>
    <n v="0"/>
    <s v="JCB INDIA LIMITED"/>
    <d v="2023-07-14T00:00:00"/>
    <d v="2024-07-13T00:00:00"/>
    <s v="MIST-PRD-751"/>
    <s v="BURGLARY"/>
    <n v="13510"/>
    <n v="12.501850481125093"/>
    <n v="1689"/>
    <s v="Pune"/>
    <s v="NE"/>
    <s v="NE"/>
    <m/>
    <s v="Atul Chordiya"/>
    <s v="Amit Rokade"/>
    <x v="110"/>
    <n v="3398"/>
    <s v="Rushiraj"/>
    <m/>
    <s v="No"/>
    <m/>
    <m/>
    <s v="NE"/>
  </r>
  <r>
    <x v="3"/>
    <m/>
    <n v="212203"/>
    <s v="CBO 13 N-34 C.PLACE"/>
    <s v="OIC/23-24/1707"/>
    <s v="212203/31/2024/1063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708"/>
    <s v="212203/31/2024/1068"/>
    <n v="0"/>
    <s v="POWER GRID CORPORATION OF INDIA LTD"/>
    <d v="2023-07-31T00:00:00"/>
    <d v="2024-07-30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22104"/>
    <s v="CBO 1 KANPUR"/>
    <s v="OIC/23-24/1709"/>
    <s v="222104/48/2022/1547"/>
    <n v="19"/>
    <s v="ORIENT ELECTRIC LIMITED"/>
    <d v="2022-03-06T00:00:00"/>
    <d v="2023-03-05T00:00:00"/>
    <s v="MIST-PRD-001"/>
    <s v="GPA - NAMED"/>
    <n v="1072"/>
    <n v="7.5"/>
    <n v="80.400000000000006"/>
    <s v="Delhi"/>
    <n v="380690"/>
    <s v="NE"/>
    <m/>
    <s v="Sonia Schofield"/>
    <s v="Surender Banga"/>
    <x v="119"/>
    <n v="3373"/>
    <s v="Rushiraj"/>
    <m/>
    <m/>
    <m/>
    <m/>
    <s v="NE"/>
  </r>
  <r>
    <x v="3"/>
    <m/>
    <n v="212203"/>
    <s v="CBO 13 N-34 C.PLACE"/>
    <s v="OIC/23-24/1710"/>
    <s v="212203/31/2024/795"/>
    <n v="0"/>
    <s v="REC LIMITED"/>
    <d v="2023-07-06T00:00:00"/>
    <d v="2024-07-05T00:00:00"/>
    <s v="MOT-PRD-015"/>
    <s v="STANDALONE OWN DAMAGE(OD)-PRIVATE CAR"/>
    <n v="12820"/>
    <n v="15.000000000000002"/>
    <n v="1923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431500"/>
    <s v="DO IV HYDERABAD"/>
    <s v="OIC/23-24/1712"/>
    <s v="431500/48/2023/3633"/>
    <n v="8"/>
    <s v="WAVEMAKER INDIA PRIVATE LIMITED"/>
    <d v="2023-03-12T00:00:00"/>
    <d v="2024-03-11T00:00:00"/>
    <s v="MIST-PRD-001"/>
    <s v="GPA - NAMED"/>
    <n v="636"/>
    <n v="7.5"/>
    <n v="47.7"/>
    <s v="Hyderabad"/>
    <n v="424818"/>
    <s v="NE"/>
    <m/>
    <s v="Prasanna Vadhana"/>
    <s v="Manisha Marda"/>
    <x v="120"/>
    <n v="3377"/>
    <s v="Rushiraj"/>
    <m/>
    <m/>
    <m/>
    <m/>
    <s v="NE"/>
  </r>
  <r>
    <x v="3"/>
    <m/>
    <n v="540000"/>
    <s v="CBO BANGALORE"/>
    <s v="OIC/23-24/1713"/>
    <s v="421300/48/2023/789"/>
    <n v="11"/>
    <s v="ETC MANAGEMENT SERVICES INDIA PRIVATE LIMITED"/>
    <d v="2022-08-06T00:00:00"/>
    <d v="2023-08-05T00:00:00"/>
    <s v="MIST-PRD-890"/>
    <s v="GROUP MEDICLAIM -TAILORMADE-RISK FLOATER"/>
    <n v="16707"/>
    <n v="5"/>
    <n v="835.35"/>
    <s v="Bangalore"/>
    <n v="400929"/>
    <s v="NE"/>
    <m/>
    <s v="Shashikala Ganesh Rao"/>
    <s v="Poorvi Kullegowda"/>
    <x v="114"/>
    <n v="3393"/>
    <s v="Rushiraj"/>
    <m/>
    <m/>
    <m/>
    <m/>
    <s v="NE"/>
  </r>
  <r>
    <x v="3"/>
    <m/>
    <n v="215600"/>
    <s v="DO 4 NEW DELHI"/>
    <s v="OIC/23-24/1714"/>
    <s v="215600/48/2023/2859"/>
    <n v="2"/>
    <s v="TIME MASTER WATCHES AND ACCESSORIES PRIVATE LIMITED"/>
    <d v="2023-03-20T00:00:00"/>
    <d v="2024-03-19T00:00:00"/>
    <s v="MIST-PRD-890"/>
    <s v="GROUP MEDICLAIM -TAILORMADE-RISK FLOATER"/>
    <n v="2224"/>
    <n v="0"/>
    <n v="0"/>
    <s v="Delhi"/>
    <n v="430718"/>
    <s v="NE"/>
    <m/>
    <s v="Raju Kumar"/>
    <s v="Sarfuddin Ansari"/>
    <x v="122"/>
    <n v="3372"/>
    <s v="Rushiraj"/>
    <m/>
    <m/>
    <m/>
    <m/>
    <s v="NE"/>
  </r>
  <r>
    <x v="3"/>
    <m/>
    <n v="212203"/>
    <s v="CBO 13 N-34 C.PLACE"/>
    <s v="OIC/23-24/1715"/>
    <s v="212203/31/2024/1059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421700"/>
    <s v="DO VII BANGALORE"/>
    <s v="OIC/23-24/1717"/>
    <s v="421700/48/2024/266"/>
    <n v="3"/>
    <s v="UD TRUCKS INDIA PRIVATE LIMITED"/>
    <d v="2023-04-01T00:00:00"/>
    <d v="2024-03-31T00:00:00"/>
    <s v="MIST-PRD-890"/>
    <s v="GROUP MEDICLAIM -TAILORMADE-RISK FLOATER"/>
    <n v="-45440"/>
    <n v="7.5"/>
    <n v="-3408"/>
    <s v="Bangalore"/>
    <n v="440369"/>
    <s v="NE"/>
    <m/>
    <s v="Jaya Chitra.M"/>
    <s v="Sandeep Ambaji Navale"/>
    <x v="126"/>
    <n v="3363"/>
    <s v="Rushiraj"/>
    <m/>
    <m/>
    <m/>
    <m/>
    <s v="NE"/>
  </r>
  <r>
    <x v="3"/>
    <m/>
    <n v="212203"/>
    <s v="CBO 13 N-34 C.PLACE"/>
    <s v="OIC/23-24/1719"/>
    <s v="212203/31/2024/977"/>
    <n v="0"/>
    <s v="TIRUMALA TIRUPATHI DEVASTHANAMS"/>
    <d v="2023-07-28T00:00:00"/>
    <d v="2024-07-27T00:00:00"/>
    <s v="MOT-PRD-015"/>
    <s v="STANDALONE OWN DAMAGE(OD)-PRIVATE CAR"/>
    <n v="9862"/>
    <n v="15.007097951733927"/>
    <n v="1480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421700"/>
    <s v="DO VII BANGALORE"/>
    <s v="OIC/23-24/1720"/>
    <s v="421700/48/2024/266"/>
    <n v="4"/>
    <s v="UD TRUCKS INDIA PRIVATE LIMITED"/>
    <d v="2023-04-01T00:00:00"/>
    <d v="2024-03-31T00:00:00"/>
    <s v="MIST-PRD-890"/>
    <s v="GROUP MEDICLAIM -TAILORMADE-RISK FLOATER"/>
    <n v="84129"/>
    <n v="7.5000059432538135"/>
    <n v="6309.68"/>
    <s v="Bangalore"/>
    <n v="440369"/>
    <s v="NE"/>
    <m/>
    <s v="Jaya Chitra.M"/>
    <s v="Sandeep Ambaji Navale"/>
    <x v="126"/>
    <n v="3363"/>
    <s v="Rushiraj"/>
    <m/>
    <m/>
    <m/>
    <m/>
    <s v="NE"/>
  </r>
  <r>
    <x v="3"/>
    <m/>
    <n v="212203"/>
    <s v="CBO 13 N-34 C.PLACE"/>
    <s v="OIC/23-24/1721"/>
    <s v="212203/31/2024/910"/>
    <n v="0"/>
    <s v="POWER GRID CORPORATION OF INDIA LIMITED"/>
    <d v="2023-07-14T00:00:00"/>
    <d v="2024-07-13T00:00:00"/>
    <s v="MOT-PRD-012"/>
    <s v="PRIVATE CAR-(3 Years)"/>
    <n v="12488"/>
    <n v="16.311659192825111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540000"/>
    <s v="CBO BANGALORE"/>
    <s v="OIC/23-24/1723"/>
    <s v="421300/48/2023/1267"/>
    <n v="5"/>
    <s v="FRESHALICIOUS SUPER BAZAAR PRIVATE LIMITED"/>
    <d v="2022-12-24T00:00:00"/>
    <d v="2023-12-23T00:00:00"/>
    <s v="MIST-PRD-001"/>
    <s v="GPA - NAMED"/>
    <n v="23898"/>
    <n v="7.4985354422964265"/>
    <n v="1792"/>
    <s v="Bangalore"/>
    <s v="NE"/>
    <s v="NE"/>
    <m/>
    <s v="Jaya Chitra.M"/>
    <s v="Raghuram P S"/>
    <x v="114"/>
    <n v="3393"/>
    <s v="Rushiraj"/>
    <m/>
    <m/>
    <m/>
    <m/>
    <s v="NE"/>
  </r>
  <r>
    <x v="3"/>
    <m/>
    <n v="431500"/>
    <s v="DO IV HYDERABAD"/>
    <s v="OIC/23-24/1725"/>
    <s v="431500/48/2023/3635"/>
    <n v="11"/>
    <s v="WAVEMAKER INDIA PRIVATE LIMITED"/>
    <d v="2023-03-15T00:00:00"/>
    <d v="2024-03-14T00:00:00"/>
    <s v="MIST-PRD-890"/>
    <s v="GROUP MEDICLAIM -TAILORMADE-RISK FLOATER"/>
    <n v="7126"/>
    <n v="7.5"/>
    <n v="534.45000000000005"/>
    <s v="Hyderabad"/>
    <n v="424815"/>
    <s v="NE"/>
    <m/>
    <s v="Prasanna Vadhana"/>
    <s v="Manisha Marda"/>
    <x v="120"/>
    <n v="3377"/>
    <s v="Rushiraj"/>
    <m/>
    <m/>
    <m/>
    <m/>
    <s v="NE"/>
  </r>
  <r>
    <x v="3"/>
    <m/>
    <n v="212203"/>
    <s v="CBO 13 N-34 C.PLACE"/>
    <s v="OIC/23-24/1730"/>
    <s v="212203/31/2024/911"/>
    <n v="0"/>
    <s v="POWER GRID CORPORATION OF INDIA LIMITED"/>
    <d v="2023-07-14T00:00:00"/>
    <d v="2024-07-13T00:00:00"/>
    <s v="MOT-PRD-012"/>
    <s v="PRIVATE CAR-(3 Years)"/>
    <n v="12488"/>
    <n v="16.311659192825111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72200"/>
    <s v="DO 3 NEW DELHI"/>
    <s v="OIC/23-24/1732"/>
    <s v="272200/31/2024/674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510000"/>
    <s v="CBRO DELHI"/>
    <s v="OIC/23-24/1735"/>
    <s v="510000/48/2023/616"/>
    <n v="7"/>
    <s v="Sutherland Healthcare Solutions Private Limited"/>
    <d v="2022-04-30T00:00:00"/>
    <d v="2023-04-11T00:00:00"/>
    <s v="MIST-PRD-001"/>
    <s v="GPA - NAMED"/>
    <n v="77"/>
    <n v="7.7922077922077921"/>
    <n v="6"/>
    <s v="Chennai"/>
    <n v="401588"/>
    <s v="NE"/>
    <m/>
    <s v="Payal Batra"/>
    <s v="Aas Mohammad"/>
    <x v="110"/>
    <n v="3398"/>
    <s v="Rushiraj"/>
    <m/>
    <m/>
    <m/>
    <m/>
    <s v="NE"/>
  </r>
  <r>
    <x v="3"/>
    <m/>
    <n v="431500"/>
    <s v="DO IV HYDERABAD"/>
    <s v="OIC/23-24/1736"/>
    <s v="431500/31/2024/1153"/>
    <n v="0"/>
    <s v="ANCON ART PRIVATE COMPANY LIMITED"/>
    <d v="2023-07-30T00:00:00"/>
    <d v="2024-07-29T00:00:00"/>
    <s v="MOT-PRD-016"/>
    <s v="STANDALONE OWN DAMAGE(OD)-TWO WHEELER"/>
    <n v="555"/>
    <n v="14.954954954954955"/>
    <n v="83"/>
    <s v="Hyderabad"/>
    <s v="NE"/>
    <s v="NE"/>
    <m/>
    <s v="Prasanna Vadhana"/>
    <s v="Manisha Marda"/>
    <x v="120"/>
    <n v="3377"/>
    <s v="Rushiraj"/>
    <m/>
    <s v="No"/>
    <m/>
    <m/>
    <s v="NE"/>
  </r>
  <r>
    <x v="3"/>
    <m/>
    <n v="132100"/>
    <s v="DO - 1"/>
    <s v="OIC/23-24/1743"/>
    <s v="124600/48/2024/645"/>
    <n v="2"/>
    <s v="VISHAY SEMICONDUCTOR INDIA PRIVATE LIMITED"/>
    <d v="2023-05-18T00:00:00"/>
    <d v="2024-03-31T00:00:00"/>
    <s v="MIST-PRD-890"/>
    <s v="GROUP MEDICLAIM -TAILORMADE-RISK FLOATER"/>
    <n v="-87835"/>
    <n v="7.5000056924916034"/>
    <n v="-6587.63"/>
    <s v="Pune"/>
    <n v="443352"/>
    <s v="NE"/>
    <m/>
    <s v="Amarjeet Sahu"/>
    <s v="Shahaji Dhage"/>
    <x v="113"/>
    <n v="3385"/>
    <s v="Rushiraj"/>
    <m/>
    <m/>
    <m/>
    <m/>
    <s v="NE"/>
  </r>
  <r>
    <x v="3"/>
    <m/>
    <n v="212203"/>
    <s v="CBO 13 N-34 C.PLACE"/>
    <s v="OIC/23-24/1746"/>
    <s v="212203/31/2024/983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510000"/>
    <s v="CBRO DELHI"/>
    <s v="OIC/23-24/1750"/>
    <s v="510000/48/2023/716"/>
    <n v="13"/>
    <s v="JCB INDIA LIMITED"/>
    <d v="2022-06-01T00:00:00"/>
    <d v="2023-05-31T00:00:00"/>
    <s v="MIST-PRD-001"/>
    <s v="GPA - NAMED"/>
    <n v="76"/>
    <n v="7.8947368421052628"/>
    <n v="6"/>
    <s v="Delhi"/>
    <n v="387264"/>
    <s v="NE"/>
    <m/>
    <s v="Sonia Schofield"/>
    <s v="Vikas Saxena"/>
    <x v="110"/>
    <n v="3398"/>
    <s v="Rushiraj"/>
    <m/>
    <m/>
    <m/>
    <m/>
    <s v="NE"/>
  </r>
  <r>
    <x v="3"/>
    <m/>
    <n v="111900"/>
    <s v="MCDO 14"/>
    <s v="OIC/23-24/1751"/>
    <s v="111900/22/2023/712"/>
    <n v="5"/>
    <s v="M/S.SADHAV SHIPPING LTD. VESSEL:SARVEKSHAK. REG.NO.IMO NO.9554987. YOB: 2016"/>
    <d v="2023-01-25T00:00:00"/>
    <d v="2024-01-24T00:00:00"/>
    <s v="MH-PRD-003"/>
    <s v="INLAND VESSELS"/>
    <n v="45540"/>
    <n v="11.499780412823892"/>
    <n v="5237"/>
    <s v="Mumbai"/>
    <n v="440200"/>
    <s v="NE"/>
    <m/>
    <s v="Inderjit singh Khurana"/>
    <s v="Ashish R Mishra"/>
    <x v="127"/>
    <n v="3380"/>
    <s v="Rushiraj"/>
    <m/>
    <m/>
    <m/>
    <m/>
    <s v="NE"/>
  </r>
  <r>
    <x v="3"/>
    <m/>
    <n v="222104"/>
    <s v="CBO 1 KANPUR"/>
    <s v="OIC/23-24/1752"/>
    <s v="222104/48/2022/1547"/>
    <n v="23"/>
    <s v="ORIENT ELECTRIC LIMITED"/>
    <d v="2022-03-06T00:00:00"/>
    <d v="2023-03-05T00:00:00"/>
    <s v="MIST-PRD-001"/>
    <s v="GPA - NAMED"/>
    <n v="369"/>
    <n v="7.5013550135501355"/>
    <n v="27.68"/>
    <s v="Delhi"/>
    <n v="380690"/>
    <s v="NE"/>
    <m/>
    <s v="Sonia Schofield"/>
    <s v="Surender Banga"/>
    <x v="119"/>
    <n v="3373"/>
    <s v="Rushiraj"/>
    <m/>
    <m/>
    <m/>
    <m/>
    <s v="NE"/>
  </r>
  <r>
    <x v="3"/>
    <m/>
    <n v="421100"/>
    <s v="CBU Bangalore"/>
    <s v="OIC/23-24/1754"/>
    <s v="421100/48/2024/187"/>
    <n v="1"/>
    <s v="INFOSTRETCH CORPORATION INDIA PRIVATE LIMITED"/>
    <d v="2023-05-01T00:00:00"/>
    <d v="2024-04-30T00:00:00"/>
    <s v="MIST-PRD-890"/>
    <s v="GROUP MEDICLAIM -TAILORMADE-RISK FLOATER"/>
    <n v="-407697"/>
    <n v="6"/>
    <n v="-24461.82"/>
    <s v="Pune"/>
    <n v="444224"/>
    <s v="NE"/>
    <m/>
    <s v="Sheetal Gurav"/>
    <s v="Renny Ignatius Peter"/>
    <x v="117"/>
    <n v="3361"/>
    <s v="Rushiraj"/>
    <m/>
    <m/>
    <m/>
    <m/>
    <s v="NE"/>
  </r>
  <r>
    <x v="3"/>
    <m/>
    <n v="510000"/>
    <s v="CBRO DELHI"/>
    <s v="OIC/23-24/1755"/>
    <s v="510000/48/2024/229"/>
    <n v="1"/>
    <s v="NXP INDIA PRIVATE LIMITED"/>
    <d v="2023-04-01T00:00:00"/>
    <d v="2024-03-31T00:00:00"/>
    <s v="MIST-PRD-890"/>
    <s v="GROUP MEDICLAIM -TAILORMADE-RISK FLOATER"/>
    <n v="-19235"/>
    <n v="2"/>
    <n v="-384.7"/>
    <s v="Delhi"/>
    <n v="431822"/>
    <s v="NE"/>
    <m/>
    <s v="Sonia Schofield"/>
    <s v="Surender Banga"/>
    <x v="110"/>
    <n v="3398"/>
    <s v="Rushiraj"/>
    <m/>
    <m/>
    <m/>
    <m/>
    <s v="NE"/>
  </r>
  <r>
    <x v="3"/>
    <m/>
    <n v="411700"/>
    <s v="DO 7 CHENNAI"/>
    <s v="OIC/23-24/1756"/>
    <s v="411700/48/2023/2061"/>
    <n v="7"/>
    <s v="SOLUS SECURITY SYSTEMS PRIVATE LIMITED"/>
    <d v="2022-10-13T00:00:00"/>
    <d v="2023-10-12T00:00:00"/>
    <s v="MIST-PRD-001"/>
    <s v="GPA - NAMED"/>
    <n v="-499"/>
    <n v="7.4148296593186371"/>
    <n v="-37"/>
    <s v="Chennai"/>
    <n v="406235"/>
    <s v="NE"/>
    <m/>
    <s v="Meenakshi Menon"/>
    <s v="Sudha.S"/>
    <x v="112"/>
    <n v="3397"/>
    <s v="Rushiraj"/>
    <m/>
    <m/>
    <m/>
    <m/>
    <s v="NE"/>
  </r>
  <r>
    <x v="3"/>
    <m/>
    <n v="421100"/>
    <s v="CBU Bangalore"/>
    <s v="OIC/23-24/1757"/>
    <s v="421100/48/2024/142"/>
    <n v="2"/>
    <s v="PRECISION PRECAST SOLUTIONS PRIVATE LIMITED"/>
    <d v="2023-05-01T00:00:00"/>
    <d v="2024-04-30T00:00:00"/>
    <s v="MIST-PRD-890"/>
    <s v="GROUP MEDICLAIM -TAILORMADE-RISK FLOATER"/>
    <n v="-51066"/>
    <n v="7.4999999999999991"/>
    <n v="-3829.95"/>
    <s v="Pune"/>
    <n v="431895"/>
    <s v="NE"/>
    <m/>
    <s v="Shraddha Verma"/>
    <s v="Sanket Surve"/>
    <x v="117"/>
    <n v="3361"/>
    <s v="Rushiraj"/>
    <m/>
    <m/>
    <m/>
    <m/>
    <s v="NE"/>
  </r>
  <r>
    <x v="3"/>
    <m/>
    <n v="272200"/>
    <s v="DO 3 NEW DELHI"/>
    <s v="OIC/23-24/1759"/>
    <s v="272200/31/2024/676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421700"/>
    <s v="DO VII BANGALORE"/>
    <s v="OIC/23-24/1762"/>
    <s v="421700/48/2024/551"/>
    <n v="1"/>
    <s v="UD TRUCKS INDIA PRIVATE LIMITED"/>
    <d v="2023-04-01T00:00:00"/>
    <d v="2024-03-31T00:00:00"/>
    <s v="MIST-PRD-890"/>
    <s v="GROUP MEDICLAIM -TAILORMADE-RISK FLOATER"/>
    <n v="119730"/>
    <n v="7.5"/>
    <n v="8979.75"/>
    <s v="Bangalore"/>
    <n v="436760"/>
    <s v="NE"/>
    <m/>
    <s v="Jaya Chitra.M"/>
    <s v="Sandeep Ambaji Navale"/>
    <x v="126"/>
    <n v="3363"/>
    <s v="Rushiraj"/>
    <m/>
    <m/>
    <m/>
    <m/>
    <s v="NE"/>
  </r>
  <r>
    <x v="3"/>
    <m/>
    <n v="540000"/>
    <s v="CBO BANGALORE"/>
    <s v="OIC/23-24/1763"/>
    <s v="421300/48/2023/1215"/>
    <n v="7"/>
    <s v="MOVIUS SOFTWARE PRIVATE LIMITED"/>
    <d v="2022-12-09T00:00:00"/>
    <d v="2023-12-08T00:00:00"/>
    <s v="MIST-PRD-890"/>
    <s v="GROUP MEDICLAIM -TAILORMADE-RISK FLOATER"/>
    <n v="-46543"/>
    <n v="7.5000107427540126"/>
    <n v="-3490.73"/>
    <s v="Bangalore"/>
    <n v="416160"/>
    <s v="NE"/>
    <m/>
    <s v="Jaya Chitra.M"/>
    <s v="Raghuram P S"/>
    <x v="114"/>
    <n v="3393"/>
    <s v="Rushiraj"/>
    <m/>
    <m/>
    <m/>
    <m/>
    <s v="NE"/>
  </r>
  <r>
    <x v="3"/>
    <m/>
    <n v="411700"/>
    <s v="DO 7 CHENNAI"/>
    <s v="OIC/23-24/1764"/>
    <s v="411700/48/2023/2049"/>
    <n v="7"/>
    <s v="SOLUS SECURITY SYSTEMS PRIVATE LIMITED"/>
    <d v="2022-10-03T00:00:00"/>
    <d v="2023-10-02T00:00:00"/>
    <s v="MIST-PRD-890"/>
    <s v="GROUP MEDICLAIM -TAILORMADE-RISK FLOATER"/>
    <n v="-26625"/>
    <n v="7.5000187793427235"/>
    <n v="-1996.88"/>
    <s v="Chennai"/>
    <n v="406242"/>
    <s v="NE"/>
    <m/>
    <s v="Meenakshi Menon"/>
    <s v="Sudha.S"/>
    <x v="112"/>
    <n v="3397"/>
    <s v="Rushiraj"/>
    <m/>
    <m/>
    <m/>
    <m/>
    <s v="NE"/>
  </r>
  <r>
    <x v="3"/>
    <m/>
    <n v="215600"/>
    <s v="DO 4 NEW DELHI"/>
    <s v="OIC/23-24/1766"/>
    <s v="215600/44/2024/20"/>
    <n v="0"/>
    <s v="M/S LUMAX MANAGEMENT SERVICES PVT. LTD."/>
    <d v="2023-07-01T00:00:00"/>
    <d v="2024-06-30T00:00:00"/>
    <s v="ENG-PRD-006"/>
    <s v="ELECTRONIC EQUIPMENT INSURANCE"/>
    <n v="6137"/>
    <n v="15.007332572918365"/>
    <n v="921"/>
    <s v="Delhi"/>
    <n v="443671"/>
    <s v="0"/>
    <m/>
    <s v="Rohit Kumar Mendiratta"/>
    <s v="Prince Tayal"/>
    <x v="122"/>
    <n v="3372"/>
    <s v="Rushiraj"/>
    <m/>
    <m/>
    <s v="Premium Mismatched"/>
    <m/>
    <s v="Modification"/>
  </r>
  <r>
    <x v="3"/>
    <m/>
    <n v="212203"/>
    <s v="CBO 13 N-34 C.PLACE"/>
    <s v="OIC/23-24/1767"/>
    <s v="212203/31/2024/1023"/>
    <n v="0"/>
    <s v="TIRUMALA TIRUPATHI DEVASTHANAMS"/>
    <d v="2023-07-30T00:00:00"/>
    <d v="2024-07-29T00:00:00"/>
    <s v="MOT-PRD-015"/>
    <s v="STANDALONE OWN DAMAGE(OD)-PRIVATE CAR"/>
    <n v="9254"/>
    <n v="14.998919386211368"/>
    <n v="1388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72200"/>
    <s v="DO 3 NEW DELHI"/>
    <s v="OIC/23-24/1779"/>
    <s v="272200/31/2024/683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163900"/>
    <s v="DO 5 PUNE"/>
    <s v="OIC/23-24/1780"/>
    <s v="163900/48/2024/1159"/>
    <n v="0"/>
    <s v="WRITER BUSINESS SERVICES PVT LTD"/>
    <d v="2023-07-06T00:00:00"/>
    <d v="2024-07-05T00:00:00"/>
    <s v="MIST-PRD-052"/>
    <s v="MONEY INSURANCE"/>
    <n v="10279"/>
    <n v="12.501216071602295"/>
    <n v="1285"/>
    <s v="Mumbai"/>
    <s v="NE"/>
    <s v="NE"/>
    <m/>
    <s v="Susmeet Kaur"/>
    <s v="Amit Rajaram Patkar"/>
    <x v="128"/>
    <n v="3388"/>
    <s v="Rushiraj"/>
    <n v="221071"/>
    <s v="Yes"/>
    <m/>
    <m/>
    <s v="RFQ"/>
  </r>
  <r>
    <x v="3"/>
    <m/>
    <n v="212203"/>
    <s v="CBO 13 N-34 C.PLACE"/>
    <s v="OIC/23-24/1781"/>
    <s v="212203/31/2024/988"/>
    <n v="0"/>
    <s v="TIRUMALA TIRUPATHI DEVASTHANAMS"/>
    <d v="2023-07-28T00:00:00"/>
    <d v="2024-07-27T00:00:00"/>
    <s v="MOT-PRD-015"/>
    <s v="STANDALONE OWN DAMAGE(OD)-PRIVATE CAR"/>
    <n v="9102"/>
    <n v="14.996704021094265"/>
    <n v="1365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5600"/>
    <s v="DO 4 NEW DELHI"/>
    <s v="OIC/23-24/1782"/>
    <s v="215600/48/2024/862"/>
    <n v="0"/>
    <s v="LUMAX INDUSTRIES LTD."/>
    <d v="2023-07-01T00:00:00"/>
    <d v="2024-06-30T00:00:00"/>
    <s v="MIST-PRD-751"/>
    <s v="BURGLARY"/>
    <n v="4500"/>
    <n v="16.511111111111113"/>
    <n v="743"/>
    <s v="Delhi"/>
    <s v="NE"/>
    <s v="NE"/>
    <m/>
    <s v="Rohit Kumar Mendiratta"/>
    <s v="Prince Tayal"/>
    <x v="122"/>
    <n v="3372"/>
    <s v="Rushiraj"/>
    <m/>
    <s v="No"/>
    <m/>
    <m/>
    <s v="NE"/>
  </r>
  <r>
    <x v="3"/>
    <m/>
    <n v="212203"/>
    <s v="CBO 13 N-34 C.PLACE"/>
    <s v="OIC/23-24/1783"/>
    <s v="212203/31/2024/913"/>
    <n v="0"/>
    <s v="POWER GRID CORPORATION OF INDIA LIMITED"/>
    <d v="2023-07-14T00:00:00"/>
    <d v="2024-07-13T00:00:00"/>
    <s v="MOT-PRD-012"/>
    <s v="PRIVATE CAR-(3 Years)"/>
    <n v="12488"/>
    <n v="16.311659192825111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12203"/>
    <s v="CBO 13 N-34 C.PLACE"/>
    <s v="OIC/23-24/1785"/>
    <s v="212203/31/2024/1045"/>
    <n v="0"/>
    <s v="POWER GRID CORPORATION OF INDIA LIMITED"/>
    <d v="2023-07-28T00:00:00"/>
    <d v="2024-07-27T00:00:00"/>
    <s v="MOT-PRD-012"/>
    <s v="PRIVATE CAR-(3 Years)"/>
    <n v="12487"/>
    <n v="16.312965484103469"/>
    <n v="2037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540000"/>
    <s v="CBO BANGALORE"/>
    <s v="OIC/23-24/1790"/>
    <s v="421300/48/2023/1243"/>
    <n v="8"/>
    <s v="FRESHTOHOME FOODS PRIVATE LIMITED"/>
    <d v="2022-10-16T00:00:00"/>
    <d v="2023-10-15T00:00:00"/>
    <s v="MIST-PRD-890"/>
    <s v="GROUP MEDICLAIM -TAILORMADE-RISK FLOATER"/>
    <n v="18367"/>
    <n v="7.5025861599608001"/>
    <n v="1378"/>
    <s v="Bangalore"/>
    <s v="NE"/>
    <s v="NE"/>
    <m/>
    <s v="Jaya Chitra.M"/>
    <s v="Raghuram P S"/>
    <x v="114"/>
    <n v="3393"/>
    <s v="Rushiraj"/>
    <m/>
    <m/>
    <m/>
    <m/>
    <s v="NE"/>
  </r>
  <r>
    <x v="3"/>
    <m/>
    <n v="163600"/>
    <s v="DO IV PUNE"/>
    <s v="OIC/23-24/1791"/>
    <s v="163600/11/2024/139"/>
    <n v="0"/>
    <s v="BARAMATI AGRO LIMITED"/>
    <d v="2023-07-18T00:00:00"/>
    <d v="2024-07-17T00:00:00"/>
    <s v="FIR-PRD-010"/>
    <s v="ORIENTAL BHARAT SOOKSHMA UDYAM SURAKSHA POLICY"/>
    <n v="200"/>
    <n v="18"/>
    <n v="36"/>
    <s v="Pune"/>
    <s v="NE"/>
    <s v="NE"/>
    <m/>
    <s v="Smita Umbardand"/>
    <s v="Vishal Sakharam Londhe"/>
    <x v="115"/>
    <n v="3387"/>
    <s v="Rushiraj"/>
    <m/>
    <s v="No"/>
    <m/>
    <m/>
    <s v="NE"/>
  </r>
  <r>
    <x v="3"/>
    <m/>
    <n v="161200"/>
    <s v="DO 2 PUNE"/>
    <s v="OIC/23-24/1793"/>
    <s v="161200/48/2024/1521"/>
    <n v="0"/>
    <s v="ATUL RANADE"/>
    <d v="2023-08-01T00:00:00"/>
    <d v="2024-07-31T00:00:00"/>
    <s v="MIST-PRD-943"/>
    <s v="HAPPY FAMILY FLOATER POLICY-2021"/>
    <n v="22623"/>
    <n v="15.002431154135174"/>
    <n v="3394"/>
    <s v="Pune"/>
    <s v="NE"/>
    <s v="NE"/>
    <m/>
    <s v="Azmi Raza"/>
    <s v="Salman Shaikh"/>
    <x v="129"/>
    <n v="3386"/>
    <s v="Rushiraj"/>
    <m/>
    <s v="No"/>
    <m/>
    <m/>
    <s v="NE"/>
  </r>
  <r>
    <x v="3"/>
    <m/>
    <n v="215600"/>
    <s v="DO 4 NEW DELHI"/>
    <s v="OIC/23-24/1794"/>
    <s v="215600/48/2023/1682"/>
    <n v="1"/>
    <s v="LUMAX TOURS AND TRAVELS LTD"/>
    <d v="2022-11-01T00:00:00"/>
    <d v="2023-04-01T00:00:00"/>
    <s v="MIST-PRD-052"/>
    <s v="MONEY INSURANCE"/>
    <n v="-396"/>
    <n v="12.626262626262626"/>
    <n v="-50"/>
    <s v="Delhi"/>
    <n v="420509"/>
    <s v="NE"/>
    <m/>
    <s v="Darvesh Panchal"/>
    <s v="Rohit Kumar Mehndiratta"/>
    <x v="122"/>
    <n v="3372"/>
    <s v="Rushiraj"/>
    <m/>
    <m/>
    <m/>
    <m/>
    <s v="NE"/>
  </r>
  <r>
    <x v="3"/>
    <m/>
    <n v="441202"/>
    <s v="BO NEYYATINKARA"/>
    <s v="OIC/23-24/1797"/>
    <s v="441202/48/2023/727"/>
    <n v="17"/>
    <s v="TECHVERSANT INFOTECH PRIVATE LIMITED"/>
    <d v="2022-10-17T00:00:00"/>
    <d v="2023-10-16T00:00:00"/>
    <s v="MIST-PRD-890"/>
    <s v="GROUP MEDICLAIM -TAILORMADE-RISK FLOATER"/>
    <n v="-1017"/>
    <n v="6.686332350049164"/>
    <n v="-68"/>
    <s v="Chennai"/>
    <n v="405682"/>
    <s v="NE"/>
    <m/>
    <s v="Balakrishnan M"/>
    <s v="Balakrishnan.G"/>
    <x v="124"/>
    <n v="3396"/>
    <s v="Rushiraj"/>
    <m/>
    <m/>
    <m/>
    <m/>
    <s v="NE"/>
  </r>
  <r>
    <x v="3"/>
    <m/>
    <n v="215600"/>
    <s v="DO 4 NEW DELHI"/>
    <s v="OIC/23-24/1798"/>
    <s v="215600/48/2023/1883"/>
    <n v="13"/>
    <s v="HCL INFOSYSTEMS LTD"/>
    <d v="2022-10-01T00:00:00"/>
    <d v="2023-09-30T00:00:00"/>
    <s v="MIST-PRD-890"/>
    <s v="GROUP MEDICLAIM -TAILORMADE-RISK FLOATER"/>
    <n v="1736"/>
    <n v="7.4884792626728114"/>
    <n v="130"/>
    <s v="Delhi"/>
    <n v="405703"/>
    <s v="NE"/>
    <m/>
    <s v="Abhishek Sharma"/>
    <s v="Ishita Sharma"/>
    <x v="122"/>
    <n v="3372"/>
    <s v="Rushiraj"/>
    <m/>
    <m/>
    <m/>
    <m/>
    <s v="NE"/>
  </r>
  <r>
    <x v="3"/>
    <m/>
    <n v="510000"/>
    <s v="CBRO DELHI"/>
    <s v="OIC/23-24/1799"/>
    <s v="510000/48/2023/1456"/>
    <n v="9"/>
    <s v="M/S R.SYSTEMS INTERNATIONAL LTD."/>
    <d v="2023-02-07T00:00:00"/>
    <d v="2024-01-26T00:00:00"/>
    <s v="MIST-PRD-050"/>
    <s v="OFFICE UMBRELLA"/>
    <n v="239"/>
    <n v="12.502092050209203"/>
    <n v="29.88"/>
    <s v="Delhi"/>
    <n v="423534"/>
    <s v="NE"/>
    <m/>
    <s v="Sumit Gupta"/>
    <s v="Sahil Wadhwa"/>
    <x v="110"/>
    <n v="3398"/>
    <s v="Rushiraj"/>
    <m/>
    <m/>
    <m/>
    <m/>
    <s v="NE"/>
  </r>
  <r>
    <x v="3"/>
    <m/>
    <n v="222105"/>
    <s v="KANPUR DEHAT"/>
    <s v="OIC/23-24/1800"/>
    <s v="222105/48/2024/734"/>
    <n v="0"/>
    <s v="DIWAKER VERMA"/>
    <d v="2023-07-17T00:00:00"/>
    <d v="2024-07-16T00:00:00"/>
    <s v="MIST-PRD-943"/>
    <s v="HAPPY FAMILY FLOATER POLICY-2021"/>
    <n v="31623"/>
    <n v="4.9995256617019255"/>
    <n v="1581"/>
    <s v="Delhi"/>
    <s v="NE"/>
    <s v="NE"/>
    <m/>
    <s v="Kushal Bhatia"/>
    <s v="Navneet Arora"/>
    <x v="116"/>
    <n v="3374"/>
    <s v="Rushiraj"/>
    <m/>
    <s v="No"/>
    <m/>
    <m/>
    <s v="NE"/>
  </r>
  <r>
    <x v="3"/>
    <m/>
    <n v="222105"/>
    <s v="KANPUR DEHAT"/>
    <s v="OIC/23-24/1801"/>
    <s v="222105/48/2024/812"/>
    <n v="0"/>
    <s v="FEBIN FRANCIS"/>
    <d v="2023-07-31T00:00:00"/>
    <d v="2024-07-30T00:00:00"/>
    <s v="MIST-PRD-943"/>
    <s v="HAPPY FAMILY FLOATER POLICY-2021"/>
    <n v="55032"/>
    <n v="5.0007268498328239"/>
    <n v="2752"/>
    <s v="Mumbai"/>
    <s v="NE"/>
    <s v="NE"/>
    <m/>
    <s v="Kushal Bhatia"/>
    <s v="Anju Shukla"/>
    <x v="116"/>
    <n v="3374"/>
    <s v="Rushiraj"/>
    <m/>
    <s v="No"/>
    <m/>
    <m/>
    <s v="NE"/>
  </r>
  <r>
    <x v="3"/>
    <m/>
    <n v="510000"/>
    <s v="CBRO DELHI"/>
    <s v="OIC/23-24/1804"/>
    <s v="510000/48/2024/322"/>
    <n v="2"/>
    <s v="NXP INDIA PRIVATE LIMITED"/>
    <d v="2023-04-01T00:00:00"/>
    <d v="2024-03-31T00:00:00"/>
    <s v="MIST-PRD-890"/>
    <s v="GROUP MEDICLAIM -TAILORMADE-RISK FLOATER"/>
    <n v="2658"/>
    <n v="2"/>
    <n v="53.16"/>
    <s v="Delhi"/>
    <n v="431824"/>
    <s v="NE"/>
    <m/>
    <s v="Sonia Schofield"/>
    <s v="Surender Banga"/>
    <x v="110"/>
    <n v="3398"/>
    <s v="Rushiraj"/>
    <m/>
    <m/>
    <m/>
    <m/>
    <s v="NE"/>
  </r>
  <r>
    <x v="3"/>
    <m/>
    <n v="212203"/>
    <s v="CBO 13 N-34 C.PLACE"/>
    <s v="OIC/23-24/1805"/>
    <s v="212203/31/2024/797"/>
    <n v="0"/>
    <s v="EXPORT CREDIT GUARANTEE CORPORATION"/>
    <d v="2023-07-05T00:00:00"/>
    <d v="2024-07-04T00:00:00"/>
    <s v="MOT-PRD-015"/>
    <s v="STANDALONE OWN DAMAGE(OD)-PRIVATE CAR"/>
    <n v="8111"/>
    <n v="14.991986191591666"/>
    <n v="1216"/>
    <s v="Delhi"/>
    <s v="NE"/>
    <s v="NE"/>
    <m/>
    <s v="Suspense"/>
    <s v="Suspense"/>
    <x v="111"/>
    <n v="3371"/>
    <s v="Rushiraj"/>
    <m/>
    <s v="No"/>
    <m/>
    <m/>
    <s v="NE"/>
  </r>
  <r>
    <x v="3"/>
    <m/>
    <n v="212203"/>
    <s v="CBO 13 N-34 C.PLACE"/>
    <s v="OIC/23-24/1806"/>
    <s v="212203/31/2024/799"/>
    <n v="0"/>
    <s v="EXPORT CREDIT GUARANTEE CORPORATION"/>
    <d v="2023-07-05T00:00:00"/>
    <d v="2024-07-04T00:00:00"/>
    <s v="MOT-PRD-015"/>
    <s v="STANDALONE OWN DAMAGE(OD)-PRIVATE CAR"/>
    <n v="8111"/>
    <n v="14.991986191591666"/>
    <n v="1216"/>
    <s v="Delhi"/>
    <s v="NE"/>
    <s v="NE"/>
    <m/>
    <s v="Suspense"/>
    <s v="Suspense"/>
    <x v="111"/>
    <n v="3371"/>
    <s v="Rushiraj"/>
    <m/>
    <s v="No"/>
    <m/>
    <m/>
    <s v="NE"/>
  </r>
  <r>
    <x v="3"/>
    <m/>
    <n v="222104"/>
    <s v="CBO 1 KANPUR"/>
    <s v="OIC/23-24/1807"/>
    <s v="222104/48/2022/1547"/>
    <n v="21"/>
    <s v="ORIENT ELECTRIC LIMITED"/>
    <d v="2022-03-06T00:00:00"/>
    <d v="2023-03-05T00:00:00"/>
    <s v="MIST-PRD-001"/>
    <s v="GPA - NAMED"/>
    <n v="866"/>
    <n v="7.5"/>
    <n v="64.95"/>
    <s v="Delhi"/>
    <n v="380690"/>
    <s v="NE"/>
    <m/>
    <s v="Sonia Schofield"/>
    <s v="Surender Banga"/>
    <x v="119"/>
    <n v="3373"/>
    <s v="Rushiraj"/>
    <m/>
    <m/>
    <m/>
    <m/>
    <s v="NE"/>
  </r>
  <r>
    <x v="3"/>
    <m/>
    <n v="222104"/>
    <s v="CBO 1 KANPUR"/>
    <s v="OIC/23-24/1808"/>
    <s v="222104/48/2022/1547"/>
    <n v="22"/>
    <s v="ORIENT ELECTRIC LIMITED"/>
    <d v="2022-03-06T00:00:00"/>
    <d v="2023-03-05T00:00:00"/>
    <s v="MIST-PRD-001"/>
    <s v="GPA - NAMED"/>
    <n v="-467"/>
    <n v="7.5010706638115634"/>
    <n v="-35.03"/>
    <s v="Delhi"/>
    <n v="380690"/>
    <s v="NE"/>
    <m/>
    <s v="Sonia Schofield"/>
    <s v="Surender Banga"/>
    <x v="119"/>
    <n v="3373"/>
    <s v="Rushiraj"/>
    <m/>
    <m/>
    <m/>
    <m/>
    <s v="NE"/>
  </r>
  <r>
    <x v="3"/>
    <m/>
    <n v="540000"/>
    <s v="CBO BANGALORE"/>
    <s v="OIC/23-24/1810"/>
    <s v="421300/48/2023/620"/>
    <n v="13"/>
    <s v="ECOM EXPRESS PRIVATE LIMITED"/>
    <d v="2022-05-04T00:00:00"/>
    <d v="2023-05-03T00:00:00"/>
    <s v="MIST-PRD-890"/>
    <s v="GROUP MEDICLAIM -TAILORMADE-RISK FLOATER"/>
    <n v="26635"/>
    <n v="0"/>
    <n v="0"/>
    <s v="Delhi"/>
    <n v="396387"/>
    <s v="NE"/>
    <m/>
    <s v="Vitty Pandita"/>
    <s v="Ashish Saxena"/>
    <x v="114"/>
    <n v="3393"/>
    <s v="Rushiraj"/>
    <m/>
    <m/>
    <m/>
    <m/>
    <s v="NE"/>
  </r>
  <r>
    <x v="3"/>
    <m/>
    <n v="212203"/>
    <s v="CBO 13 N-34 C.PLACE"/>
    <s v="OIC/23-24/1812"/>
    <s v="212203/31/2024/923"/>
    <n v="0"/>
    <s v="THE J&amp;K STATE INDS DEVP CORP.LTD."/>
    <d v="2023-07-20T00:00:00"/>
    <d v="2024-07-19T00:00:00"/>
    <s v="MOT-PRD-015"/>
    <s v="STANDALONE OWN DAMAGE(OD)-PRIVATE CAR"/>
    <n v="12728"/>
    <n v="15.006285355122564"/>
    <n v="1910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132100"/>
    <s v="DO - 1"/>
    <s v="OIC/23-24/1814"/>
    <s v="124600/48/2024/639"/>
    <n v="2"/>
    <s v="VISHAY SEMICONDUCTOR INDIA PRIVATE LIMITED"/>
    <d v="2023-05-17T00:00:00"/>
    <d v="2024-03-31T00:00:00"/>
    <s v="MIST-PRD-001"/>
    <s v="GPA - NAMED"/>
    <n v="599"/>
    <n v="7.5125208681135227"/>
    <n v="45"/>
    <s v="Pune"/>
    <n v="443369"/>
    <s v="NE"/>
    <m/>
    <s v="Amarjeet Sahu"/>
    <s v="Shahaji Dhage"/>
    <x v="113"/>
    <n v="3385"/>
    <s v="Rushiraj"/>
    <m/>
    <m/>
    <m/>
    <m/>
    <s v="NE"/>
  </r>
  <r>
    <x v="3"/>
    <m/>
    <n v="272200"/>
    <s v="DO 3 NEW DELHI"/>
    <s v="OIC/23-24/1815"/>
    <s v="272200/31/2024/682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212203"/>
    <s v="CBO 13 N-34 C.PLACE"/>
    <s v="OIC/23-24/1816"/>
    <s v="212203/31/2024/798"/>
    <n v="0"/>
    <s v="EXPORT CREDIT GUARANTEE CORPORATION"/>
    <d v="2023-07-05T00:00:00"/>
    <d v="2024-07-04T00:00:00"/>
    <s v="MOT-PRD-015"/>
    <s v="STANDALONE OWN DAMAGE(OD)-PRIVATE CAR"/>
    <n v="8111"/>
    <n v="14.991986191591666"/>
    <n v="1216"/>
    <s v="Delhi"/>
    <s v="NE"/>
    <s v="NE"/>
    <m/>
    <s v="Suspense"/>
    <s v="Suspense"/>
    <x v="111"/>
    <n v="3371"/>
    <s v="Rushiraj"/>
    <m/>
    <s v="No"/>
    <m/>
    <m/>
    <s v="NE"/>
  </r>
  <r>
    <x v="3"/>
    <m/>
    <n v="510000"/>
    <s v="CBRO DELHI"/>
    <s v="OIC/23-24/1818"/>
    <s v="510000/48/2024/228"/>
    <n v="2"/>
    <s v="NXP INDIA PRIVATE LIMITED"/>
    <d v="2023-04-01T00:00:00"/>
    <d v="2024-03-31T00:00:00"/>
    <s v="MIST-PRD-890"/>
    <s v="GROUP MEDICLAIM -TAILORMADE-RISK FLOATER"/>
    <n v="-22041"/>
    <n v="2"/>
    <n v="-440.82"/>
    <s v="Delhi"/>
    <s v="NE"/>
    <s v="NE"/>
    <m/>
    <s v="Sonia Schofield"/>
    <s v="Surender Banga"/>
    <x v="110"/>
    <n v="3398"/>
    <s v="Rushiraj"/>
    <m/>
    <m/>
    <m/>
    <m/>
    <s v="NE"/>
  </r>
  <r>
    <x v="3"/>
    <m/>
    <n v="215600"/>
    <s v="DO 4 NEW DELHI"/>
    <s v="OIC/23-24/1822"/>
    <s v="215600/11/2023/199"/>
    <n v="1"/>
    <s v="M/S LUMAX TOURS &amp; TRAVELS LTD."/>
    <d v="2022-11-01T00:00:00"/>
    <d v="2023-04-01T00:00:00"/>
    <s v="FIR-PRD-010"/>
    <s v="ORIENTAL BHARAT SOOKSHMA UDYAM SURAKSHA POLICY"/>
    <n v="-957"/>
    <n v="10.135841170323928"/>
    <n v="-97"/>
    <s v="Delhi"/>
    <n v="420511"/>
    <s v="NE"/>
    <m/>
    <s v="Darvesh Panchal"/>
    <s v="Rohit Kumar Mehndiratta"/>
    <x v="122"/>
    <n v="3372"/>
    <s v="Rushiraj"/>
    <m/>
    <m/>
    <m/>
    <m/>
    <s v="NE"/>
  </r>
  <r>
    <x v="3"/>
    <m/>
    <n v="212203"/>
    <s v="CBO 13 N-34 C.PLACE"/>
    <s v="OIC/23-24/1823"/>
    <s v="212203/31/2024/703"/>
    <n v="1"/>
    <s v="LESSEE POWER GRID CORPORATION OF INDIA LTD"/>
    <d v="2023-06-21T00:00:00"/>
    <d v="2023-06-21T00:00:00"/>
    <s v="MOT-PRD-012"/>
    <s v="PRIVATE CAR-(3 Years)"/>
    <n v="-12668"/>
    <n v="12.756551941900852"/>
    <n v="-1616"/>
    <s v="Delhi"/>
    <n v="443950"/>
    <s v="NE"/>
    <m/>
    <s v="Saurabh Dwivedi"/>
    <s v="Mohit Mendiratta"/>
    <x v="111"/>
    <n v="3371"/>
    <s v="Rushiraj"/>
    <m/>
    <m/>
    <m/>
    <m/>
    <s v="NE"/>
  </r>
  <r>
    <x v="3"/>
    <m/>
    <n v="540000"/>
    <s v="CBO BANGALORE"/>
    <s v="OIC/23-24/1824"/>
    <s v="421300/48/2023/1215"/>
    <n v="8"/>
    <s v="MOVIUS SOFTWARE PRIVATE LIMITED"/>
    <d v="2022-12-09T00:00:00"/>
    <d v="2023-12-08T00:00:00"/>
    <s v="MIST-PRD-890"/>
    <s v="GROUP MEDICLAIM -TAILORMADE-RISK FLOATER"/>
    <n v="46091"/>
    <n v="7.5000108481048358"/>
    <n v="3456.83"/>
    <s v="Bangalore"/>
    <n v="416160"/>
    <s v="NE"/>
    <m/>
    <s v="Jaya Chitra.M"/>
    <s v="Raghuram P S"/>
    <x v="114"/>
    <n v="3393"/>
    <s v="Rushiraj"/>
    <m/>
    <m/>
    <m/>
    <m/>
    <s v="NE"/>
  </r>
  <r>
    <x v="3"/>
    <m/>
    <n v="540000"/>
    <s v="CBO BANGALORE"/>
    <s v="OIC/23-24/1827"/>
    <s v="421300/48/2023/1155"/>
    <n v="6"/>
    <s v="MISTRAL SOLUTIONS PVT. LTD."/>
    <d v="2022-11-16T00:00:00"/>
    <d v="2023-11-15T00:00:00"/>
    <s v="MIST-PRD-890"/>
    <s v="GROUP MEDICLAIM -TAILORMADE-RISK FLOATER"/>
    <n v="6641"/>
    <n v="3"/>
    <n v="199.23"/>
    <s v="Bangalore"/>
    <n v="418373"/>
    <s v="NE"/>
    <m/>
    <s v="Shashikala Ganesh Rao"/>
    <s v="Poorvi Kullegowda"/>
    <x v="114"/>
    <n v="3393"/>
    <s v="Rushiraj"/>
    <m/>
    <m/>
    <m/>
    <m/>
    <s v="NE"/>
  </r>
  <r>
    <x v="3"/>
    <m/>
    <n v="510000"/>
    <s v="CBRO DELHI"/>
    <s v="OIC/23-24/1828"/>
    <s v="510000/48/2024/580"/>
    <n v="0"/>
    <s v="JCB INDIA LTD."/>
    <d v="2023-06-01T00:00:00"/>
    <d v="2024-05-31T00:00:00"/>
    <s v="MIST-PRD-890"/>
    <s v="GROUP MEDICLAIM -TAILORMADE-RISK FLOATER"/>
    <n v="6870066"/>
    <n v="3.0000002911180181"/>
    <n v="206102"/>
    <s v="Pune"/>
    <s v="NE"/>
    <s v="NE"/>
    <m/>
    <s v="Atul Chordiya"/>
    <s v="Amit Rokade"/>
    <x v="110"/>
    <n v="3398"/>
    <s v="Rushiraj"/>
    <m/>
    <s v="No"/>
    <m/>
    <m/>
    <s v="NE"/>
  </r>
  <r>
    <x v="3"/>
    <m/>
    <n v="421100"/>
    <s v="CBU Bangalore"/>
    <s v="OIC/23-24/1830"/>
    <s v="421100/48/2024/199"/>
    <n v="1"/>
    <s v="INFOSTRETCH CORPORATION INDIA PRIVATE LIMITED"/>
    <d v="2023-05-01T00:00:00"/>
    <d v="2024-04-30T00:00:00"/>
    <s v="MIST-PRD-890"/>
    <s v="GROUP MEDICLAIM -TAILORMADE-RISK FLOATER"/>
    <n v="-265830"/>
    <n v="5"/>
    <n v="-13291.5"/>
    <s v="Pune"/>
    <n v="444219"/>
    <s v="NE"/>
    <m/>
    <s v="Sheetal Gurav"/>
    <s v="Renny Ignatius Peter"/>
    <x v="117"/>
    <n v="3361"/>
    <s v="Rushiraj"/>
    <m/>
    <m/>
    <m/>
    <m/>
    <s v="NE"/>
  </r>
  <r>
    <x v="3"/>
    <m/>
    <n v="212203"/>
    <s v="CBO 13 N-34 C.PLACE"/>
    <s v="OIC/23-24/1833"/>
    <s v="212203/31/2024/908"/>
    <n v="0"/>
    <s v="PAWAN HANS LIMITED"/>
    <d v="2023-07-14T00:00:00"/>
    <d v="2024-07-13T00:00:00"/>
    <s v="MOT-PRD-012"/>
    <s v="PRIVATE CAR-(3 Years)"/>
    <n v="12699"/>
    <n v="16.284746830459092"/>
    <n v="2068"/>
    <s v="Delhi"/>
    <s v="NE"/>
    <s v="NE"/>
    <m/>
    <s v="Saurabh Dwivedi"/>
    <s v="Santosh Kumar Gupta"/>
    <x v="111"/>
    <n v="3371"/>
    <s v="Rushiraj"/>
    <m/>
    <s v="No"/>
    <m/>
    <m/>
    <s v="NE"/>
  </r>
  <r>
    <x v="3"/>
    <m/>
    <n v="411600"/>
    <s v="DO 6 CHENNAI"/>
    <s v="OIC/23-24/1836"/>
    <s v="411600/48/2024/515"/>
    <n v="1"/>
    <s v="JOYSON ANAND ABHISHEK SAFETY SYSTEMS PRIVATE LIMITED"/>
    <d v="2023-06-19T00:00:00"/>
    <d v="2024-06-18T00:00:00"/>
    <s v="MIST-PRD-890"/>
    <s v="GROUP MEDICLAIM -TAILORMADE-RISK FLOATER"/>
    <n v="200137"/>
    <n v="1"/>
    <n v="2001.37"/>
    <s v="Chennai"/>
    <n v="440844"/>
    <s v="NE"/>
    <m/>
    <s v="Meenakshi Menon"/>
    <s v="Muthahara Khan"/>
    <x v="125"/>
    <n v="3364"/>
    <s v="Rushiraj"/>
    <m/>
    <m/>
    <m/>
    <m/>
    <s v="NE"/>
  </r>
  <r>
    <x v="3"/>
    <m/>
    <n v="222104"/>
    <s v="CBO 1 KANPUR"/>
    <s v="OIC/23-24/1837"/>
    <s v="222104/48/2022/1547"/>
    <n v="25"/>
    <s v="ORIENT ELECTRIC LIMITED"/>
    <d v="2022-03-06T00:00:00"/>
    <d v="2023-03-05T00:00:00"/>
    <s v="MIST-PRD-001"/>
    <s v="GPA - NAMED"/>
    <n v="10"/>
    <n v="7.5"/>
    <n v="0.75"/>
    <s v="Delhi"/>
    <n v="380690"/>
    <s v="NE"/>
    <m/>
    <s v="Sonia Schofield"/>
    <s v="Surender Banga"/>
    <x v="119"/>
    <n v="3373"/>
    <s v="Rushiraj"/>
    <m/>
    <m/>
    <m/>
    <m/>
    <s v="NE"/>
  </r>
  <r>
    <x v="3"/>
    <m/>
    <n v="212203"/>
    <s v="CBO 13 N-34 C.PLACE"/>
    <s v="OIC/23-24/1839"/>
    <s v="212203/31/2024/698"/>
    <n v="1"/>
    <s v="LESSEE POWER GRID CORPORATION OF INDIA LTD"/>
    <d v="2023-06-21T00:00:00"/>
    <d v="2023-06-21T00:00:00"/>
    <s v="MOT-PRD-012"/>
    <s v="PRIVATE CAR-(3 Years)"/>
    <n v="-12668"/>
    <n v="12.756551941900852"/>
    <n v="-1616"/>
    <s v="Delhi"/>
    <n v="443945"/>
    <s v="NE"/>
    <m/>
    <s v="Saurabh Dwivedi"/>
    <s v="Mohit Mendiratta"/>
    <x v="111"/>
    <n v="3371"/>
    <s v="Rushiraj"/>
    <m/>
    <m/>
    <m/>
    <m/>
    <s v="NE"/>
  </r>
  <r>
    <x v="3"/>
    <m/>
    <n v="212203"/>
    <s v="CBO 13 N-34 C.PLACE"/>
    <s v="OIC/23-24/1845"/>
    <s v="212203/31/2024/862"/>
    <n v="0"/>
    <s v="UNDER SECRETARY DAHD"/>
    <d v="2023-07-13T00:00:00"/>
    <d v="2024-07-12T00:00:00"/>
    <s v="MOT-PRD-015"/>
    <s v="STANDALONE OWN DAMAGE(OD)-PRIVATE CAR"/>
    <n v="8111"/>
    <n v="14.991986191591666"/>
    <n v="1216"/>
    <s v="Delhi"/>
    <s v="NE"/>
    <s v="NE"/>
    <m/>
    <s v="Saurabh Dwivedi"/>
    <s v="Mohit Mendiratta"/>
    <x v="111"/>
    <n v="3371"/>
    <s v="Rushiraj"/>
    <m/>
    <s v="No"/>
    <m/>
    <m/>
    <s v="NE"/>
  </r>
  <r>
    <x v="3"/>
    <m/>
    <n v="272200"/>
    <s v="DO 3 NEW DELHI"/>
    <s v="OIC/23-24/1847"/>
    <s v="272200/31/2024/656"/>
    <n v="1"/>
    <s v="MAX ROADLINE PRIVATE LIMITED"/>
    <d v="2023-07-28T00:00:00"/>
    <d v="2024-07-27T00:00:00"/>
    <s v="MOT-PRD-003"/>
    <s v="GCCV"/>
    <n v="-209954"/>
    <n v="2.2247730455242576"/>
    <n v="-4671"/>
    <s v="Delhi"/>
    <s v="NE"/>
    <s v="NE"/>
    <m/>
    <s v="Saurabh Dwivedi"/>
    <s v="Santosh Kumar Gupta"/>
    <x v="118"/>
    <n v="3376"/>
    <s v="Rushiraj"/>
    <m/>
    <m/>
    <m/>
    <m/>
    <s v="NE"/>
  </r>
  <r>
    <x v="3"/>
    <m/>
    <n v="212203"/>
    <s v="CBO 13 N-34 C.PLACE"/>
    <s v="OIC/23-24/1848"/>
    <s v="212203/31/2024/1040"/>
    <n v="0"/>
    <s v="GRID CONTROLLER OF INDIA LIMITED"/>
    <d v="2023-07-27T00:00:00"/>
    <d v="2024-07-26T00:00:00"/>
    <s v="MOT-PRD-012"/>
    <s v="PRIVATE CAR-(3 Years)"/>
    <n v="12698"/>
    <n v="16.286029295952119"/>
    <n v="2068"/>
    <s v="Delhi"/>
    <s v="NE"/>
    <s v="NE"/>
    <m/>
    <s v="Suspense"/>
    <s v="Suspense"/>
    <x v="111"/>
    <n v="3371"/>
    <s v="Rushiraj"/>
    <m/>
    <s v="No"/>
    <m/>
    <m/>
    <s v="NE"/>
  </r>
  <r>
    <x v="3"/>
    <m/>
    <n v="272200"/>
    <s v="DO 3 NEW DELHI"/>
    <s v="OIC/23-24/1849"/>
    <s v="272200/31/2024/681"/>
    <n v="0"/>
    <s v="GOLDEN AERO LOGISTICS &amp; CONCIERGE SERVICES PVT. LTD"/>
    <d v="2023-07-31T00:00:00"/>
    <d v="2024-07-30T00:00:00"/>
    <s v="MOT-PRD-003"/>
    <s v="GCCV"/>
    <n v="43372"/>
    <n v="7.9982477174213775"/>
    <n v="3469"/>
    <s v="Delhi"/>
    <s v="NE"/>
    <s v="NE"/>
    <m/>
    <s v="Niladri Mangal Choudhury"/>
    <s v="Shiva Pandey"/>
    <x v="118"/>
    <n v="3376"/>
    <s v="Rushiraj"/>
    <m/>
    <s v="No"/>
    <m/>
    <m/>
    <s v="NE"/>
  </r>
  <r>
    <x v="3"/>
    <m/>
    <n v="431500"/>
    <s v="DO IV HYDERABAD"/>
    <s v="OIC/23-24/1850"/>
    <s v="431500/48/2023/3635"/>
    <n v="6"/>
    <s v="WAVEMAKER INDIA PRIVATE LIMITED"/>
    <d v="2023-03-15T00:00:00"/>
    <d v="2024-03-14T00:00:00"/>
    <s v="MIST-PRD-890"/>
    <s v="GROUP MEDICLAIM -TAILORMADE-RISK FLOATER"/>
    <n v="-10688"/>
    <n v="7.5000000000000009"/>
    <n v="-801.6"/>
    <s v="Hyderabad"/>
    <n v="424815"/>
    <s v="NE"/>
    <m/>
    <s v="Prasanna Vadhana"/>
    <s v="Manisha Marda"/>
    <x v="120"/>
    <n v="3377"/>
    <s v="Rushiraj"/>
    <m/>
    <m/>
    <m/>
    <m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0EE44-E04A-4D98-913F-8D23E0638619}" name="PivotTable7" cacheId="18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4" firstHeaderRow="1" firstDataRow="1" firstDataCol="1" rowPageCount="1" colPageCount="1"/>
  <pivotFields count="29">
    <pivotField axis="axisPage" multipleItemSelectionAllowe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31">
        <item x="50"/>
        <item x="42"/>
        <item x="47"/>
        <item x="52"/>
        <item x="62"/>
        <item x="95"/>
        <item x="85"/>
        <item x="106"/>
        <item x="78"/>
        <item x="117"/>
        <item x="123"/>
        <item x="126"/>
        <item x="1"/>
        <item x="2"/>
        <item x="0"/>
        <item x="3"/>
        <item x="74"/>
        <item x="103"/>
        <item x="114"/>
        <item x="107"/>
        <item x="88"/>
        <item x="97"/>
        <item x="91"/>
        <item x="92"/>
        <item x="94"/>
        <item x="125"/>
        <item x="31"/>
        <item x="34"/>
        <item x="32"/>
        <item x="33"/>
        <item x="35"/>
        <item x="24"/>
        <item x="71"/>
        <item x="61"/>
        <item x="69"/>
        <item x="56"/>
        <item x="48"/>
        <item x="36"/>
        <item x="63"/>
        <item x="98"/>
        <item x="112"/>
        <item x="124"/>
        <item x="14"/>
        <item x="5"/>
        <item x="13"/>
        <item x="17"/>
        <item x="6"/>
        <item x="10"/>
        <item x="12"/>
        <item x="8"/>
        <item x="7"/>
        <item x="4"/>
        <item x="39"/>
        <item x="51"/>
        <item x="40"/>
        <item x="44"/>
        <item x="49"/>
        <item x="75"/>
        <item x="45"/>
        <item x="58"/>
        <item x="41"/>
        <item x="46"/>
        <item x="53"/>
        <item x="70"/>
        <item x="65"/>
        <item x="82"/>
        <item x="81"/>
        <item x="84"/>
        <item x="79"/>
        <item x="87"/>
        <item x="76"/>
        <item x="77"/>
        <item x="111"/>
        <item x="122"/>
        <item x="119"/>
        <item x="116"/>
        <item x="118"/>
        <item x="110"/>
        <item x="54"/>
        <item x="68"/>
        <item x="93"/>
        <item x="120"/>
        <item x="16"/>
        <item x="89"/>
        <item x="55"/>
        <item x="18"/>
        <item x="15"/>
        <item x="20"/>
        <item x="73"/>
        <item x="59"/>
        <item x="60"/>
        <item x="105"/>
        <item x="102"/>
        <item x="23"/>
        <item x="28"/>
        <item x="25"/>
        <item x="11"/>
        <item x="26"/>
        <item x="30"/>
        <item x="37"/>
        <item x="21"/>
        <item x="27"/>
        <item x="19"/>
        <item x="67"/>
        <item x="57"/>
        <item x="72"/>
        <item x="64"/>
        <item x="66"/>
        <item x="104"/>
        <item x="86"/>
        <item x="96"/>
        <item x="99"/>
        <item x="100"/>
        <item x="109"/>
        <item x="127"/>
        <item x="121"/>
        <item x="113"/>
        <item x="80"/>
        <item x="38"/>
        <item x="22"/>
        <item x="29"/>
        <item x="9"/>
        <item x="43"/>
        <item x="108"/>
        <item x="83"/>
        <item x="101"/>
        <item x="129"/>
        <item x="115"/>
        <item x="128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Items count="1">
    <i/>
  </colItems>
  <pageFields count="1">
    <pageField fld="0" hier="-1"/>
  </pageFields>
  <dataFields count="1">
    <dataField name="Sum of Commission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C074-8A17-40AB-8AE3-2C9A6314B6A2}">
  <dimension ref="A1:AD436"/>
  <sheetViews>
    <sheetView tabSelected="1" topLeftCell="I1" workbookViewId="0">
      <pane ySplit="1" topLeftCell="A2" activePane="bottomLeft" state="frozen"/>
      <selection pane="bottomLeft" activeCell="O6" sqref="O6"/>
    </sheetView>
  </sheetViews>
  <sheetFormatPr defaultRowHeight="14.25"/>
  <cols>
    <col min="3" max="3" width="9.42578125" bestFit="1" customWidth="1"/>
    <col min="5" max="5" width="11.7109375" bestFit="1" customWidth="1"/>
    <col min="6" max="6" width="16.85546875" bestFit="1" customWidth="1"/>
    <col min="7" max="7" width="9.42578125" bestFit="1" customWidth="1"/>
    <col min="9" max="10" width="9.7109375" bestFit="1" customWidth="1"/>
    <col min="13" max="13" width="13.7109375" bestFit="1" customWidth="1"/>
    <col min="14" max="14" width="11.140625" bestFit="1" customWidth="1"/>
    <col min="15" max="15" width="13.7109375" style="17" bestFit="1" customWidth="1"/>
    <col min="17" max="18" width="9.42578125" bestFit="1" customWidth="1"/>
    <col min="19" max="19" width="0" hidden="1" customWidth="1"/>
    <col min="23" max="23" width="9.42578125" bestFit="1" customWidth="1"/>
    <col min="26" max="26" width="9.42578125" bestFit="1" customWidth="1"/>
  </cols>
  <sheetData>
    <row r="1" spans="1:30" ht="39.4">
      <c r="A1" s="15" t="s">
        <v>0</v>
      </c>
      <c r="B1" s="15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3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12" t="s">
        <v>28</v>
      </c>
      <c r="AD1" s="15" t="s">
        <v>29</v>
      </c>
    </row>
    <row r="2" spans="1:30">
      <c r="A2" s="4" t="s">
        <v>30</v>
      </c>
      <c r="B2" s="4"/>
      <c r="C2" s="4">
        <v>272300</v>
      </c>
      <c r="D2" s="4" t="s">
        <v>31</v>
      </c>
      <c r="E2" s="13" t="s">
        <v>32</v>
      </c>
      <c r="F2" s="4" t="s">
        <v>33</v>
      </c>
      <c r="G2" s="4">
        <v>0</v>
      </c>
      <c r="H2" s="4" t="s">
        <v>34</v>
      </c>
      <c r="I2" s="5">
        <v>45108</v>
      </c>
      <c r="J2" s="5">
        <v>45473</v>
      </c>
      <c r="K2" s="4" t="s">
        <v>35</v>
      </c>
      <c r="L2" s="4" t="s">
        <v>36</v>
      </c>
      <c r="M2" s="7">
        <v>59999</v>
      </c>
      <c r="N2" s="16">
        <v>20.047000783346387</v>
      </c>
      <c r="O2" s="6">
        <v>12028</v>
      </c>
      <c r="P2" s="4" t="s">
        <v>37</v>
      </c>
      <c r="Q2" s="1">
        <v>441579</v>
      </c>
      <c r="R2" s="4" t="s">
        <v>38</v>
      </c>
      <c r="S2" s="4"/>
      <c r="T2" s="4" t="s">
        <v>39</v>
      </c>
      <c r="U2" s="4" t="s">
        <v>40</v>
      </c>
      <c r="V2" s="4" t="s">
        <v>41</v>
      </c>
      <c r="W2" s="4">
        <v>3080</v>
      </c>
      <c r="X2" s="4" t="s">
        <v>42</v>
      </c>
      <c r="Y2" s="4"/>
      <c r="Z2" s="4"/>
      <c r="AA2" s="4"/>
      <c r="AB2" s="4" t="s">
        <v>43</v>
      </c>
      <c r="AC2" s="4" t="s">
        <v>44</v>
      </c>
      <c r="AD2" s="4" t="s">
        <v>45</v>
      </c>
    </row>
    <row r="3" spans="1:30">
      <c r="A3" s="4" t="s">
        <v>30</v>
      </c>
      <c r="B3" s="4"/>
      <c r="C3" s="4">
        <v>510000</v>
      </c>
      <c r="D3" s="4" t="s">
        <v>46</v>
      </c>
      <c r="E3" s="13" t="s">
        <v>47</v>
      </c>
      <c r="F3" s="4" t="s">
        <v>48</v>
      </c>
      <c r="G3" s="4">
        <v>4</v>
      </c>
      <c r="H3" s="4" t="s">
        <v>49</v>
      </c>
      <c r="I3" s="5">
        <v>44964</v>
      </c>
      <c r="J3" s="5">
        <v>45291</v>
      </c>
      <c r="K3" s="4" t="s">
        <v>50</v>
      </c>
      <c r="L3" s="4" t="s">
        <v>51</v>
      </c>
      <c r="M3" s="7">
        <v>15137</v>
      </c>
      <c r="N3" s="16">
        <v>5</v>
      </c>
      <c r="O3" s="6">
        <v>756.85</v>
      </c>
      <c r="P3" s="4" t="s">
        <v>37</v>
      </c>
      <c r="Q3" s="1">
        <v>430685</v>
      </c>
      <c r="R3" s="4" t="s">
        <v>52</v>
      </c>
      <c r="S3" s="4"/>
      <c r="T3" s="4" t="s">
        <v>53</v>
      </c>
      <c r="U3" s="4" t="s">
        <v>54</v>
      </c>
      <c r="V3" s="4" t="s">
        <v>55</v>
      </c>
      <c r="W3" s="4">
        <v>3081</v>
      </c>
      <c r="X3" s="4" t="s">
        <v>42</v>
      </c>
      <c r="Y3" s="4"/>
      <c r="Z3" s="4"/>
      <c r="AA3" s="4"/>
      <c r="AB3" s="4"/>
      <c r="AC3" s="4" t="s">
        <v>52</v>
      </c>
      <c r="AD3" s="4" t="s">
        <v>45</v>
      </c>
    </row>
    <row r="4" spans="1:30">
      <c r="A4" s="4" t="s">
        <v>30</v>
      </c>
      <c r="B4" s="4"/>
      <c r="C4" s="4">
        <v>540000</v>
      </c>
      <c r="D4" s="4" t="s">
        <v>56</v>
      </c>
      <c r="E4" s="13" t="s">
        <v>57</v>
      </c>
      <c r="F4" s="4" t="s">
        <v>58</v>
      </c>
      <c r="G4" s="4">
        <v>5</v>
      </c>
      <c r="H4" s="4" t="s">
        <v>59</v>
      </c>
      <c r="I4" s="5">
        <v>44896</v>
      </c>
      <c r="J4" s="5">
        <v>45260</v>
      </c>
      <c r="K4" s="4" t="s">
        <v>50</v>
      </c>
      <c r="L4" s="4" t="s">
        <v>51</v>
      </c>
      <c r="M4" s="7">
        <v>-6720</v>
      </c>
      <c r="N4" s="16">
        <v>7.5</v>
      </c>
      <c r="O4" s="6">
        <v>-504</v>
      </c>
      <c r="P4" s="4" t="s">
        <v>60</v>
      </c>
      <c r="Q4" s="1">
        <v>414344</v>
      </c>
      <c r="R4" s="4" t="s">
        <v>61</v>
      </c>
      <c r="S4" s="4"/>
      <c r="T4" s="4" t="s">
        <v>62</v>
      </c>
      <c r="U4" s="4" t="s">
        <v>63</v>
      </c>
      <c r="V4" s="4" t="s">
        <v>64</v>
      </c>
      <c r="W4" s="4">
        <v>3123</v>
      </c>
      <c r="X4" s="4" t="s">
        <v>42</v>
      </c>
      <c r="Y4" s="4"/>
      <c r="Z4" s="4"/>
      <c r="AA4" s="4"/>
      <c r="AB4" s="4"/>
      <c r="AC4" s="4" t="s">
        <v>44</v>
      </c>
      <c r="AD4" s="4" t="s">
        <v>45</v>
      </c>
    </row>
    <row r="5" spans="1:30">
      <c r="A5" s="4" t="s">
        <v>30</v>
      </c>
      <c r="B5" s="4"/>
      <c r="C5" s="4">
        <v>510000</v>
      </c>
      <c r="D5" s="4" t="s">
        <v>46</v>
      </c>
      <c r="E5" s="13" t="s">
        <v>65</v>
      </c>
      <c r="F5" s="4" t="s">
        <v>66</v>
      </c>
      <c r="G5" s="4">
        <v>4</v>
      </c>
      <c r="H5" s="4" t="s">
        <v>67</v>
      </c>
      <c r="I5" s="5">
        <v>44938</v>
      </c>
      <c r="J5" s="5">
        <v>45291</v>
      </c>
      <c r="K5" s="4" t="s">
        <v>50</v>
      </c>
      <c r="L5" s="4" t="s">
        <v>51</v>
      </c>
      <c r="M5" s="7">
        <v>36689</v>
      </c>
      <c r="N5" s="16">
        <v>5</v>
      </c>
      <c r="O5" s="6">
        <v>1834.45</v>
      </c>
      <c r="P5" s="4" t="s">
        <v>37</v>
      </c>
      <c r="Q5" s="1">
        <v>430587</v>
      </c>
      <c r="R5" s="4" t="s">
        <v>52</v>
      </c>
      <c r="S5" s="4"/>
      <c r="T5" s="4" t="s">
        <v>53</v>
      </c>
      <c r="U5" s="4" t="s">
        <v>54</v>
      </c>
      <c r="V5" s="4" t="s">
        <v>55</v>
      </c>
      <c r="W5" s="4">
        <v>3081</v>
      </c>
      <c r="X5" s="4" t="s">
        <v>42</v>
      </c>
      <c r="Y5" s="4"/>
      <c r="Z5" s="4"/>
      <c r="AA5" s="4"/>
      <c r="AB5" s="4"/>
      <c r="AC5" s="4" t="s">
        <v>52</v>
      </c>
      <c r="AD5" s="4" t="s">
        <v>45</v>
      </c>
    </row>
    <row r="6" spans="1:30">
      <c r="A6" s="4" t="s">
        <v>30</v>
      </c>
      <c r="B6" s="4"/>
      <c r="C6" s="4">
        <v>222105</v>
      </c>
      <c r="D6" s="4" t="s">
        <v>68</v>
      </c>
      <c r="E6" s="13" t="s">
        <v>69</v>
      </c>
      <c r="F6" s="4" t="s">
        <v>70</v>
      </c>
      <c r="G6" s="4">
        <v>0</v>
      </c>
      <c r="H6" s="4" t="s">
        <v>71</v>
      </c>
      <c r="I6" s="5">
        <v>45098</v>
      </c>
      <c r="J6" s="5">
        <v>45463</v>
      </c>
      <c r="K6" s="4" t="s">
        <v>72</v>
      </c>
      <c r="L6" s="4" t="s">
        <v>73</v>
      </c>
      <c r="M6" s="7">
        <v>24849</v>
      </c>
      <c r="N6" s="16">
        <v>14.998591492615397</v>
      </c>
      <c r="O6" s="6">
        <v>3000</v>
      </c>
      <c r="P6" s="4" t="s">
        <v>37</v>
      </c>
      <c r="Q6" s="1">
        <v>441057</v>
      </c>
      <c r="R6" s="4" t="s">
        <v>38</v>
      </c>
      <c r="S6" s="4"/>
      <c r="T6" s="4" t="s">
        <v>74</v>
      </c>
      <c r="U6" s="4" t="s">
        <v>75</v>
      </c>
      <c r="V6" s="4" t="s">
        <v>76</v>
      </c>
      <c r="W6" s="4">
        <v>3078</v>
      </c>
      <c r="X6" s="4" t="s">
        <v>42</v>
      </c>
      <c r="Y6" s="4"/>
      <c r="Z6" s="4"/>
      <c r="AA6" s="4"/>
      <c r="AB6" s="4"/>
      <c r="AC6" s="4" t="s">
        <v>44</v>
      </c>
      <c r="AD6" s="4" t="s">
        <v>45</v>
      </c>
    </row>
    <row r="7" spans="1:30">
      <c r="A7" s="4" t="s">
        <v>30</v>
      </c>
      <c r="B7" s="4"/>
      <c r="C7" s="4">
        <v>540000</v>
      </c>
      <c r="D7" s="4" t="s">
        <v>56</v>
      </c>
      <c r="E7" s="13" t="s">
        <v>77</v>
      </c>
      <c r="F7" s="4" t="s">
        <v>78</v>
      </c>
      <c r="G7" s="4">
        <v>7</v>
      </c>
      <c r="H7" s="4" t="s">
        <v>79</v>
      </c>
      <c r="I7" s="5">
        <v>44812</v>
      </c>
      <c r="J7" s="5">
        <v>45176</v>
      </c>
      <c r="K7" s="4" t="s">
        <v>50</v>
      </c>
      <c r="L7" s="4" t="s">
        <v>51</v>
      </c>
      <c r="M7" s="7">
        <v>10358</v>
      </c>
      <c r="N7" s="16">
        <v>7.5</v>
      </c>
      <c r="O7" s="6">
        <v>776.85</v>
      </c>
      <c r="P7" s="4" t="s">
        <v>60</v>
      </c>
      <c r="Q7" s="1">
        <v>404320</v>
      </c>
      <c r="R7" s="4" t="s">
        <v>52</v>
      </c>
      <c r="S7" s="4"/>
      <c r="T7" s="4" t="s">
        <v>80</v>
      </c>
      <c r="U7" s="4" t="s">
        <v>81</v>
      </c>
      <c r="V7" s="4" t="s">
        <v>64</v>
      </c>
      <c r="W7" s="4">
        <v>3123</v>
      </c>
      <c r="X7" s="4" t="s">
        <v>42</v>
      </c>
      <c r="Y7" s="4"/>
      <c r="Z7" s="4"/>
      <c r="AA7" s="4"/>
      <c r="AB7" s="4"/>
      <c r="AC7" s="4" t="s">
        <v>52</v>
      </c>
      <c r="AD7" s="4" t="s">
        <v>45</v>
      </c>
    </row>
    <row r="8" spans="1:30">
      <c r="A8" s="4" t="s">
        <v>30</v>
      </c>
      <c r="B8" s="4"/>
      <c r="C8" s="4">
        <v>510000</v>
      </c>
      <c r="D8" s="4" t="s">
        <v>46</v>
      </c>
      <c r="E8" s="13" t="s">
        <v>82</v>
      </c>
      <c r="F8" s="4" t="s">
        <v>83</v>
      </c>
      <c r="G8" s="4">
        <v>0</v>
      </c>
      <c r="H8" s="4" t="s">
        <v>84</v>
      </c>
      <c r="I8" s="5">
        <v>45078</v>
      </c>
      <c r="J8" s="5">
        <v>45443</v>
      </c>
      <c r="K8" s="4" t="s">
        <v>85</v>
      </c>
      <c r="L8" s="4" t="s">
        <v>86</v>
      </c>
      <c r="M8" s="7">
        <v>893665</v>
      </c>
      <c r="N8" s="16">
        <v>15.352397151057724</v>
      </c>
      <c r="O8" s="6">
        <v>137199</v>
      </c>
      <c r="P8" s="4" t="s">
        <v>37</v>
      </c>
      <c r="Q8" s="1" t="s">
        <v>52</v>
      </c>
      <c r="R8" s="4" t="s">
        <v>52</v>
      </c>
      <c r="S8" s="4"/>
      <c r="T8" s="4" t="s">
        <v>87</v>
      </c>
      <c r="U8" s="4" t="s">
        <v>88</v>
      </c>
      <c r="V8" s="4" t="s">
        <v>55</v>
      </c>
      <c r="W8" s="4">
        <v>3081</v>
      </c>
      <c r="X8" s="4" t="s">
        <v>42</v>
      </c>
      <c r="Y8" s="4">
        <v>215079</v>
      </c>
      <c r="Z8" s="4" t="s">
        <v>89</v>
      </c>
      <c r="AA8" s="4"/>
      <c r="AB8" s="4"/>
      <c r="AC8" s="4" t="s">
        <v>90</v>
      </c>
      <c r="AD8" s="4" t="s">
        <v>45</v>
      </c>
    </row>
    <row r="9" spans="1:30">
      <c r="A9" s="4" t="s">
        <v>30</v>
      </c>
      <c r="B9" s="4"/>
      <c r="C9" s="4">
        <v>132000</v>
      </c>
      <c r="D9" s="4" t="s">
        <v>91</v>
      </c>
      <c r="E9" s="13" t="s">
        <v>92</v>
      </c>
      <c r="F9" s="4" t="s">
        <v>93</v>
      </c>
      <c r="G9" s="4">
        <v>3</v>
      </c>
      <c r="H9" s="4" t="s">
        <v>94</v>
      </c>
      <c r="I9" s="5">
        <v>44441</v>
      </c>
      <c r="J9" s="5">
        <v>44805</v>
      </c>
      <c r="K9" s="4" t="s">
        <v>85</v>
      </c>
      <c r="L9" s="4" t="s">
        <v>86</v>
      </c>
      <c r="M9" s="7">
        <v>-45897</v>
      </c>
      <c r="N9" s="16">
        <v>10.813342920016558</v>
      </c>
      <c r="O9" s="6">
        <v>-4963</v>
      </c>
      <c r="P9" s="4" t="s">
        <v>95</v>
      </c>
      <c r="Q9" s="1">
        <v>360481</v>
      </c>
      <c r="R9" s="4" t="s">
        <v>52</v>
      </c>
      <c r="S9" s="4"/>
      <c r="T9" s="4" t="s">
        <v>96</v>
      </c>
      <c r="U9" s="4" t="s">
        <v>97</v>
      </c>
      <c r="V9" s="4" t="s">
        <v>98</v>
      </c>
      <c r="W9" s="4">
        <v>3100</v>
      </c>
      <c r="X9" s="4" t="s">
        <v>42</v>
      </c>
      <c r="Y9" s="4"/>
      <c r="Z9" s="4"/>
      <c r="AA9" s="4"/>
      <c r="AB9" s="4"/>
      <c r="AC9" s="4" t="s">
        <v>52</v>
      </c>
      <c r="AD9" s="4" t="s">
        <v>45</v>
      </c>
    </row>
    <row r="10" spans="1:30">
      <c r="A10" s="4" t="s">
        <v>30</v>
      </c>
      <c r="B10" s="4"/>
      <c r="C10" s="4">
        <v>212203</v>
      </c>
      <c r="D10" s="4" t="s">
        <v>99</v>
      </c>
      <c r="E10" s="13" t="s">
        <v>100</v>
      </c>
      <c r="F10" s="4" t="s">
        <v>101</v>
      </c>
      <c r="G10" s="4">
        <v>0</v>
      </c>
      <c r="H10" s="4" t="s">
        <v>102</v>
      </c>
      <c r="I10" s="5">
        <v>45093</v>
      </c>
      <c r="J10" s="5">
        <v>45458</v>
      </c>
      <c r="K10" s="4" t="s">
        <v>103</v>
      </c>
      <c r="L10" s="4" t="s">
        <v>104</v>
      </c>
      <c r="M10" s="7">
        <v>8935</v>
      </c>
      <c r="N10" s="16">
        <v>14.997202014549526</v>
      </c>
      <c r="O10" s="6">
        <v>1340</v>
      </c>
      <c r="P10" s="4" t="s">
        <v>37</v>
      </c>
      <c r="Q10" s="1">
        <v>443967</v>
      </c>
      <c r="R10" s="4" t="s">
        <v>38</v>
      </c>
      <c r="S10" s="4"/>
      <c r="T10" s="4" t="s">
        <v>105</v>
      </c>
      <c r="U10" s="4" t="s">
        <v>106</v>
      </c>
      <c r="V10" s="4" t="s">
        <v>107</v>
      </c>
      <c r="W10" s="4">
        <v>3075</v>
      </c>
      <c r="X10" s="4" t="s">
        <v>42</v>
      </c>
      <c r="Y10" s="4"/>
      <c r="Z10" s="4"/>
      <c r="AA10" s="4"/>
      <c r="AB10" s="4"/>
      <c r="AC10" s="4" t="s">
        <v>44</v>
      </c>
      <c r="AD10" s="4" t="s">
        <v>45</v>
      </c>
    </row>
    <row r="11" spans="1:30">
      <c r="A11" s="4" t="s">
        <v>30</v>
      </c>
      <c r="B11" s="4"/>
      <c r="C11" s="4">
        <v>212200</v>
      </c>
      <c r="D11" s="4" t="s">
        <v>108</v>
      </c>
      <c r="E11" s="13" t="s">
        <v>109</v>
      </c>
      <c r="F11" s="4" t="s">
        <v>110</v>
      </c>
      <c r="G11" s="4">
        <v>0</v>
      </c>
      <c r="H11" s="4" t="s">
        <v>111</v>
      </c>
      <c r="I11" s="5">
        <v>45090</v>
      </c>
      <c r="J11" s="5">
        <v>45455</v>
      </c>
      <c r="K11" s="4" t="s">
        <v>112</v>
      </c>
      <c r="L11" s="4" t="s">
        <v>113</v>
      </c>
      <c r="M11" s="7">
        <v>270</v>
      </c>
      <c r="N11" s="16">
        <v>12.592592592592592</v>
      </c>
      <c r="O11" s="6">
        <v>34</v>
      </c>
      <c r="P11" s="4" t="s">
        <v>37</v>
      </c>
      <c r="Q11" s="1" t="s">
        <v>52</v>
      </c>
      <c r="R11" s="4" t="s">
        <v>52</v>
      </c>
      <c r="S11" s="4"/>
      <c r="T11" s="4" t="s">
        <v>114</v>
      </c>
      <c r="U11" s="4" t="s">
        <v>115</v>
      </c>
      <c r="V11" s="4" t="s">
        <v>116</v>
      </c>
      <c r="W11" s="4">
        <v>3074</v>
      </c>
      <c r="X11" s="4" t="s">
        <v>42</v>
      </c>
      <c r="Y11" s="4"/>
      <c r="Z11" s="4" t="s">
        <v>117</v>
      </c>
      <c r="AA11" s="4"/>
      <c r="AB11" s="4"/>
      <c r="AC11" s="4" t="s">
        <v>52</v>
      </c>
      <c r="AD11" s="4" t="s">
        <v>45</v>
      </c>
    </row>
    <row r="12" spans="1:30">
      <c r="A12" s="4" t="s">
        <v>30</v>
      </c>
      <c r="B12" s="4"/>
      <c r="C12" s="4">
        <v>510000</v>
      </c>
      <c r="D12" s="4" t="s">
        <v>46</v>
      </c>
      <c r="E12" s="13" t="s">
        <v>118</v>
      </c>
      <c r="F12" s="4" t="s">
        <v>66</v>
      </c>
      <c r="G12" s="4">
        <v>3</v>
      </c>
      <c r="H12" s="4" t="s">
        <v>67</v>
      </c>
      <c r="I12" s="5">
        <v>44938</v>
      </c>
      <c r="J12" s="5">
        <v>45291</v>
      </c>
      <c r="K12" s="4" t="s">
        <v>50</v>
      </c>
      <c r="L12" s="4" t="s">
        <v>51</v>
      </c>
      <c r="M12" s="7">
        <v>63472</v>
      </c>
      <c r="N12" s="16">
        <v>5</v>
      </c>
      <c r="O12" s="6">
        <v>3173.6</v>
      </c>
      <c r="P12" s="4" t="s">
        <v>37</v>
      </c>
      <c r="Q12" s="1">
        <v>430587</v>
      </c>
      <c r="R12" s="4" t="s">
        <v>52</v>
      </c>
      <c r="S12" s="4"/>
      <c r="T12" s="4" t="s">
        <v>53</v>
      </c>
      <c r="U12" s="4" t="s">
        <v>54</v>
      </c>
      <c r="V12" s="4" t="s">
        <v>55</v>
      </c>
      <c r="W12" s="4">
        <v>3081</v>
      </c>
      <c r="X12" s="4" t="s">
        <v>42</v>
      </c>
      <c r="Y12" s="4"/>
      <c r="Z12" s="4"/>
      <c r="AA12" s="4"/>
      <c r="AB12" s="4"/>
      <c r="AC12" s="4" t="s">
        <v>52</v>
      </c>
      <c r="AD12" s="4" t="s">
        <v>45</v>
      </c>
    </row>
    <row r="13" spans="1:30">
      <c r="A13" s="4" t="s">
        <v>30</v>
      </c>
      <c r="B13" s="4"/>
      <c r="C13" s="4">
        <v>163600</v>
      </c>
      <c r="D13" s="4" t="s">
        <v>119</v>
      </c>
      <c r="E13" s="13" t="s">
        <v>120</v>
      </c>
      <c r="F13" s="4" t="s">
        <v>121</v>
      </c>
      <c r="G13" s="4">
        <v>0</v>
      </c>
      <c r="H13" s="4" t="s">
        <v>122</v>
      </c>
      <c r="I13" s="5">
        <v>45078</v>
      </c>
      <c r="J13" s="5">
        <v>45443</v>
      </c>
      <c r="K13" s="4" t="s">
        <v>123</v>
      </c>
      <c r="L13" s="4" t="s">
        <v>124</v>
      </c>
      <c r="M13" s="7">
        <v>9789</v>
      </c>
      <c r="N13" s="16">
        <v>20.002043109612831</v>
      </c>
      <c r="O13" s="6">
        <v>1958</v>
      </c>
      <c r="P13" s="4" t="s">
        <v>125</v>
      </c>
      <c r="Q13" s="1" t="s">
        <v>52</v>
      </c>
      <c r="R13" s="4" t="s">
        <v>52</v>
      </c>
      <c r="S13" s="4"/>
      <c r="T13" s="4" t="s">
        <v>126</v>
      </c>
      <c r="U13" s="4" t="s">
        <v>127</v>
      </c>
      <c r="V13" s="4" t="s">
        <v>128</v>
      </c>
      <c r="W13" s="4">
        <v>3090</v>
      </c>
      <c r="X13" s="4" t="s">
        <v>42</v>
      </c>
      <c r="Y13" s="4"/>
      <c r="Z13" s="4" t="s">
        <v>117</v>
      </c>
      <c r="AA13" s="4"/>
      <c r="AB13" s="4"/>
      <c r="AC13" s="4" t="s">
        <v>52</v>
      </c>
      <c r="AD13" s="4" t="s">
        <v>45</v>
      </c>
    </row>
    <row r="14" spans="1:30">
      <c r="A14" s="4" t="s">
        <v>30</v>
      </c>
      <c r="B14" s="4"/>
      <c r="C14" s="4">
        <v>215600</v>
      </c>
      <c r="D14" s="4" t="s">
        <v>129</v>
      </c>
      <c r="E14" s="13" t="s">
        <v>130</v>
      </c>
      <c r="F14" s="4" t="s">
        <v>131</v>
      </c>
      <c r="G14" s="4">
        <v>12</v>
      </c>
      <c r="H14" s="4" t="s">
        <v>132</v>
      </c>
      <c r="I14" s="5">
        <v>44835</v>
      </c>
      <c r="J14" s="5">
        <v>45199</v>
      </c>
      <c r="K14" s="4" t="s">
        <v>50</v>
      </c>
      <c r="L14" s="4" t="s">
        <v>51</v>
      </c>
      <c r="M14" s="7">
        <v>1154835</v>
      </c>
      <c r="N14" s="16">
        <v>7.6434295808492116</v>
      </c>
      <c r="O14" s="6">
        <v>88269</v>
      </c>
      <c r="P14" s="4" t="s">
        <v>37</v>
      </c>
      <c r="Q14" s="1">
        <v>405703</v>
      </c>
      <c r="R14" s="4" t="s">
        <v>133</v>
      </c>
      <c r="S14" s="4"/>
      <c r="T14" s="4" t="s">
        <v>134</v>
      </c>
      <c r="U14" s="4" t="s">
        <v>135</v>
      </c>
      <c r="V14" s="4" t="s">
        <v>136</v>
      </c>
      <c r="W14" s="4">
        <v>3076</v>
      </c>
      <c r="X14" s="4" t="s">
        <v>42</v>
      </c>
      <c r="Y14" s="4"/>
      <c r="Z14" s="4"/>
      <c r="AA14" s="4"/>
      <c r="AB14" s="4"/>
      <c r="AC14" s="4" t="s">
        <v>52</v>
      </c>
      <c r="AD14" s="4" t="s">
        <v>45</v>
      </c>
    </row>
    <row r="15" spans="1:30">
      <c r="A15" s="4" t="s">
        <v>30</v>
      </c>
      <c r="B15" s="4"/>
      <c r="C15" s="4">
        <v>510000</v>
      </c>
      <c r="D15" s="4" t="s">
        <v>46</v>
      </c>
      <c r="E15" s="13" t="s">
        <v>137</v>
      </c>
      <c r="F15" s="4" t="s">
        <v>138</v>
      </c>
      <c r="G15" s="4">
        <v>0</v>
      </c>
      <c r="H15" s="4" t="s">
        <v>84</v>
      </c>
      <c r="I15" s="5">
        <v>45105</v>
      </c>
      <c r="J15" s="5">
        <v>45470</v>
      </c>
      <c r="K15" s="4" t="s">
        <v>139</v>
      </c>
      <c r="L15" s="4" t="s">
        <v>140</v>
      </c>
      <c r="M15" s="7">
        <v>10317</v>
      </c>
      <c r="N15" s="16">
        <v>12.493942037413976</v>
      </c>
      <c r="O15" s="6">
        <v>1289</v>
      </c>
      <c r="P15" s="4" t="s">
        <v>37</v>
      </c>
      <c r="Q15" s="1">
        <v>444639</v>
      </c>
      <c r="R15" s="4">
        <v>0</v>
      </c>
      <c r="S15" s="4"/>
      <c r="T15" s="4" t="s">
        <v>141</v>
      </c>
      <c r="U15" s="4" t="s">
        <v>142</v>
      </c>
      <c r="V15" s="4" t="s">
        <v>55</v>
      </c>
      <c r="W15" s="4">
        <v>3081</v>
      </c>
      <c r="X15" s="4" t="s">
        <v>42</v>
      </c>
      <c r="Y15" s="4"/>
      <c r="Z15" s="4" t="s">
        <v>117</v>
      </c>
      <c r="AA15" s="4"/>
      <c r="AB15" s="4"/>
      <c r="AC15" s="4" t="s">
        <v>143</v>
      </c>
      <c r="AD15" s="4" t="s">
        <v>45</v>
      </c>
    </row>
    <row r="16" spans="1:30">
      <c r="A16" s="4" t="s">
        <v>30</v>
      </c>
      <c r="B16" s="4"/>
      <c r="C16" s="4">
        <v>222105</v>
      </c>
      <c r="D16" s="4" t="s">
        <v>68</v>
      </c>
      <c r="E16" s="13" t="s">
        <v>144</v>
      </c>
      <c r="F16" s="4" t="s">
        <v>145</v>
      </c>
      <c r="G16" s="4">
        <v>0</v>
      </c>
      <c r="H16" s="4" t="s">
        <v>146</v>
      </c>
      <c r="I16" s="5">
        <v>45099</v>
      </c>
      <c r="J16" s="5">
        <v>45464</v>
      </c>
      <c r="K16" s="4" t="s">
        <v>72</v>
      </c>
      <c r="L16" s="4" t="s">
        <v>73</v>
      </c>
      <c r="M16" s="7">
        <v>84513</v>
      </c>
      <c r="N16" s="16">
        <v>5.0004141374699751</v>
      </c>
      <c r="O16" s="6">
        <v>4226</v>
      </c>
      <c r="P16" s="4" t="s">
        <v>37</v>
      </c>
      <c r="Q16" s="1">
        <v>440111</v>
      </c>
      <c r="R16" s="4" t="s">
        <v>38</v>
      </c>
      <c r="S16" s="4"/>
      <c r="T16" s="4" t="s">
        <v>74</v>
      </c>
      <c r="U16" s="4" t="s">
        <v>75</v>
      </c>
      <c r="V16" s="4" t="s">
        <v>76</v>
      </c>
      <c r="W16" s="4">
        <v>3078</v>
      </c>
      <c r="X16" s="4" t="s">
        <v>42</v>
      </c>
      <c r="Y16" s="4"/>
      <c r="Z16" s="4"/>
      <c r="AA16" s="4"/>
      <c r="AB16" s="4" t="s">
        <v>147</v>
      </c>
      <c r="AC16" s="4" t="s">
        <v>44</v>
      </c>
      <c r="AD16" s="4" t="s">
        <v>45</v>
      </c>
    </row>
    <row r="17" spans="1:30">
      <c r="A17" s="4" t="s">
        <v>30</v>
      </c>
      <c r="B17" s="4"/>
      <c r="C17" s="4">
        <v>510000</v>
      </c>
      <c r="D17" s="4" t="s">
        <v>46</v>
      </c>
      <c r="E17" s="13" t="s">
        <v>148</v>
      </c>
      <c r="F17" s="4" t="s">
        <v>149</v>
      </c>
      <c r="G17" s="4">
        <v>10</v>
      </c>
      <c r="H17" s="4" t="s">
        <v>150</v>
      </c>
      <c r="I17" s="5">
        <v>44675</v>
      </c>
      <c r="J17" s="5">
        <v>45039</v>
      </c>
      <c r="K17" s="4" t="s">
        <v>50</v>
      </c>
      <c r="L17" s="4" t="s">
        <v>51</v>
      </c>
      <c r="M17" s="7">
        <v>-1892</v>
      </c>
      <c r="N17" s="16">
        <v>2.4841437632135306</v>
      </c>
      <c r="O17" s="6">
        <v>-47</v>
      </c>
      <c r="P17" s="4" t="s">
        <v>151</v>
      </c>
      <c r="Q17" s="1">
        <v>398821</v>
      </c>
      <c r="R17" s="4" t="s">
        <v>52</v>
      </c>
      <c r="S17" s="4"/>
      <c r="T17" s="4" t="s">
        <v>152</v>
      </c>
      <c r="U17" s="4" t="s">
        <v>153</v>
      </c>
      <c r="V17" s="4" t="s">
        <v>55</v>
      </c>
      <c r="W17" s="4">
        <v>3081</v>
      </c>
      <c r="X17" s="4" t="s">
        <v>42</v>
      </c>
      <c r="Y17" s="4"/>
      <c r="Z17" s="4"/>
      <c r="AA17" s="4"/>
      <c r="AB17" s="4"/>
      <c r="AC17" s="4" t="s">
        <v>52</v>
      </c>
      <c r="AD17" s="4" t="s">
        <v>45</v>
      </c>
    </row>
    <row r="18" spans="1:30">
      <c r="A18" s="4" t="s">
        <v>30</v>
      </c>
      <c r="B18" s="4"/>
      <c r="C18" s="4">
        <v>510000</v>
      </c>
      <c r="D18" s="4" t="s">
        <v>46</v>
      </c>
      <c r="E18" s="13" t="s">
        <v>154</v>
      </c>
      <c r="F18" s="4" t="s">
        <v>155</v>
      </c>
      <c r="G18" s="4">
        <v>12</v>
      </c>
      <c r="H18" s="4" t="s">
        <v>156</v>
      </c>
      <c r="I18" s="5">
        <v>44675</v>
      </c>
      <c r="J18" s="5">
        <v>45039</v>
      </c>
      <c r="K18" s="4" t="s">
        <v>50</v>
      </c>
      <c r="L18" s="4" t="s">
        <v>51</v>
      </c>
      <c r="M18" s="7">
        <v>-7456</v>
      </c>
      <c r="N18" s="16">
        <v>2.494635193133047</v>
      </c>
      <c r="O18" s="6">
        <v>-186</v>
      </c>
      <c r="P18" s="4" t="s">
        <v>151</v>
      </c>
      <c r="Q18" s="1">
        <v>398825</v>
      </c>
      <c r="R18" s="4" t="s">
        <v>52</v>
      </c>
      <c r="S18" s="4"/>
      <c r="T18" s="4" t="s">
        <v>152</v>
      </c>
      <c r="U18" s="4" t="s">
        <v>153</v>
      </c>
      <c r="V18" s="4" t="s">
        <v>55</v>
      </c>
      <c r="W18" s="4">
        <v>3081</v>
      </c>
      <c r="X18" s="4" t="s">
        <v>42</v>
      </c>
      <c r="Y18" s="4"/>
      <c r="Z18" s="4"/>
      <c r="AA18" s="4"/>
      <c r="AB18" s="4"/>
      <c r="AC18" s="4" t="s">
        <v>52</v>
      </c>
      <c r="AD18" s="4" t="s">
        <v>45</v>
      </c>
    </row>
    <row r="19" spans="1:30">
      <c r="A19" s="4" t="s">
        <v>30</v>
      </c>
      <c r="B19" s="4"/>
      <c r="C19" s="4">
        <v>212203</v>
      </c>
      <c r="D19" s="4" t="s">
        <v>99</v>
      </c>
      <c r="E19" s="13" t="s">
        <v>157</v>
      </c>
      <c r="F19" s="4" t="s">
        <v>158</v>
      </c>
      <c r="G19" s="4">
        <v>0</v>
      </c>
      <c r="H19" s="4" t="s">
        <v>159</v>
      </c>
      <c r="I19" s="5">
        <v>45111</v>
      </c>
      <c r="J19" s="5">
        <v>45476</v>
      </c>
      <c r="K19" s="4" t="s">
        <v>103</v>
      </c>
      <c r="L19" s="4" t="s">
        <v>104</v>
      </c>
      <c r="M19" s="7">
        <v>8111</v>
      </c>
      <c r="N19" s="16">
        <v>14.991986191591666</v>
      </c>
      <c r="O19" s="6">
        <v>1216</v>
      </c>
      <c r="P19" s="4" t="s">
        <v>37</v>
      </c>
      <c r="Q19" s="1" t="s">
        <v>52</v>
      </c>
      <c r="R19" s="4" t="s">
        <v>52</v>
      </c>
      <c r="S19" s="4"/>
      <c r="T19" s="4" t="s">
        <v>160</v>
      </c>
      <c r="U19" s="4" t="s">
        <v>160</v>
      </c>
      <c r="V19" s="4" t="s">
        <v>107</v>
      </c>
      <c r="W19" s="4">
        <v>3075</v>
      </c>
      <c r="X19" s="4" t="s">
        <v>42</v>
      </c>
      <c r="Y19" s="4"/>
      <c r="Z19" s="4" t="s">
        <v>117</v>
      </c>
      <c r="AA19" s="4"/>
      <c r="AB19" s="4"/>
      <c r="AC19" s="4" t="s">
        <v>52</v>
      </c>
      <c r="AD19" s="4" t="s">
        <v>45</v>
      </c>
    </row>
    <row r="20" spans="1:30">
      <c r="A20" s="4" t="s">
        <v>30</v>
      </c>
      <c r="B20" s="4"/>
      <c r="C20" s="4">
        <v>421300</v>
      </c>
      <c r="D20" s="4" t="s">
        <v>161</v>
      </c>
      <c r="E20" s="13" t="s">
        <v>162</v>
      </c>
      <c r="F20" s="4" t="s">
        <v>163</v>
      </c>
      <c r="G20" s="4">
        <v>0</v>
      </c>
      <c r="H20" s="4" t="s">
        <v>164</v>
      </c>
      <c r="I20" s="5">
        <v>45084</v>
      </c>
      <c r="J20" s="5">
        <v>45449</v>
      </c>
      <c r="K20" s="4" t="s">
        <v>50</v>
      </c>
      <c r="L20" s="4" t="s">
        <v>51</v>
      </c>
      <c r="M20" s="7">
        <v>2040783</v>
      </c>
      <c r="N20" s="16">
        <v>7.0000093101520342</v>
      </c>
      <c r="O20" s="6">
        <v>142855</v>
      </c>
      <c r="P20" s="4" t="s">
        <v>37</v>
      </c>
      <c r="Q20" s="1">
        <v>438851</v>
      </c>
      <c r="R20" s="4" t="s">
        <v>38</v>
      </c>
      <c r="S20" s="4"/>
      <c r="T20" s="4" t="s">
        <v>165</v>
      </c>
      <c r="U20" s="4" t="s">
        <v>166</v>
      </c>
      <c r="V20" s="4" t="s">
        <v>167</v>
      </c>
      <c r="W20" s="4">
        <v>3066</v>
      </c>
      <c r="X20" s="4" t="s">
        <v>42</v>
      </c>
      <c r="Y20" s="4"/>
      <c r="Z20" s="4"/>
      <c r="AA20" s="4"/>
      <c r="AB20" s="4"/>
      <c r="AC20" s="4" t="s">
        <v>44</v>
      </c>
      <c r="AD20" s="4" t="s">
        <v>45</v>
      </c>
    </row>
    <row r="21" spans="1:30">
      <c r="A21" s="4" t="s">
        <v>30</v>
      </c>
      <c r="B21" s="4"/>
      <c r="C21" s="4">
        <v>111900</v>
      </c>
      <c r="D21" s="4" t="s">
        <v>168</v>
      </c>
      <c r="E21" s="13" t="s">
        <v>169</v>
      </c>
      <c r="F21" s="4" t="s">
        <v>170</v>
      </c>
      <c r="G21" s="4">
        <v>1</v>
      </c>
      <c r="H21" s="4" t="s">
        <v>171</v>
      </c>
      <c r="I21" s="5">
        <v>45016</v>
      </c>
      <c r="J21" s="5">
        <v>45381</v>
      </c>
      <c r="K21" s="4" t="s">
        <v>172</v>
      </c>
      <c r="L21" s="4" t="s">
        <v>173</v>
      </c>
      <c r="M21" s="7">
        <v>83250</v>
      </c>
      <c r="N21" s="16">
        <v>11.500300300300299</v>
      </c>
      <c r="O21" s="6">
        <v>9574</v>
      </c>
      <c r="P21" s="4" t="s">
        <v>95</v>
      </c>
      <c r="Q21" s="1">
        <v>428435</v>
      </c>
      <c r="R21" s="4" t="s">
        <v>174</v>
      </c>
      <c r="S21" s="4"/>
      <c r="T21" s="4" t="s">
        <v>175</v>
      </c>
      <c r="U21" s="4" t="s">
        <v>176</v>
      </c>
      <c r="V21" s="4" t="s">
        <v>177</v>
      </c>
      <c r="W21" s="4">
        <v>3086</v>
      </c>
      <c r="X21" s="4" t="s">
        <v>42</v>
      </c>
      <c r="Y21" s="4"/>
      <c r="Z21" s="4"/>
      <c r="AA21" s="4"/>
      <c r="AB21" s="4"/>
      <c r="AC21" s="4" t="s">
        <v>143</v>
      </c>
      <c r="AD21" s="4" t="s">
        <v>45</v>
      </c>
    </row>
    <row r="22" spans="1:30">
      <c r="A22" s="4" t="s">
        <v>30</v>
      </c>
      <c r="B22" s="4"/>
      <c r="C22" s="4">
        <v>510000</v>
      </c>
      <c r="D22" s="4" t="s">
        <v>46</v>
      </c>
      <c r="E22" s="13" t="s">
        <v>178</v>
      </c>
      <c r="F22" s="4" t="s">
        <v>179</v>
      </c>
      <c r="G22" s="4">
        <v>0</v>
      </c>
      <c r="H22" s="4" t="s">
        <v>180</v>
      </c>
      <c r="I22" s="5">
        <v>45090</v>
      </c>
      <c r="J22" s="5">
        <v>45454</v>
      </c>
      <c r="K22" s="4" t="s">
        <v>181</v>
      </c>
      <c r="L22" s="4" t="s">
        <v>182</v>
      </c>
      <c r="M22" s="7">
        <v>610</v>
      </c>
      <c r="N22" s="16">
        <v>12.459016393442624</v>
      </c>
      <c r="O22" s="6">
        <v>76</v>
      </c>
      <c r="P22" s="4" t="s">
        <v>37</v>
      </c>
      <c r="Q22" s="1">
        <v>441895</v>
      </c>
      <c r="R22" s="4" t="s">
        <v>38</v>
      </c>
      <c r="S22" s="4"/>
      <c r="T22" s="4" t="s">
        <v>39</v>
      </c>
      <c r="U22" s="4" t="s">
        <v>183</v>
      </c>
      <c r="V22" s="4" t="s">
        <v>55</v>
      </c>
      <c r="W22" s="4">
        <v>3081</v>
      </c>
      <c r="X22" s="4" t="s">
        <v>42</v>
      </c>
      <c r="Y22" s="4"/>
      <c r="Z22" s="4"/>
      <c r="AA22" s="4" t="s">
        <v>184</v>
      </c>
      <c r="AB22" s="4"/>
      <c r="AC22" s="4" t="s">
        <v>185</v>
      </c>
      <c r="AD22" s="4" t="s">
        <v>45</v>
      </c>
    </row>
    <row r="23" spans="1:30">
      <c r="A23" s="4" t="s">
        <v>30</v>
      </c>
      <c r="B23" s="4"/>
      <c r="C23" s="4">
        <v>111900</v>
      </c>
      <c r="D23" s="4" t="s">
        <v>168</v>
      </c>
      <c r="E23" s="13" t="s">
        <v>186</v>
      </c>
      <c r="F23" s="4" t="s">
        <v>187</v>
      </c>
      <c r="G23" s="4">
        <v>0</v>
      </c>
      <c r="H23" s="4" t="s">
        <v>188</v>
      </c>
      <c r="I23" s="5">
        <v>45104</v>
      </c>
      <c r="J23" s="5">
        <v>45469</v>
      </c>
      <c r="K23" s="4" t="s">
        <v>172</v>
      </c>
      <c r="L23" s="4" t="s">
        <v>173</v>
      </c>
      <c r="M23" s="7">
        <v>43125</v>
      </c>
      <c r="N23" s="16">
        <v>14.998260869565218</v>
      </c>
      <c r="O23" s="6">
        <v>6468</v>
      </c>
      <c r="P23" s="4" t="s">
        <v>95</v>
      </c>
      <c r="Q23" s="1" t="s">
        <v>52</v>
      </c>
      <c r="R23" s="4" t="s">
        <v>52</v>
      </c>
      <c r="S23" s="4"/>
      <c r="T23" s="4" t="s">
        <v>175</v>
      </c>
      <c r="U23" s="4" t="s">
        <v>176</v>
      </c>
      <c r="V23" s="4" t="s">
        <v>177</v>
      </c>
      <c r="W23" s="4">
        <v>3086</v>
      </c>
      <c r="X23" s="4" t="s">
        <v>42</v>
      </c>
      <c r="Y23" s="4"/>
      <c r="Z23" s="4" t="s">
        <v>117</v>
      </c>
      <c r="AA23" s="4"/>
      <c r="AB23" s="4"/>
      <c r="AC23" s="4" t="s">
        <v>52</v>
      </c>
      <c r="AD23" s="4" t="s">
        <v>45</v>
      </c>
    </row>
    <row r="24" spans="1:30">
      <c r="A24" s="4" t="s">
        <v>30</v>
      </c>
      <c r="B24" s="4"/>
      <c r="C24" s="4">
        <v>212203</v>
      </c>
      <c r="D24" s="4" t="s">
        <v>99</v>
      </c>
      <c r="E24" s="13" t="s">
        <v>189</v>
      </c>
      <c r="F24" s="4" t="s">
        <v>190</v>
      </c>
      <c r="G24" s="4">
        <v>0</v>
      </c>
      <c r="H24" s="4" t="s">
        <v>191</v>
      </c>
      <c r="I24" s="5">
        <v>45039</v>
      </c>
      <c r="J24" s="5">
        <v>45382</v>
      </c>
      <c r="K24" s="4" t="s">
        <v>192</v>
      </c>
      <c r="L24" s="4" t="s">
        <v>193</v>
      </c>
      <c r="M24" s="7">
        <v>1178</v>
      </c>
      <c r="N24" s="16">
        <v>16.468590831918508</v>
      </c>
      <c r="O24" s="6">
        <v>194</v>
      </c>
      <c r="P24" s="4" t="s">
        <v>37</v>
      </c>
      <c r="Q24" s="1" t="s">
        <v>52</v>
      </c>
      <c r="R24" s="4" t="s">
        <v>52</v>
      </c>
      <c r="S24" s="4"/>
      <c r="T24" s="4" t="s">
        <v>194</v>
      </c>
      <c r="U24" s="4" t="s">
        <v>195</v>
      </c>
      <c r="V24" s="4" t="s">
        <v>107</v>
      </c>
      <c r="W24" s="4">
        <v>3075</v>
      </c>
      <c r="X24" s="4" t="s">
        <v>42</v>
      </c>
      <c r="Y24" s="4"/>
      <c r="Z24" s="4" t="s">
        <v>117</v>
      </c>
      <c r="AA24" s="4"/>
      <c r="AB24" s="4"/>
      <c r="AC24" s="4" t="s">
        <v>52</v>
      </c>
      <c r="AD24" s="4" t="s">
        <v>45</v>
      </c>
    </row>
    <row r="25" spans="1:30">
      <c r="A25" s="4" t="s">
        <v>30</v>
      </c>
      <c r="B25" s="4"/>
      <c r="C25" s="4">
        <v>212203</v>
      </c>
      <c r="D25" s="4" t="s">
        <v>99</v>
      </c>
      <c r="E25" s="13" t="s">
        <v>196</v>
      </c>
      <c r="F25" s="4" t="s">
        <v>197</v>
      </c>
      <c r="G25" s="4">
        <v>0</v>
      </c>
      <c r="H25" s="4" t="s">
        <v>198</v>
      </c>
      <c r="I25" s="5">
        <v>45084</v>
      </c>
      <c r="J25" s="5">
        <v>45449</v>
      </c>
      <c r="K25" s="4" t="s">
        <v>199</v>
      </c>
      <c r="L25" s="4" t="s">
        <v>200</v>
      </c>
      <c r="M25" s="7">
        <v>8706</v>
      </c>
      <c r="N25" s="16">
        <v>13.26671261199173</v>
      </c>
      <c r="O25" s="6">
        <v>990</v>
      </c>
      <c r="P25" s="4" t="s">
        <v>37</v>
      </c>
      <c r="Q25" s="1">
        <v>443804</v>
      </c>
      <c r="R25" s="4" t="s">
        <v>38</v>
      </c>
      <c r="S25" s="4"/>
      <c r="T25" s="4" t="s">
        <v>105</v>
      </c>
      <c r="U25" s="4" t="s">
        <v>106</v>
      </c>
      <c r="V25" s="4" t="s">
        <v>107</v>
      </c>
      <c r="W25" s="4">
        <v>3075</v>
      </c>
      <c r="X25" s="4" t="s">
        <v>42</v>
      </c>
      <c r="Y25" s="4"/>
      <c r="Z25" s="4"/>
      <c r="AA25" s="4" t="s">
        <v>201</v>
      </c>
      <c r="AB25" s="4"/>
      <c r="AC25" s="4" t="s">
        <v>185</v>
      </c>
      <c r="AD25" s="4" t="s">
        <v>45</v>
      </c>
    </row>
    <row r="26" spans="1:30">
      <c r="A26" s="4" t="s">
        <v>30</v>
      </c>
      <c r="B26" s="4"/>
      <c r="C26" s="4">
        <v>212203</v>
      </c>
      <c r="D26" s="4" t="s">
        <v>99</v>
      </c>
      <c r="E26" s="13" t="s">
        <v>202</v>
      </c>
      <c r="F26" s="4" t="s">
        <v>203</v>
      </c>
      <c r="G26" s="4">
        <v>0</v>
      </c>
      <c r="H26" s="4" t="s">
        <v>204</v>
      </c>
      <c r="I26" s="5">
        <v>45097</v>
      </c>
      <c r="J26" s="5">
        <v>45462</v>
      </c>
      <c r="K26" s="4" t="s">
        <v>205</v>
      </c>
      <c r="L26" s="4" t="s">
        <v>206</v>
      </c>
      <c r="M26" s="7">
        <v>9682</v>
      </c>
      <c r="N26" s="16">
        <v>14.996901466639125</v>
      </c>
      <c r="O26" s="6">
        <v>1452</v>
      </c>
      <c r="P26" s="4" t="s">
        <v>37</v>
      </c>
      <c r="Q26" s="1" t="s">
        <v>207</v>
      </c>
      <c r="R26" s="4" t="s">
        <v>207</v>
      </c>
      <c r="S26" s="4"/>
      <c r="T26" s="4" t="s">
        <v>105</v>
      </c>
      <c r="U26" s="4" t="s">
        <v>106</v>
      </c>
      <c r="V26" s="4" t="s">
        <v>107</v>
      </c>
      <c r="W26" s="4">
        <v>3075</v>
      </c>
      <c r="X26" s="4" t="s">
        <v>42</v>
      </c>
      <c r="Y26" s="4"/>
      <c r="Z26" s="4"/>
      <c r="AA26" s="4"/>
      <c r="AB26" s="4"/>
      <c r="AC26" s="4" t="s">
        <v>207</v>
      </c>
      <c r="AD26" s="4" t="s">
        <v>45</v>
      </c>
    </row>
    <row r="27" spans="1:30">
      <c r="A27" s="4" t="s">
        <v>30</v>
      </c>
      <c r="B27" s="4"/>
      <c r="C27" s="4">
        <v>272200</v>
      </c>
      <c r="D27" s="4" t="s">
        <v>208</v>
      </c>
      <c r="E27" s="13" t="s">
        <v>209</v>
      </c>
      <c r="F27" s="4" t="s">
        <v>210</v>
      </c>
      <c r="G27" s="4">
        <v>0</v>
      </c>
      <c r="H27" s="4" t="s">
        <v>211</v>
      </c>
      <c r="I27" s="5">
        <v>45091</v>
      </c>
      <c r="J27" s="5">
        <v>45456</v>
      </c>
      <c r="K27" s="4" t="s">
        <v>139</v>
      </c>
      <c r="L27" s="4" t="s">
        <v>140</v>
      </c>
      <c r="M27" s="7">
        <v>12981</v>
      </c>
      <c r="N27" s="16">
        <v>12.495185270780372</v>
      </c>
      <c r="O27" s="6">
        <v>1622</v>
      </c>
      <c r="P27" s="4" t="s">
        <v>37</v>
      </c>
      <c r="Q27" s="1" t="s">
        <v>52</v>
      </c>
      <c r="R27" s="4" t="s">
        <v>52</v>
      </c>
      <c r="S27" s="4"/>
      <c r="T27" s="4" t="s">
        <v>141</v>
      </c>
      <c r="U27" s="4" t="s">
        <v>142</v>
      </c>
      <c r="V27" s="4" t="s">
        <v>212</v>
      </c>
      <c r="W27" s="4">
        <v>3079</v>
      </c>
      <c r="X27" s="4" t="s">
        <v>42</v>
      </c>
      <c r="Y27" s="4"/>
      <c r="Z27" s="4" t="s">
        <v>117</v>
      </c>
      <c r="AA27" s="4"/>
      <c r="AB27" s="4"/>
      <c r="AC27" s="4" t="s">
        <v>52</v>
      </c>
      <c r="AD27" s="4" t="s">
        <v>45</v>
      </c>
    </row>
    <row r="28" spans="1:30">
      <c r="A28" s="4" t="s">
        <v>30</v>
      </c>
      <c r="B28" s="4"/>
      <c r="C28" s="4">
        <v>212203</v>
      </c>
      <c r="D28" s="4" t="s">
        <v>99</v>
      </c>
      <c r="E28" s="13" t="s">
        <v>213</v>
      </c>
      <c r="F28" s="4" t="s">
        <v>214</v>
      </c>
      <c r="G28" s="4">
        <v>0</v>
      </c>
      <c r="H28" s="4" t="s">
        <v>215</v>
      </c>
      <c r="I28" s="5">
        <v>45095</v>
      </c>
      <c r="J28" s="5">
        <v>45460</v>
      </c>
      <c r="K28" s="4" t="s">
        <v>199</v>
      </c>
      <c r="L28" s="4" t="s">
        <v>200</v>
      </c>
      <c r="M28" s="7">
        <v>9224</v>
      </c>
      <c r="N28" s="16">
        <v>13.356461405030357</v>
      </c>
      <c r="O28" s="6">
        <v>1232</v>
      </c>
      <c r="P28" s="4" t="s">
        <v>37</v>
      </c>
      <c r="Q28" s="1">
        <v>443826</v>
      </c>
      <c r="R28" s="4" t="s">
        <v>38</v>
      </c>
      <c r="S28" s="4"/>
      <c r="T28" s="4" t="s">
        <v>105</v>
      </c>
      <c r="U28" s="4" t="s">
        <v>106</v>
      </c>
      <c r="V28" s="4" t="s">
        <v>107</v>
      </c>
      <c r="W28" s="4">
        <v>3075</v>
      </c>
      <c r="X28" s="4" t="s">
        <v>42</v>
      </c>
      <c r="Y28" s="4"/>
      <c r="Z28" s="4"/>
      <c r="AA28" s="4" t="s">
        <v>201</v>
      </c>
      <c r="AB28" s="4"/>
      <c r="AC28" s="4" t="s">
        <v>185</v>
      </c>
      <c r="AD28" s="4" t="s">
        <v>45</v>
      </c>
    </row>
    <row r="29" spans="1:30">
      <c r="A29" s="4" t="s">
        <v>30</v>
      </c>
      <c r="B29" s="4"/>
      <c r="C29" s="4">
        <v>212203</v>
      </c>
      <c r="D29" s="4" t="s">
        <v>99</v>
      </c>
      <c r="E29" s="13" t="s">
        <v>216</v>
      </c>
      <c r="F29" s="4" t="s">
        <v>217</v>
      </c>
      <c r="G29" s="4">
        <v>0</v>
      </c>
      <c r="H29" s="4" t="s">
        <v>218</v>
      </c>
      <c r="I29" s="5">
        <v>45088</v>
      </c>
      <c r="J29" s="5">
        <v>45453</v>
      </c>
      <c r="K29" s="4" t="s">
        <v>199</v>
      </c>
      <c r="L29" s="4" t="s">
        <v>200</v>
      </c>
      <c r="M29" s="7">
        <v>8512</v>
      </c>
      <c r="N29" s="16">
        <v>13.228383458646617</v>
      </c>
      <c r="O29" s="6">
        <v>1126</v>
      </c>
      <c r="P29" s="4" t="s">
        <v>37</v>
      </c>
      <c r="Q29" s="1">
        <v>443822</v>
      </c>
      <c r="R29" s="4" t="s">
        <v>38</v>
      </c>
      <c r="S29" s="4"/>
      <c r="T29" s="4" t="s">
        <v>105</v>
      </c>
      <c r="U29" s="4" t="s">
        <v>106</v>
      </c>
      <c r="V29" s="4" t="s">
        <v>107</v>
      </c>
      <c r="W29" s="4">
        <v>3075</v>
      </c>
      <c r="X29" s="4" t="s">
        <v>42</v>
      </c>
      <c r="Y29" s="4"/>
      <c r="Z29" s="4"/>
      <c r="AA29" s="4" t="s">
        <v>201</v>
      </c>
      <c r="AB29" s="4"/>
      <c r="AC29" s="4" t="s">
        <v>185</v>
      </c>
      <c r="AD29" s="4" t="s">
        <v>45</v>
      </c>
    </row>
    <row r="30" spans="1:30">
      <c r="A30" s="4" t="s">
        <v>30</v>
      </c>
      <c r="B30" s="4"/>
      <c r="C30" s="4">
        <v>212203</v>
      </c>
      <c r="D30" s="4" t="s">
        <v>99</v>
      </c>
      <c r="E30" s="13" t="s">
        <v>219</v>
      </c>
      <c r="F30" s="4" t="s">
        <v>220</v>
      </c>
      <c r="G30" s="4">
        <v>0</v>
      </c>
      <c r="H30" s="4" t="s">
        <v>221</v>
      </c>
      <c r="I30" s="5">
        <v>45099</v>
      </c>
      <c r="J30" s="5">
        <v>45464</v>
      </c>
      <c r="K30" s="4" t="s">
        <v>199</v>
      </c>
      <c r="L30" s="4" t="s">
        <v>200</v>
      </c>
      <c r="M30" s="7">
        <v>8522</v>
      </c>
      <c r="N30" s="16">
        <v>13.224595165454119</v>
      </c>
      <c r="O30" s="6">
        <v>1127</v>
      </c>
      <c r="P30" s="4" t="s">
        <v>37</v>
      </c>
      <c r="Q30" s="1">
        <v>443832</v>
      </c>
      <c r="R30" s="4" t="s">
        <v>38</v>
      </c>
      <c r="S30" s="4"/>
      <c r="T30" s="4" t="s">
        <v>105</v>
      </c>
      <c r="U30" s="4" t="s">
        <v>106</v>
      </c>
      <c r="V30" s="4" t="s">
        <v>107</v>
      </c>
      <c r="W30" s="4">
        <v>3075</v>
      </c>
      <c r="X30" s="4" t="s">
        <v>42</v>
      </c>
      <c r="Y30" s="4"/>
      <c r="Z30" s="4"/>
      <c r="AA30" s="4" t="s">
        <v>201</v>
      </c>
      <c r="AB30" s="4"/>
      <c r="AC30" s="4" t="s">
        <v>185</v>
      </c>
      <c r="AD30" s="4" t="s">
        <v>45</v>
      </c>
    </row>
    <row r="31" spans="1:30">
      <c r="A31" s="4" t="s">
        <v>30</v>
      </c>
      <c r="B31" s="4"/>
      <c r="C31" s="4">
        <v>215600</v>
      </c>
      <c r="D31" s="4" t="s">
        <v>129</v>
      </c>
      <c r="E31" s="13" t="s">
        <v>222</v>
      </c>
      <c r="F31" s="4" t="s">
        <v>223</v>
      </c>
      <c r="G31" s="4">
        <v>0</v>
      </c>
      <c r="H31" s="4" t="s">
        <v>224</v>
      </c>
      <c r="I31" s="5">
        <v>45017</v>
      </c>
      <c r="J31" s="5">
        <v>45382</v>
      </c>
      <c r="K31" s="4" t="s">
        <v>225</v>
      </c>
      <c r="L31" s="4" t="s">
        <v>226</v>
      </c>
      <c r="M31" s="7">
        <v>626</v>
      </c>
      <c r="N31" s="16">
        <v>12.460063897763579</v>
      </c>
      <c r="O31" s="6">
        <v>78</v>
      </c>
      <c r="P31" s="4" t="s">
        <v>37</v>
      </c>
      <c r="Q31" s="1">
        <v>430568</v>
      </c>
      <c r="R31" s="4" t="s">
        <v>38</v>
      </c>
      <c r="S31" s="4"/>
      <c r="T31" s="4" t="s">
        <v>227</v>
      </c>
      <c r="U31" s="4" t="s">
        <v>228</v>
      </c>
      <c r="V31" s="4" t="s">
        <v>136</v>
      </c>
      <c r="W31" s="4">
        <v>3076</v>
      </c>
      <c r="X31" s="4" t="s">
        <v>42</v>
      </c>
      <c r="Y31" s="4"/>
      <c r="Z31" s="4"/>
      <c r="AA31" s="4"/>
      <c r="AB31" s="4"/>
      <c r="AC31" s="4" t="s">
        <v>44</v>
      </c>
      <c r="AD31" s="4" t="s">
        <v>45</v>
      </c>
    </row>
    <row r="32" spans="1:30">
      <c r="A32" s="4" t="s">
        <v>30</v>
      </c>
      <c r="B32" s="4"/>
      <c r="C32" s="4">
        <v>212203</v>
      </c>
      <c r="D32" s="4" t="s">
        <v>99</v>
      </c>
      <c r="E32" s="13" t="s">
        <v>229</v>
      </c>
      <c r="F32" s="4" t="s">
        <v>230</v>
      </c>
      <c r="G32" s="4">
        <v>0</v>
      </c>
      <c r="H32" s="4" t="s">
        <v>198</v>
      </c>
      <c r="I32" s="5">
        <v>45084</v>
      </c>
      <c r="J32" s="5">
        <v>45449</v>
      </c>
      <c r="K32" s="4" t="s">
        <v>199</v>
      </c>
      <c r="L32" s="4" t="s">
        <v>200</v>
      </c>
      <c r="M32" s="7">
        <v>3358</v>
      </c>
      <c r="N32" s="16">
        <v>10.482430017867779</v>
      </c>
      <c r="O32" s="6">
        <v>352</v>
      </c>
      <c r="P32" s="4" t="s">
        <v>37</v>
      </c>
      <c r="Q32" s="1">
        <v>443801</v>
      </c>
      <c r="R32" s="4" t="s">
        <v>38</v>
      </c>
      <c r="S32" s="4"/>
      <c r="T32" s="4" t="s">
        <v>105</v>
      </c>
      <c r="U32" s="4" t="s">
        <v>106</v>
      </c>
      <c r="V32" s="4" t="s">
        <v>107</v>
      </c>
      <c r="W32" s="4">
        <v>3075</v>
      </c>
      <c r="X32" s="4" t="s">
        <v>42</v>
      </c>
      <c r="Y32" s="4"/>
      <c r="Z32" s="4"/>
      <c r="AA32" s="4" t="s">
        <v>201</v>
      </c>
      <c r="AB32" s="4"/>
      <c r="AC32" s="4" t="s">
        <v>185</v>
      </c>
      <c r="AD32" s="4" t="s">
        <v>45</v>
      </c>
    </row>
    <row r="33" spans="1:30">
      <c r="A33" s="4" t="s">
        <v>30</v>
      </c>
      <c r="B33" s="4"/>
      <c r="C33" s="4">
        <v>510000</v>
      </c>
      <c r="D33" s="4" t="s">
        <v>46</v>
      </c>
      <c r="E33" s="13" t="s">
        <v>231</v>
      </c>
      <c r="F33" s="4" t="s">
        <v>232</v>
      </c>
      <c r="G33" s="4">
        <v>6</v>
      </c>
      <c r="H33" s="4" t="s">
        <v>233</v>
      </c>
      <c r="I33" s="5">
        <v>44713</v>
      </c>
      <c r="J33" s="5">
        <v>45077</v>
      </c>
      <c r="K33" s="4" t="s">
        <v>50</v>
      </c>
      <c r="L33" s="4" t="s">
        <v>51</v>
      </c>
      <c r="M33" s="7">
        <v>-1036</v>
      </c>
      <c r="N33" s="16">
        <v>3</v>
      </c>
      <c r="O33" s="6">
        <v>-31.08</v>
      </c>
      <c r="P33" s="4" t="s">
        <v>151</v>
      </c>
      <c r="Q33" s="1">
        <v>418715</v>
      </c>
      <c r="R33" s="4" t="s">
        <v>52</v>
      </c>
      <c r="S33" s="4"/>
      <c r="T33" s="4" t="s">
        <v>152</v>
      </c>
      <c r="U33" s="4" t="s">
        <v>153</v>
      </c>
      <c r="V33" s="4" t="s">
        <v>55</v>
      </c>
      <c r="W33" s="4">
        <v>3081</v>
      </c>
      <c r="X33" s="4" t="s">
        <v>42</v>
      </c>
      <c r="Y33" s="4"/>
      <c r="Z33" s="4"/>
      <c r="AA33" s="4"/>
      <c r="AB33" s="4"/>
      <c r="AC33" s="4" t="s">
        <v>52</v>
      </c>
      <c r="AD33" s="4" t="s">
        <v>45</v>
      </c>
    </row>
    <row r="34" spans="1:30">
      <c r="A34" s="4" t="s">
        <v>30</v>
      </c>
      <c r="B34" s="4"/>
      <c r="C34" s="4">
        <v>411700</v>
      </c>
      <c r="D34" s="4" t="s">
        <v>234</v>
      </c>
      <c r="E34" s="13" t="s">
        <v>235</v>
      </c>
      <c r="F34" s="4" t="s">
        <v>236</v>
      </c>
      <c r="G34" s="4">
        <v>8</v>
      </c>
      <c r="H34" s="4" t="s">
        <v>237</v>
      </c>
      <c r="I34" s="5">
        <v>44835</v>
      </c>
      <c r="J34" s="5">
        <v>45199</v>
      </c>
      <c r="K34" s="4" t="s">
        <v>50</v>
      </c>
      <c r="L34" s="4" t="s">
        <v>51</v>
      </c>
      <c r="M34" s="7">
        <v>4579</v>
      </c>
      <c r="N34" s="16">
        <v>1</v>
      </c>
      <c r="O34" s="6">
        <v>45.79</v>
      </c>
      <c r="P34" s="4" t="s">
        <v>151</v>
      </c>
      <c r="Q34" s="1">
        <v>408012</v>
      </c>
      <c r="R34" s="4" t="s">
        <v>238</v>
      </c>
      <c r="S34" s="4"/>
      <c r="T34" s="4" t="s">
        <v>239</v>
      </c>
      <c r="U34" s="4" t="s">
        <v>240</v>
      </c>
      <c r="V34" s="4" t="s">
        <v>241</v>
      </c>
      <c r="W34" s="4">
        <v>3069</v>
      </c>
      <c r="X34" s="4" t="s">
        <v>42</v>
      </c>
      <c r="Y34" s="4"/>
      <c r="Z34" s="4"/>
      <c r="AA34" s="4"/>
      <c r="AB34" s="4"/>
      <c r="AC34" s="4" t="s">
        <v>242</v>
      </c>
      <c r="AD34" s="4" t="s">
        <v>45</v>
      </c>
    </row>
    <row r="35" spans="1:30">
      <c r="A35" s="4" t="s">
        <v>30</v>
      </c>
      <c r="B35" s="4"/>
      <c r="C35" s="4">
        <v>510000</v>
      </c>
      <c r="D35" s="4" t="s">
        <v>46</v>
      </c>
      <c r="E35" s="13" t="s">
        <v>243</v>
      </c>
      <c r="F35" s="4" t="s">
        <v>244</v>
      </c>
      <c r="G35" s="4">
        <v>12</v>
      </c>
      <c r="H35" s="4" t="s">
        <v>245</v>
      </c>
      <c r="I35" s="5">
        <v>44681</v>
      </c>
      <c r="J35" s="5">
        <v>45045</v>
      </c>
      <c r="K35" s="4" t="s">
        <v>50</v>
      </c>
      <c r="L35" s="4" t="s">
        <v>51</v>
      </c>
      <c r="M35" s="7">
        <v>1330</v>
      </c>
      <c r="N35" s="16">
        <v>5</v>
      </c>
      <c r="O35" s="6">
        <v>66.5</v>
      </c>
      <c r="P35" s="4" t="s">
        <v>95</v>
      </c>
      <c r="Q35" s="1">
        <v>382317</v>
      </c>
      <c r="R35" s="4" t="s">
        <v>246</v>
      </c>
      <c r="S35" s="4"/>
      <c r="T35" s="4" t="s">
        <v>247</v>
      </c>
      <c r="U35" s="4" t="s">
        <v>248</v>
      </c>
      <c r="V35" s="4" t="s">
        <v>55</v>
      </c>
      <c r="W35" s="4">
        <v>3081</v>
      </c>
      <c r="X35" s="4" t="s">
        <v>42</v>
      </c>
      <c r="Y35" s="4"/>
      <c r="Z35" s="4"/>
      <c r="AA35" s="4"/>
      <c r="AB35" s="4"/>
      <c r="AC35" s="4" t="s">
        <v>44</v>
      </c>
      <c r="AD35" s="4" t="s">
        <v>45</v>
      </c>
    </row>
    <row r="36" spans="1:30">
      <c r="A36" s="4" t="s">
        <v>30</v>
      </c>
      <c r="B36" s="4"/>
      <c r="C36" s="4">
        <v>510000</v>
      </c>
      <c r="D36" s="4" t="s">
        <v>46</v>
      </c>
      <c r="E36" s="13" t="s">
        <v>249</v>
      </c>
      <c r="F36" s="4" t="s">
        <v>250</v>
      </c>
      <c r="G36" s="4">
        <v>3</v>
      </c>
      <c r="H36" s="4" t="s">
        <v>251</v>
      </c>
      <c r="I36" s="5">
        <v>44964</v>
      </c>
      <c r="J36" s="5">
        <v>45291</v>
      </c>
      <c r="K36" s="4" t="s">
        <v>50</v>
      </c>
      <c r="L36" s="4" t="s">
        <v>51</v>
      </c>
      <c r="M36" s="7">
        <v>-31233</v>
      </c>
      <c r="N36" s="16">
        <v>5.0000000000000009</v>
      </c>
      <c r="O36" s="6">
        <v>-1561.65</v>
      </c>
      <c r="P36" s="4" t="s">
        <v>37</v>
      </c>
      <c r="Q36" s="1">
        <v>430593</v>
      </c>
      <c r="R36" s="4" t="s">
        <v>52</v>
      </c>
      <c r="S36" s="4"/>
      <c r="T36" s="4" t="s">
        <v>53</v>
      </c>
      <c r="U36" s="4" t="s">
        <v>54</v>
      </c>
      <c r="V36" s="4" t="s">
        <v>55</v>
      </c>
      <c r="W36" s="4">
        <v>3081</v>
      </c>
      <c r="X36" s="4" t="s">
        <v>42</v>
      </c>
      <c r="Y36" s="4"/>
      <c r="Z36" s="4"/>
      <c r="AA36" s="4"/>
      <c r="AB36" s="4"/>
      <c r="AC36" s="4" t="s">
        <v>52</v>
      </c>
      <c r="AD36" s="4" t="s">
        <v>45</v>
      </c>
    </row>
    <row r="37" spans="1:30">
      <c r="A37" s="4" t="s">
        <v>30</v>
      </c>
      <c r="B37" s="4"/>
      <c r="C37" s="4">
        <v>510000</v>
      </c>
      <c r="D37" s="4" t="s">
        <v>46</v>
      </c>
      <c r="E37" s="13" t="s">
        <v>252</v>
      </c>
      <c r="F37" s="4" t="s">
        <v>253</v>
      </c>
      <c r="G37" s="4">
        <v>0</v>
      </c>
      <c r="H37" s="4" t="s">
        <v>180</v>
      </c>
      <c r="I37" s="5">
        <v>45090</v>
      </c>
      <c r="J37" s="5">
        <v>45454</v>
      </c>
      <c r="K37" s="4" t="s">
        <v>254</v>
      </c>
      <c r="L37" s="4" t="s">
        <v>255</v>
      </c>
      <c r="M37" s="7">
        <v>625</v>
      </c>
      <c r="N37" s="16">
        <v>12.48</v>
      </c>
      <c r="O37" s="6">
        <v>78</v>
      </c>
      <c r="P37" s="4" t="s">
        <v>37</v>
      </c>
      <c r="Q37" s="1">
        <v>441894</v>
      </c>
      <c r="R37" s="4" t="s">
        <v>38</v>
      </c>
      <c r="S37" s="4"/>
      <c r="T37" s="4" t="s">
        <v>39</v>
      </c>
      <c r="U37" s="4" t="s">
        <v>183</v>
      </c>
      <c r="V37" s="4" t="s">
        <v>55</v>
      </c>
      <c r="W37" s="4">
        <v>3081</v>
      </c>
      <c r="X37" s="4" t="s">
        <v>42</v>
      </c>
      <c r="Y37" s="4"/>
      <c r="Z37" s="4"/>
      <c r="AA37" s="4"/>
      <c r="AB37" s="4" t="s">
        <v>43</v>
      </c>
      <c r="AC37" s="4" t="s">
        <v>44</v>
      </c>
      <c r="AD37" s="4" t="s">
        <v>45</v>
      </c>
    </row>
    <row r="38" spans="1:30">
      <c r="A38" s="4" t="s">
        <v>30</v>
      </c>
      <c r="B38" s="4"/>
      <c r="C38" s="4">
        <v>510000</v>
      </c>
      <c r="D38" s="4" t="s">
        <v>46</v>
      </c>
      <c r="E38" s="13" t="s">
        <v>256</v>
      </c>
      <c r="F38" s="4" t="s">
        <v>250</v>
      </c>
      <c r="G38" s="4">
        <v>4</v>
      </c>
      <c r="H38" s="4" t="s">
        <v>251</v>
      </c>
      <c r="I38" s="5">
        <v>44964</v>
      </c>
      <c r="J38" s="5">
        <v>45291</v>
      </c>
      <c r="K38" s="4" t="s">
        <v>50</v>
      </c>
      <c r="L38" s="4" t="s">
        <v>51</v>
      </c>
      <c r="M38" s="7">
        <v>-16143</v>
      </c>
      <c r="N38" s="16">
        <v>5</v>
      </c>
      <c r="O38" s="6">
        <v>-807.15</v>
      </c>
      <c r="P38" s="4" t="s">
        <v>37</v>
      </c>
      <c r="Q38" s="1">
        <v>430593</v>
      </c>
      <c r="R38" s="4" t="s">
        <v>52</v>
      </c>
      <c r="S38" s="4"/>
      <c r="T38" s="4" t="s">
        <v>53</v>
      </c>
      <c r="U38" s="4" t="s">
        <v>54</v>
      </c>
      <c r="V38" s="4" t="s">
        <v>55</v>
      </c>
      <c r="W38" s="4">
        <v>3081</v>
      </c>
      <c r="X38" s="4" t="s">
        <v>42</v>
      </c>
      <c r="Y38" s="4"/>
      <c r="Z38" s="4"/>
      <c r="AA38" s="4"/>
      <c r="AB38" s="4"/>
      <c r="AC38" s="4" t="s">
        <v>52</v>
      </c>
      <c r="AD38" s="4" t="s">
        <v>45</v>
      </c>
    </row>
    <row r="39" spans="1:30">
      <c r="A39" s="4" t="s">
        <v>30</v>
      </c>
      <c r="B39" s="4"/>
      <c r="C39" s="4">
        <v>510000</v>
      </c>
      <c r="D39" s="4" t="s">
        <v>46</v>
      </c>
      <c r="E39" s="13" t="s">
        <v>257</v>
      </c>
      <c r="F39" s="4" t="s">
        <v>258</v>
      </c>
      <c r="G39" s="4">
        <v>0</v>
      </c>
      <c r="H39" s="4" t="s">
        <v>211</v>
      </c>
      <c r="I39" s="5">
        <v>45093</v>
      </c>
      <c r="J39" s="5">
        <v>45458</v>
      </c>
      <c r="K39" s="4" t="s">
        <v>139</v>
      </c>
      <c r="L39" s="4" t="s">
        <v>140</v>
      </c>
      <c r="M39" s="7">
        <v>13058</v>
      </c>
      <c r="N39" s="16">
        <v>12.498085464849133</v>
      </c>
      <c r="O39" s="6">
        <v>1632</v>
      </c>
      <c r="P39" s="4" t="s">
        <v>125</v>
      </c>
      <c r="Q39" s="1" t="s">
        <v>52</v>
      </c>
      <c r="R39" s="4" t="s">
        <v>52</v>
      </c>
      <c r="S39" s="4"/>
      <c r="T39" s="4" t="s">
        <v>259</v>
      </c>
      <c r="U39" s="4" t="s">
        <v>260</v>
      </c>
      <c r="V39" s="4" t="s">
        <v>55</v>
      </c>
      <c r="W39" s="4">
        <v>3081</v>
      </c>
      <c r="X39" s="4" t="s">
        <v>42</v>
      </c>
      <c r="Y39" s="4"/>
      <c r="Z39" s="4" t="s">
        <v>117</v>
      </c>
      <c r="AA39" s="4"/>
      <c r="AB39" s="4"/>
      <c r="AC39" s="4" t="s">
        <v>52</v>
      </c>
      <c r="AD39" s="4" t="s">
        <v>45</v>
      </c>
    </row>
    <row r="40" spans="1:30">
      <c r="A40" s="4" t="s">
        <v>30</v>
      </c>
      <c r="B40" s="4"/>
      <c r="C40" s="4">
        <v>212203</v>
      </c>
      <c r="D40" s="4" t="s">
        <v>99</v>
      </c>
      <c r="E40" s="13" t="s">
        <v>261</v>
      </c>
      <c r="F40" s="4" t="s">
        <v>262</v>
      </c>
      <c r="G40" s="4">
        <v>0</v>
      </c>
      <c r="H40" s="4" t="s">
        <v>218</v>
      </c>
      <c r="I40" s="5">
        <v>45081</v>
      </c>
      <c r="J40" s="5">
        <v>45446</v>
      </c>
      <c r="K40" s="4" t="s">
        <v>199</v>
      </c>
      <c r="L40" s="4" t="s">
        <v>200</v>
      </c>
      <c r="M40" s="7">
        <v>8512</v>
      </c>
      <c r="N40" s="16">
        <v>0</v>
      </c>
      <c r="O40" s="6">
        <v>0</v>
      </c>
      <c r="P40" s="4" t="s">
        <v>37</v>
      </c>
      <c r="Q40" s="1">
        <v>443787</v>
      </c>
      <c r="R40" s="4" t="s">
        <v>38</v>
      </c>
      <c r="S40" s="4"/>
      <c r="T40" s="4" t="s">
        <v>105</v>
      </c>
      <c r="U40" s="4" t="s">
        <v>106</v>
      </c>
      <c r="V40" s="4" t="s">
        <v>107</v>
      </c>
      <c r="W40" s="4">
        <v>3075</v>
      </c>
      <c r="X40" s="4" t="s">
        <v>42</v>
      </c>
      <c r="Y40" s="4"/>
      <c r="Z40" s="4"/>
      <c r="AA40" s="4"/>
      <c r="AB40" s="4" t="s">
        <v>147</v>
      </c>
      <c r="AC40" s="4" t="s">
        <v>44</v>
      </c>
      <c r="AD40" s="4" t="s">
        <v>45</v>
      </c>
    </row>
    <row r="41" spans="1:30">
      <c r="A41" s="4" t="s">
        <v>30</v>
      </c>
      <c r="B41" s="4"/>
      <c r="C41" s="4">
        <v>212203</v>
      </c>
      <c r="D41" s="4" t="s">
        <v>99</v>
      </c>
      <c r="E41" s="13" t="s">
        <v>263</v>
      </c>
      <c r="F41" s="4" t="s">
        <v>264</v>
      </c>
      <c r="G41" s="4">
        <v>0</v>
      </c>
      <c r="H41" s="4" t="s">
        <v>265</v>
      </c>
      <c r="I41" s="5">
        <v>45082</v>
      </c>
      <c r="J41" s="5">
        <v>45447</v>
      </c>
      <c r="K41" s="4" t="s">
        <v>199</v>
      </c>
      <c r="L41" s="4" t="s">
        <v>200</v>
      </c>
      <c r="M41" s="7">
        <v>8663</v>
      </c>
      <c r="N41" s="16">
        <v>0</v>
      </c>
      <c r="O41" s="6">
        <v>0</v>
      </c>
      <c r="P41" s="4" t="s">
        <v>37</v>
      </c>
      <c r="Q41" s="1">
        <v>443790</v>
      </c>
      <c r="R41" s="4" t="s">
        <v>38</v>
      </c>
      <c r="S41" s="4"/>
      <c r="T41" s="4" t="s">
        <v>105</v>
      </c>
      <c r="U41" s="4" t="s">
        <v>106</v>
      </c>
      <c r="V41" s="4" t="s">
        <v>107</v>
      </c>
      <c r="W41" s="4">
        <v>3075</v>
      </c>
      <c r="X41" s="4" t="s">
        <v>42</v>
      </c>
      <c r="Y41" s="4"/>
      <c r="Z41" s="4"/>
      <c r="AA41" s="4"/>
      <c r="AB41" s="4" t="s">
        <v>147</v>
      </c>
      <c r="AC41" s="4" t="s">
        <v>44</v>
      </c>
      <c r="AD41" s="4" t="s">
        <v>45</v>
      </c>
    </row>
    <row r="42" spans="1:30">
      <c r="A42" s="4" t="s">
        <v>30</v>
      </c>
      <c r="B42" s="4"/>
      <c r="C42" s="4">
        <v>132500</v>
      </c>
      <c r="D42" s="4" t="s">
        <v>266</v>
      </c>
      <c r="E42" s="13" t="s">
        <v>267</v>
      </c>
      <c r="F42" s="4" t="s">
        <v>268</v>
      </c>
      <c r="G42" s="4">
        <v>0</v>
      </c>
      <c r="H42" s="4" t="s">
        <v>269</v>
      </c>
      <c r="I42" s="5">
        <v>45084</v>
      </c>
      <c r="J42" s="5">
        <v>45449</v>
      </c>
      <c r="K42" s="4" t="s">
        <v>270</v>
      </c>
      <c r="L42" s="4" t="s">
        <v>271</v>
      </c>
      <c r="M42" s="7">
        <v>11275</v>
      </c>
      <c r="N42" s="16">
        <v>16.505543237250553</v>
      </c>
      <c r="O42" s="6">
        <v>1861</v>
      </c>
      <c r="P42" s="4" t="s">
        <v>95</v>
      </c>
      <c r="Q42" s="1">
        <v>442036</v>
      </c>
      <c r="R42" s="4" t="s">
        <v>38</v>
      </c>
      <c r="S42" s="4"/>
      <c r="T42" s="4" t="s">
        <v>74</v>
      </c>
      <c r="U42" s="4" t="s">
        <v>272</v>
      </c>
      <c r="V42" s="4" t="s">
        <v>273</v>
      </c>
      <c r="W42" s="4" t="s">
        <v>273</v>
      </c>
      <c r="X42" s="4" t="s">
        <v>42</v>
      </c>
      <c r="Y42" s="4"/>
      <c r="Z42" s="4"/>
      <c r="AA42" s="4"/>
      <c r="AB42" s="4" t="s">
        <v>43</v>
      </c>
      <c r="AC42" s="4" t="s">
        <v>274</v>
      </c>
      <c r="AD42" s="4" t="s">
        <v>45</v>
      </c>
    </row>
    <row r="43" spans="1:30">
      <c r="A43" s="4" t="s">
        <v>30</v>
      </c>
      <c r="B43" s="4"/>
      <c r="C43" s="4">
        <v>222105</v>
      </c>
      <c r="D43" s="4" t="s">
        <v>68</v>
      </c>
      <c r="E43" s="13" t="s">
        <v>275</v>
      </c>
      <c r="F43" s="4" t="s">
        <v>276</v>
      </c>
      <c r="G43" s="4">
        <v>0</v>
      </c>
      <c r="H43" s="4" t="s">
        <v>277</v>
      </c>
      <c r="I43" s="5">
        <v>45116</v>
      </c>
      <c r="J43" s="5">
        <v>45481</v>
      </c>
      <c r="K43" s="4" t="s">
        <v>72</v>
      </c>
      <c r="L43" s="4" t="s">
        <v>73</v>
      </c>
      <c r="M43" s="7">
        <v>33053</v>
      </c>
      <c r="N43" s="16">
        <v>5.001058905394367</v>
      </c>
      <c r="O43" s="6">
        <v>1653</v>
      </c>
      <c r="P43" s="4" t="s">
        <v>95</v>
      </c>
      <c r="Q43" s="1">
        <v>441476</v>
      </c>
      <c r="R43" s="4" t="s">
        <v>38</v>
      </c>
      <c r="S43" s="4"/>
      <c r="T43" s="4" t="s">
        <v>74</v>
      </c>
      <c r="U43" s="4" t="s">
        <v>272</v>
      </c>
      <c r="V43" s="4" t="s">
        <v>76</v>
      </c>
      <c r="W43" s="4">
        <v>3078</v>
      </c>
      <c r="X43" s="4" t="s">
        <v>42</v>
      </c>
      <c r="Y43" s="4"/>
      <c r="Z43" s="4"/>
      <c r="AA43" s="4"/>
      <c r="AB43" s="4" t="s">
        <v>147</v>
      </c>
      <c r="AC43" s="4" t="s">
        <v>44</v>
      </c>
      <c r="AD43" s="4" t="s">
        <v>45</v>
      </c>
    </row>
    <row r="44" spans="1:30">
      <c r="A44" s="4" t="s">
        <v>30</v>
      </c>
      <c r="B44" s="4"/>
      <c r="C44" s="4">
        <v>212203</v>
      </c>
      <c r="D44" s="4" t="s">
        <v>99</v>
      </c>
      <c r="E44" s="13" t="s">
        <v>278</v>
      </c>
      <c r="F44" s="4" t="s">
        <v>279</v>
      </c>
      <c r="G44" s="4">
        <v>0</v>
      </c>
      <c r="H44" s="4" t="s">
        <v>280</v>
      </c>
      <c r="I44" s="5">
        <v>45101</v>
      </c>
      <c r="J44" s="5">
        <v>45466</v>
      </c>
      <c r="K44" s="4" t="s">
        <v>103</v>
      </c>
      <c r="L44" s="4" t="s">
        <v>104</v>
      </c>
      <c r="M44" s="7">
        <v>12728</v>
      </c>
      <c r="N44" s="16">
        <v>15.006285355122564</v>
      </c>
      <c r="O44" s="6">
        <v>1910</v>
      </c>
      <c r="P44" s="4" t="s">
        <v>37</v>
      </c>
      <c r="Q44" s="1">
        <v>443971</v>
      </c>
      <c r="R44" s="4" t="s">
        <v>38</v>
      </c>
      <c r="S44" s="4"/>
      <c r="T44" s="4" t="s">
        <v>105</v>
      </c>
      <c r="U44" s="4" t="s">
        <v>106</v>
      </c>
      <c r="V44" s="4" t="s">
        <v>107</v>
      </c>
      <c r="W44" s="4">
        <v>3075</v>
      </c>
      <c r="X44" s="4" t="s">
        <v>42</v>
      </c>
      <c r="Y44" s="4"/>
      <c r="Z44" s="4"/>
      <c r="AA44" s="4"/>
      <c r="AB44" s="4"/>
      <c r="AC44" s="4" t="s">
        <v>44</v>
      </c>
      <c r="AD44" s="4" t="s">
        <v>45</v>
      </c>
    </row>
    <row r="45" spans="1:30">
      <c r="A45" s="4" t="s">
        <v>30</v>
      </c>
      <c r="B45" s="4"/>
      <c r="C45" s="4">
        <v>215600</v>
      </c>
      <c r="D45" s="4" t="s">
        <v>129</v>
      </c>
      <c r="E45" s="13" t="s">
        <v>281</v>
      </c>
      <c r="F45" s="4" t="s">
        <v>131</v>
      </c>
      <c r="G45" s="4">
        <v>11</v>
      </c>
      <c r="H45" s="4" t="s">
        <v>132</v>
      </c>
      <c r="I45" s="5">
        <v>44835</v>
      </c>
      <c r="J45" s="5">
        <v>45199</v>
      </c>
      <c r="K45" s="4" t="s">
        <v>50</v>
      </c>
      <c r="L45" s="4" t="s">
        <v>51</v>
      </c>
      <c r="M45" s="7">
        <v>-211</v>
      </c>
      <c r="N45" s="16">
        <v>7.5829383886255926</v>
      </c>
      <c r="O45" s="6">
        <v>-16</v>
      </c>
      <c r="P45" s="4" t="s">
        <v>37</v>
      </c>
      <c r="Q45" s="1">
        <v>405703</v>
      </c>
      <c r="R45" s="4" t="s">
        <v>52</v>
      </c>
      <c r="S45" s="4"/>
      <c r="T45" s="4" t="s">
        <v>134</v>
      </c>
      <c r="U45" s="4" t="s">
        <v>135</v>
      </c>
      <c r="V45" s="4" t="s">
        <v>136</v>
      </c>
      <c r="W45" s="4">
        <v>3076</v>
      </c>
      <c r="X45" s="4" t="s">
        <v>42</v>
      </c>
      <c r="Y45" s="4"/>
      <c r="Z45" s="4"/>
      <c r="AA45" s="4"/>
      <c r="AB45" s="4"/>
      <c r="AC45" s="4" t="s">
        <v>52</v>
      </c>
      <c r="AD45" s="4" t="s">
        <v>45</v>
      </c>
    </row>
    <row r="46" spans="1:30">
      <c r="A46" s="4" t="s">
        <v>30</v>
      </c>
      <c r="B46" s="4"/>
      <c r="C46" s="4">
        <v>510000</v>
      </c>
      <c r="D46" s="4" t="s">
        <v>46</v>
      </c>
      <c r="E46" s="13" t="s">
        <v>282</v>
      </c>
      <c r="F46" s="4" t="s">
        <v>283</v>
      </c>
      <c r="G46" s="4">
        <v>12</v>
      </c>
      <c r="H46" s="4" t="s">
        <v>284</v>
      </c>
      <c r="I46" s="5">
        <v>44803</v>
      </c>
      <c r="J46" s="5">
        <v>45077</v>
      </c>
      <c r="K46" s="4" t="s">
        <v>50</v>
      </c>
      <c r="L46" s="4" t="s">
        <v>51</v>
      </c>
      <c r="M46" s="7">
        <v>18827</v>
      </c>
      <c r="N46" s="16">
        <v>0</v>
      </c>
      <c r="O46" s="6">
        <v>0</v>
      </c>
      <c r="P46" s="4" t="s">
        <v>37</v>
      </c>
      <c r="Q46" s="1">
        <v>387302</v>
      </c>
      <c r="R46" s="4" t="s">
        <v>52</v>
      </c>
      <c r="S46" s="4"/>
      <c r="T46" s="4" t="s">
        <v>285</v>
      </c>
      <c r="U46" s="4" t="s">
        <v>286</v>
      </c>
      <c r="V46" s="4" t="s">
        <v>55</v>
      </c>
      <c r="W46" s="4">
        <v>3081</v>
      </c>
      <c r="X46" s="4" t="s">
        <v>42</v>
      </c>
      <c r="Y46" s="4"/>
      <c r="Z46" s="4"/>
      <c r="AA46" s="4"/>
      <c r="AB46" s="4"/>
      <c r="AC46" s="4" t="s">
        <v>52</v>
      </c>
      <c r="AD46" s="4" t="s">
        <v>45</v>
      </c>
    </row>
    <row r="47" spans="1:30">
      <c r="A47" s="4" t="s">
        <v>30</v>
      </c>
      <c r="B47" s="4"/>
      <c r="C47" s="4">
        <v>222105</v>
      </c>
      <c r="D47" s="4" t="s">
        <v>68</v>
      </c>
      <c r="E47" s="13" t="s">
        <v>287</v>
      </c>
      <c r="F47" s="4" t="s">
        <v>288</v>
      </c>
      <c r="G47" s="4">
        <v>0</v>
      </c>
      <c r="H47" s="4" t="s">
        <v>289</v>
      </c>
      <c r="I47" s="5">
        <v>45108</v>
      </c>
      <c r="J47" s="5">
        <v>45473</v>
      </c>
      <c r="K47" s="4" t="s">
        <v>72</v>
      </c>
      <c r="L47" s="4" t="s">
        <v>73</v>
      </c>
      <c r="M47" s="7">
        <v>46462</v>
      </c>
      <c r="N47" s="16">
        <v>4.9997847703499634</v>
      </c>
      <c r="O47" s="6">
        <v>2323</v>
      </c>
      <c r="P47" s="4" t="s">
        <v>37</v>
      </c>
      <c r="Q47" s="1" t="s">
        <v>52</v>
      </c>
      <c r="R47" s="4" t="s">
        <v>52</v>
      </c>
      <c r="S47" s="4"/>
      <c r="T47" s="4" t="s">
        <v>74</v>
      </c>
      <c r="U47" s="4" t="s">
        <v>290</v>
      </c>
      <c r="V47" s="4" t="s">
        <v>76</v>
      </c>
      <c r="W47" s="4">
        <v>3078</v>
      </c>
      <c r="X47" s="4" t="s">
        <v>42</v>
      </c>
      <c r="Y47" s="4"/>
      <c r="Z47" s="4" t="s">
        <v>117</v>
      </c>
      <c r="AA47" s="4"/>
      <c r="AB47" s="4"/>
      <c r="AC47" s="4" t="s">
        <v>52</v>
      </c>
      <c r="AD47" s="4" t="s">
        <v>45</v>
      </c>
    </row>
    <row r="48" spans="1:30">
      <c r="A48" s="4" t="s">
        <v>30</v>
      </c>
      <c r="B48" s="4"/>
      <c r="C48" s="4">
        <v>212203</v>
      </c>
      <c r="D48" s="4" t="s">
        <v>99</v>
      </c>
      <c r="E48" s="13" t="s">
        <v>291</v>
      </c>
      <c r="F48" s="4" t="s">
        <v>292</v>
      </c>
      <c r="G48" s="4">
        <v>1</v>
      </c>
      <c r="H48" s="4" t="s">
        <v>293</v>
      </c>
      <c r="I48" s="5">
        <v>45116</v>
      </c>
      <c r="J48" s="5">
        <v>45116</v>
      </c>
      <c r="K48" s="4" t="s">
        <v>199</v>
      </c>
      <c r="L48" s="4" t="s">
        <v>200</v>
      </c>
      <c r="M48" s="7">
        <v>-12919</v>
      </c>
      <c r="N48" s="16">
        <v>13.824599427200248</v>
      </c>
      <c r="O48" s="6">
        <v>-1786</v>
      </c>
      <c r="P48" s="4" t="s">
        <v>37</v>
      </c>
      <c r="Q48" s="1" t="s">
        <v>52</v>
      </c>
      <c r="R48" s="4" t="s">
        <v>52</v>
      </c>
      <c r="S48" s="4"/>
      <c r="T48" s="4" t="s">
        <v>160</v>
      </c>
      <c r="U48" s="4" t="s">
        <v>160</v>
      </c>
      <c r="V48" s="4" t="s">
        <v>107</v>
      </c>
      <c r="W48" s="4">
        <v>3075</v>
      </c>
      <c r="X48" s="4" t="s">
        <v>42</v>
      </c>
      <c r="Y48" s="4"/>
      <c r="Z48" s="4"/>
      <c r="AA48" s="4"/>
      <c r="AB48" s="4"/>
      <c r="AC48" s="4" t="s">
        <v>52</v>
      </c>
      <c r="AD48" s="4" t="s">
        <v>45</v>
      </c>
    </row>
    <row r="49" spans="1:30">
      <c r="A49" s="4" t="s">
        <v>30</v>
      </c>
      <c r="B49" s="4"/>
      <c r="C49" s="4">
        <v>163600</v>
      </c>
      <c r="D49" s="4" t="s">
        <v>119</v>
      </c>
      <c r="E49" s="13" t="s">
        <v>294</v>
      </c>
      <c r="F49" s="4" t="s">
        <v>295</v>
      </c>
      <c r="G49" s="4">
        <v>0</v>
      </c>
      <c r="H49" s="4" t="s">
        <v>122</v>
      </c>
      <c r="I49" s="5">
        <v>45103</v>
      </c>
      <c r="J49" s="4"/>
      <c r="K49" s="4" t="s">
        <v>296</v>
      </c>
      <c r="L49" s="4" t="s">
        <v>297</v>
      </c>
      <c r="M49" s="7">
        <v>5848</v>
      </c>
      <c r="N49" s="16">
        <v>20.00683994528044</v>
      </c>
      <c r="O49" s="6">
        <v>1170</v>
      </c>
      <c r="P49" s="4" t="s">
        <v>125</v>
      </c>
      <c r="Q49" s="1" t="s">
        <v>52</v>
      </c>
      <c r="R49" s="4" t="s">
        <v>52</v>
      </c>
      <c r="S49" s="4"/>
      <c r="T49" s="4" t="s">
        <v>126</v>
      </c>
      <c r="U49" s="4" t="s">
        <v>127</v>
      </c>
      <c r="V49" s="4" t="s">
        <v>128</v>
      </c>
      <c r="W49" s="4">
        <v>3090</v>
      </c>
      <c r="X49" s="4" t="s">
        <v>42</v>
      </c>
      <c r="Y49" s="4"/>
      <c r="Z49" s="4" t="s">
        <v>117</v>
      </c>
      <c r="AA49" s="4"/>
      <c r="AB49" s="4"/>
      <c r="AC49" s="4" t="s">
        <v>52</v>
      </c>
      <c r="AD49" s="4" t="s">
        <v>45</v>
      </c>
    </row>
    <row r="50" spans="1:30">
      <c r="A50" s="4" t="s">
        <v>30</v>
      </c>
      <c r="B50" s="4"/>
      <c r="C50" s="4">
        <v>161800</v>
      </c>
      <c r="D50" s="4" t="s">
        <v>298</v>
      </c>
      <c r="E50" s="13" t="s">
        <v>299</v>
      </c>
      <c r="F50" s="4" t="s">
        <v>300</v>
      </c>
      <c r="G50" s="4">
        <v>7</v>
      </c>
      <c r="H50" s="4" t="s">
        <v>301</v>
      </c>
      <c r="I50" s="5">
        <v>44838</v>
      </c>
      <c r="J50" s="5">
        <v>45202</v>
      </c>
      <c r="K50" s="4" t="s">
        <v>50</v>
      </c>
      <c r="L50" s="4" t="s">
        <v>51</v>
      </c>
      <c r="M50" s="7">
        <v>-92241</v>
      </c>
      <c r="N50" s="16">
        <v>7.5000054205830384</v>
      </c>
      <c r="O50" s="6">
        <v>-6918.08</v>
      </c>
      <c r="P50" s="4" t="s">
        <v>125</v>
      </c>
      <c r="Q50" s="1">
        <v>403493</v>
      </c>
      <c r="R50" s="4" t="s">
        <v>52</v>
      </c>
      <c r="S50" s="4"/>
      <c r="T50" s="4" t="s">
        <v>302</v>
      </c>
      <c r="U50" s="4" t="s">
        <v>303</v>
      </c>
      <c r="V50" s="4" t="s">
        <v>304</v>
      </c>
      <c r="W50" s="4">
        <v>3101</v>
      </c>
      <c r="X50" s="4" t="s">
        <v>42</v>
      </c>
      <c r="Y50" s="4"/>
      <c r="Z50" s="4"/>
      <c r="AA50" s="4"/>
      <c r="AB50" s="4"/>
      <c r="AC50" s="4" t="s">
        <v>52</v>
      </c>
      <c r="AD50" s="4" t="s">
        <v>45</v>
      </c>
    </row>
    <row r="51" spans="1:30">
      <c r="A51" s="4" t="s">
        <v>30</v>
      </c>
      <c r="B51" s="4"/>
      <c r="C51" s="4">
        <v>161800</v>
      </c>
      <c r="D51" s="4" t="s">
        <v>298</v>
      </c>
      <c r="E51" s="13" t="s">
        <v>305</v>
      </c>
      <c r="F51" s="4" t="s">
        <v>300</v>
      </c>
      <c r="G51" s="4">
        <v>6</v>
      </c>
      <c r="H51" s="4" t="s">
        <v>301</v>
      </c>
      <c r="I51" s="5">
        <v>44838</v>
      </c>
      <c r="J51" s="5">
        <v>45202</v>
      </c>
      <c r="K51" s="4" t="s">
        <v>50</v>
      </c>
      <c r="L51" s="4" t="s">
        <v>51</v>
      </c>
      <c r="M51" s="7">
        <v>58872</v>
      </c>
      <c r="N51" s="16">
        <v>7.4999999999999991</v>
      </c>
      <c r="O51" s="6">
        <v>4415.3999999999996</v>
      </c>
      <c r="P51" s="4" t="s">
        <v>125</v>
      </c>
      <c r="Q51" s="1">
        <v>403493</v>
      </c>
      <c r="R51" s="4" t="s">
        <v>52</v>
      </c>
      <c r="S51" s="4"/>
      <c r="T51" s="4" t="s">
        <v>302</v>
      </c>
      <c r="U51" s="4" t="s">
        <v>303</v>
      </c>
      <c r="V51" s="4" t="s">
        <v>304</v>
      </c>
      <c r="W51" s="4">
        <v>3101</v>
      </c>
      <c r="X51" s="4" t="s">
        <v>42</v>
      </c>
      <c r="Y51" s="4"/>
      <c r="Z51" s="4"/>
      <c r="AA51" s="4"/>
      <c r="AB51" s="4"/>
      <c r="AC51" s="4" t="s">
        <v>52</v>
      </c>
      <c r="AD51" s="4" t="s">
        <v>45</v>
      </c>
    </row>
    <row r="52" spans="1:30">
      <c r="A52" s="4" t="s">
        <v>30</v>
      </c>
      <c r="B52" s="4"/>
      <c r="C52" s="4">
        <v>272200</v>
      </c>
      <c r="D52" s="4" t="s">
        <v>208</v>
      </c>
      <c r="E52" s="13" t="s">
        <v>306</v>
      </c>
      <c r="F52" s="4" t="s">
        <v>307</v>
      </c>
      <c r="G52" s="4">
        <v>0</v>
      </c>
      <c r="H52" s="4" t="s">
        <v>308</v>
      </c>
      <c r="I52" s="5">
        <v>45101</v>
      </c>
      <c r="J52" s="5">
        <v>45466</v>
      </c>
      <c r="K52" s="4" t="s">
        <v>72</v>
      </c>
      <c r="L52" s="4" t="s">
        <v>73</v>
      </c>
      <c r="M52" s="7">
        <v>16055</v>
      </c>
      <c r="N52" s="16">
        <v>14.998442852693863</v>
      </c>
      <c r="O52" s="6">
        <v>2408</v>
      </c>
      <c r="P52" s="4" t="s">
        <v>37</v>
      </c>
      <c r="Q52" s="1">
        <v>442896</v>
      </c>
      <c r="R52" s="4" t="s">
        <v>38</v>
      </c>
      <c r="S52" s="4"/>
      <c r="T52" s="4" t="s">
        <v>74</v>
      </c>
      <c r="U52" s="4" t="s">
        <v>75</v>
      </c>
      <c r="V52" s="4" t="s">
        <v>212</v>
      </c>
      <c r="W52" s="4">
        <v>3079</v>
      </c>
      <c r="X52" s="4" t="s">
        <v>42</v>
      </c>
      <c r="Y52" s="4"/>
      <c r="Z52" s="4"/>
      <c r="AA52" s="4"/>
      <c r="AB52" s="4"/>
      <c r="AC52" s="4" t="s">
        <v>44</v>
      </c>
      <c r="AD52" s="4" t="s">
        <v>45</v>
      </c>
    </row>
    <row r="53" spans="1:30">
      <c r="A53" s="4" t="s">
        <v>30</v>
      </c>
      <c r="B53" s="4"/>
      <c r="C53" s="4">
        <v>272200</v>
      </c>
      <c r="D53" s="4" t="s">
        <v>208</v>
      </c>
      <c r="E53" s="13" t="s">
        <v>309</v>
      </c>
      <c r="F53" s="4" t="s">
        <v>310</v>
      </c>
      <c r="G53" s="4">
        <v>0</v>
      </c>
      <c r="H53" s="4" t="s">
        <v>311</v>
      </c>
      <c r="I53" s="5">
        <v>45107</v>
      </c>
      <c r="J53" s="5">
        <v>45472</v>
      </c>
      <c r="K53" s="4" t="s">
        <v>139</v>
      </c>
      <c r="L53" s="4" t="s">
        <v>140</v>
      </c>
      <c r="M53" s="7">
        <v>13492</v>
      </c>
      <c r="N53" s="16">
        <v>12.496294100207532</v>
      </c>
      <c r="O53" s="6">
        <v>1686</v>
      </c>
      <c r="P53" s="4" t="s">
        <v>312</v>
      </c>
      <c r="Q53" s="1">
        <v>442913</v>
      </c>
      <c r="R53" s="4" t="s">
        <v>38</v>
      </c>
      <c r="S53" s="4"/>
      <c r="T53" s="4" t="s">
        <v>313</v>
      </c>
      <c r="U53" s="4" t="s">
        <v>314</v>
      </c>
      <c r="V53" s="4" t="s">
        <v>212</v>
      </c>
      <c r="W53" s="4">
        <v>3079</v>
      </c>
      <c r="X53" s="4" t="s">
        <v>42</v>
      </c>
      <c r="Y53" s="4"/>
      <c r="Z53" s="4"/>
      <c r="AA53" s="4"/>
      <c r="AB53" s="4" t="s">
        <v>43</v>
      </c>
      <c r="AC53" s="4" t="s">
        <v>44</v>
      </c>
      <c r="AD53" s="4" t="s">
        <v>45</v>
      </c>
    </row>
    <row r="54" spans="1:30">
      <c r="A54" s="4" t="s">
        <v>30</v>
      </c>
      <c r="B54" s="4"/>
      <c r="C54" s="4">
        <v>540000</v>
      </c>
      <c r="D54" s="4" t="s">
        <v>56</v>
      </c>
      <c r="E54" s="13" t="s">
        <v>315</v>
      </c>
      <c r="F54" s="4" t="s">
        <v>78</v>
      </c>
      <c r="G54" s="4">
        <v>6</v>
      </c>
      <c r="H54" s="4" t="s">
        <v>79</v>
      </c>
      <c r="I54" s="5">
        <v>44812</v>
      </c>
      <c r="J54" s="5">
        <v>45176</v>
      </c>
      <c r="K54" s="4" t="s">
        <v>50</v>
      </c>
      <c r="L54" s="4" t="s">
        <v>51</v>
      </c>
      <c r="M54" s="7">
        <v>22043</v>
      </c>
      <c r="N54" s="16">
        <v>7.5000226829378942</v>
      </c>
      <c r="O54" s="6">
        <v>1653.23</v>
      </c>
      <c r="P54" s="4" t="s">
        <v>60</v>
      </c>
      <c r="Q54" s="1">
        <v>404320</v>
      </c>
      <c r="R54" s="4" t="s">
        <v>52</v>
      </c>
      <c r="S54" s="4"/>
      <c r="T54" s="4" t="s">
        <v>80</v>
      </c>
      <c r="U54" s="4" t="s">
        <v>81</v>
      </c>
      <c r="V54" s="4" t="s">
        <v>64</v>
      </c>
      <c r="W54" s="4">
        <v>3123</v>
      </c>
      <c r="X54" s="4" t="s">
        <v>42</v>
      </c>
      <c r="Y54" s="4"/>
      <c r="Z54" s="4"/>
      <c r="AA54" s="4"/>
      <c r="AB54" s="4"/>
      <c r="AC54" s="4" t="s">
        <v>52</v>
      </c>
      <c r="AD54" s="4" t="s">
        <v>45</v>
      </c>
    </row>
    <row r="55" spans="1:30">
      <c r="A55" s="4" t="s">
        <v>30</v>
      </c>
      <c r="B55" s="4"/>
      <c r="C55" s="4">
        <v>212203</v>
      </c>
      <c r="D55" s="4" t="s">
        <v>99</v>
      </c>
      <c r="E55" s="13" t="s">
        <v>316</v>
      </c>
      <c r="F55" s="4" t="s">
        <v>203</v>
      </c>
      <c r="G55" s="4">
        <v>1</v>
      </c>
      <c r="H55" s="4" t="s">
        <v>204</v>
      </c>
      <c r="I55" s="5">
        <v>45097</v>
      </c>
      <c r="J55" s="5">
        <v>45097</v>
      </c>
      <c r="K55" s="4" t="s">
        <v>205</v>
      </c>
      <c r="L55" s="4" t="s">
        <v>206</v>
      </c>
      <c r="M55" s="7">
        <v>-9682</v>
      </c>
      <c r="N55" s="16">
        <v>14.996901466639125</v>
      </c>
      <c r="O55" s="6">
        <v>-1452</v>
      </c>
      <c r="P55" s="4" t="s">
        <v>37</v>
      </c>
      <c r="Q55" s="1" t="s">
        <v>207</v>
      </c>
      <c r="R55" s="4" t="s">
        <v>207</v>
      </c>
      <c r="S55" s="4"/>
      <c r="T55" s="4" t="s">
        <v>105</v>
      </c>
      <c r="U55" s="4" t="s">
        <v>106</v>
      </c>
      <c r="V55" s="4" t="s">
        <v>107</v>
      </c>
      <c r="W55" s="4">
        <v>3075</v>
      </c>
      <c r="X55" s="4" t="s">
        <v>42</v>
      </c>
      <c r="Y55" s="4"/>
      <c r="Z55" s="4"/>
      <c r="AA55" s="4"/>
      <c r="AB55" s="4"/>
      <c r="AC55" s="4" t="s">
        <v>207</v>
      </c>
      <c r="AD55" s="4" t="s">
        <v>45</v>
      </c>
    </row>
    <row r="56" spans="1:30">
      <c r="A56" s="4" t="s">
        <v>30</v>
      </c>
      <c r="B56" s="4"/>
      <c r="C56" s="4">
        <v>414890</v>
      </c>
      <c r="D56" s="4" t="s">
        <v>317</v>
      </c>
      <c r="E56" s="13" t="s">
        <v>318</v>
      </c>
      <c r="F56" s="4" t="s">
        <v>319</v>
      </c>
      <c r="G56" s="4">
        <v>0</v>
      </c>
      <c r="H56" s="4" t="s">
        <v>320</v>
      </c>
      <c r="I56" s="5">
        <v>45101</v>
      </c>
      <c r="J56" s="5">
        <v>45466</v>
      </c>
      <c r="K56" s="4" t="s">
        <v>139</v>
      </c>
      <c r="L56" s="4" t="s">
        <v>140</v>
      </c>
      <c r="M56" s="7">
        <v>9876</v>
      </c>
      <c r="N56" s="16">
        <v>12.494937221547184</v>
      </c>
      <c r="O56" s="6">
        <v>1234</v>
      </c>
      <c r="P56" s="4" t="s">
        <v>151</v>
      </c>
      <c r="Q56" s="1">
        <v>439844</v>
      </c>
      <c r="R56" s="4" t="s">
        <v>38</v>
      </c>
      <c r="S56" s="4"/>
      <c r="T56" s="4" t="s">
        <v>321</v>
      </c>
      <c r="U56" s="4" t="s">
        <v>322</v>
      </c>
      <c r="V56" s="4" t="s">
        <v>323</v>
      </c>
      <c r="W56" s="4">
        <v>3071</v>
      </c>
      <c r="X56" s="4" t="s">
        <v>42</v>
      </c>
      <c r="Y56" s="4"/>
      <c r="Z56" s="4"/>
      <c r="AA56" s="4"/>
      <c r="AB56" s="4" t="s">
        <v>43</v>
      </c>
      <c r="AC56" s="4" t="s">
        <v>44</v>
      </c>
      <c r="AD56" s="4" t="s">
        <v>45</v>
      </c>
    </row>
    <row r="57" spans="1:30">
      <c r="A57" s="4" t="s">
        <v>30</v>
      </c>
      <c r="B57" s="4"/>
      <c r="C57" s="4">
        <v>510000</v>
      </c>
      <c r="D57" s="4" t="s">
        <v>46</v>
      </c>
      <c r="E57" s="13" t="s">
        <v>324</v>
      </c>
      <c r="F57" s="4" t="s">
        <v>325</v>
      </c>
      <c r="G57" s="4">
        <v>0</v>
      </c>
      <c r="H57" s="4" t="s">
        <v>180</v>
      </c>
      <c r="I57" s="5">
        <v>45089</v>
      </c>
      <c r="J57" s="5">
        <v>45454</v>
      </c>
      <c r="K57" s="4" t="s">
        <v>326</v>
      </c>
      <c r="L57" s="4" t="s">
        <v>327</v>
      </c>
      <c r="M57" s="7">
        <v>3936183</v>
      </c>
      <c r="N57" s="16">
        <v>13.890741360348336</v>
      </c>
      <c r="O57" s="6">
        <v>546765</v>
      </c>
      <c r="P57" s="4" t="s">
        <v>37</v>
      </c>
      <c r="Q57" s="1">
        <v>441887</v>
      </c>
      <c r="R57" s="4" t="s">
        <v>38</v>
      </c>
      <c r="S57" s="4"/>
      <c r="T57" s="4" t="s">
        <v>39</v>
      </c>
      <c r="U57" s="4" t="s">
        <v>183</v>
      </c>
      <c r="V57" s="4" t="s">
        <v>55</v>
      </c>
      <c r="W57" s="4">
        <v>3081</v>
      </c>
      <c r="X57" s="4" t="s">
        <v>42</v>
      </c>
      <c r="Y57" s="4"/>
      <c r="Z57" s="4"/>
      <c r="AA57" s="4"/>
      <c r="AB57" s="4" t="s">
        <v>43</v>
      </c>
      <c r="AC57" s="4" t="s">
        <v>44</v>
      </c>
      <c r="AD57" s="4" t="s">
        <v>45</v>
      </c>
    </row>
    <row r="58" spans="1:30">
      <c r="A58" s="4" t="s">
        <v>30</v>
      </c>
      <c r="B58" s="4"/>
      <c r="C58" s="4">
        <v>132000</v>
      </c>
      <c r="D58" s="4" t="s">
        <v>91</v>
      </c>
      <c r="E58" s="13" t="s">
        <v>328</v>
      </c>
      <c r="F58" s="4" t="s">
        <v>329</v>
      </c>
      <c r="G58" s="4">
        <v>4</v>
      </c>
      <c r="H58" s="4" t="s">
        <v>94</v>
      </c>
      <c r="I58" s="5">
        <v>44441</v>
      </c>
      <c r="J58" s="5">
        <v>44805</v>
      </c>
      <c r="K58" s="4" t="s">
        <v>85</v>
      </c>
      <c r="L58" s="4" t="s">
        <v>86</v>
      </c>
      <c r="M58" s="7">
        <v>-81873</v>
      </c>
      <c r="N58" s="16">
        <v>10.446667399508996</v>
      </c>
      <c r="O58" s="6">
        <v>-8553</v>
      </c>
      <c r="P58" s="4" t="s">
        <v>95</v>
      </c>
      <c r="Q58" s="1">
        <v>360471</v>
      </c>
      <c r="R58" s="4" t="s">
        <v>52</v>
      </c>
      <c r="S58" s="4"/>
      <c r="T58" s="4" t="s">
        <v>96</v>
      </c>
      <c r="U58" s="4" t="s">
        <v>97</v>
      </c>
      <c r="V58" s="4" t="s">
        <v>98</v>
      </c>
      <c r="W58" s="4">
        <v>3100</v>
      </c>
      <c r="X58" s="4" t="s">
        <v>42</v>
      </c>
      <c r="Y58" s="4"/>
      <c r="Z58" s="4"/>
      <c r="AA58" s="4"/>
      <c r="AB58" s="4"/>
      <c r="AC58" s="4" t="s">
        <v>52</v>
      </c>
      <c r="AD58" s="4" t="s">
        <v>45</v>
      </c>
    </row>
    <row r="59" spans="1:30">
      <c r="A59" s="4" t="s">
        <v>30</v>
      </c>
      <c r="B59" s="4"/>
      <c r="C59" s="4">
        <v>222105</v>
      </c>
      <c r="D59" s="4" t="s">
        <v>68</v>
      </c>
      <c r="E59" s="13" t="s">
        <v>330</v>
      </c>
      <c r="F59" s="4" t="s">
        <v>331</v>
      </c>
      <c r="G59" s="4">
        <v>0</v>
      </c>
      <c r="H59" s="4" t="s">
        <v>332</v>
      </c>
      <c r="I59" s="5">
        <v>45103</v>
      </c>
      <c r="J59" s="5">
        <v>45468</v>
      </c>
      <c r="K59" s="4" t="s">
        <v>72</v>
      </c>
      <c r="L59" s="4" t="s">
        <v>73</v>
      </c>
      <c r="M59" s="7">
        <v>32126</v>
      </c>
      <c r="N59" s="16">
        <v>15.00031127435722</v>
      </c>
      <c r="O59" s="6">
        <v>4819</v>
      </c>
      <c r="P59" s="4" t="s">
        <v>37</v>
      </c>
      <c r="Q59" s="1">
        <v>442901</v>
      </c>
      <c r="R59" s="4" t="s">
        <v>38</v>
      </c>
      <c r="S59" s="4"/>
      <c r="T59" s="4" t="s">
        <v>74</v>
      </c>
      <c r="U59" s="4" t="s">
        <v>75</v>
      </c>
      <c r="V59" s="4" t="s">
        <v>76</v>
      </c>
      <c r="W59" s="4">
        <v>3078</v>
      </c>
      <c r="X59" s="4" t="s">
        <v>42</v>
      </c>
      <c r="Y59" s="4"/>
      <c r="Z59" s="4"/>
      <c r="AA59" s="4"/>
      <c r="AB59" s="4"/>
      <c r="AC59" s="4" t="s">
        <v>44</v>
      </c>
      <c r="AD59" s="4" t="s">
        <v>45</v>
      </c>
    </row>
    <row r="60" spans="1:30">
      <c r="A60" s="4" t="s">
        <v>30</v>
      </c>
      <c r="B60" s="4"/>
      <c r="C60" s="4">
        <v>441202</v>
      </c>
      <c r="D60" s="4" t="s">
        <v>333</v>
      </c>
      <c r="E60" s="13" t="s">
        <v>334</v>
      </c>
      <c r="F60" s="4" t="s">
        <v>335</v>
      </c>
      <c r="G60" s="4">
        <v>15</v>
      </c>
      <c r="H60" s="4" t="s">
        <v>336</v>
      </c>
      <c r="I60" s="5">
        <v>44851</v>
      </c>
      <c r="J60" s="5">
        <v>45215</v>
      </c>
      <c r="K60" s="4" t="s">
        <v>50</v>
      </c>
      <c r="L60" s="4" t="s">
        <v>51</v>
      </c>
      <c r="M60" s="7">
        <v>52</v>
      </c>
      <c r="N60" s="16">
        <v>5.7692307692307692</v>
      </c>
      <c r="O60" s="6">
        <v>3</v>
      </c>
      <c r="P60" s="4" t="s">
        <v>151</v>
      </c>
      <c r="Q60" s="1">
        <v>405682</v>
      </c>
      <c r="R60" s="4" t="s">
        <v>52</v>
      </c>
      <c r="S60" s="4"/>
      <c r="T60" s="4" t="s">
        <v>337</v>
      </c>
      <c r="U60" s="4" t="s">
        <v>338</v>
      </c>
      <c r="V60" s="4" t="s">
        <v>339</v>
      </c>
      <c r="W60" s="4">
        <v>3072</v>
      </c>
      <c r="X60" s="4" t="s">
        <v>42</v>
      </c>
      <c r="Y60" s="4"/>
      <c r="Z60" s="4"/>
      <c r="AA60" s="4"/>
      <c r="AB60" s="4"/>
      <c r="AC60" s="4" t="s">
        <v>52</v>
      </c>
      <c r="AD60" s="4" t="s">
        <v>45</v>
      </c>
    </row>
    <row r="61" spans="1:30">
      <c r="A61" s="4" t="s">
        <v>30</v>
      </c>
      <c r="B61" s="4"/>
      <c r="C61" s="4">
        <v>540000</v>
      </c>
      <c r="D61" s="4" t="s">
        <v>56</v>
      </c>
      <c r="E61" s="13" t="s">
        <v>340</v>
      </c>
      <c r="F61" s="4" t="s">
        <v>341</v>
      </c>
      <c r="G61" s="4">
        <v>8</v>
      </c>
      <c r="H61" s="4" t="s">
        <v>342</v>
      </c>
      <c r="I61" s="5">
        <v>44783</v>
      </c>
      <c r="J61" s="5">
        <v>45147</v>
      </c>
      <c r="K61" s="4" t="s">
        <v>50</v>
      </c>
      <c r="L61" s="4" t="s">
        <v>51</v>
      </c>
      <c r="M61" s="7">
        <v>36030</v>
      </c>
      <c r="N61" s="16">
        <v>6.9999999999999991</v>
      </c>
      <c r="O61" s="6">
        <v>2522.1</v>
      </c>
      <c r="P61" s="4" t="s">
        <v>60</v>
      </c>
      <c r="Q61" s="1">
        <v>423936</v>
      </c>
      <c r="R61" s="4" t="s">
        <v>343</v>
      </c>
      <c r="S61" s="4"/>
      <c r="T61" s="4" t="s">
        <v>344</v>
      </c>
      <c r="U61" s="4" t="s">
        <v>345</v>
      </c>
      <c r="V61" s="4" t="s">
        <v>64</v>
      </c>
      <c r="W61" s="4">
        <v>3123</v>
      </c>
      <c r="X61" s="4" t="s">
        <v>42</v>
      </c>
      <c r="Y61" s="4"/>
      <c r="Z61" s="4"/>
      <c r="AA61" s="4"/>
      <c r="AB61" s="4" t="s">
        <v>147</v>
      </c>
      <c r="AC61" s="4" t="s">
        <v>44</v>
      </c>
      <c r="AD61" s="4" t="s">
        <v>45</v>
      </c>
    </row>
    <row r="62" spans="1:30">
      <c r="A62" s="4" t="s">
        <v>30</v>
      </c>
      <c r="B62" s="4"/>
      <c r="C62" s="4">
        <v>215600</v>
      </c>
      <c r="D62" s="4" t="s">
        <v>129</v>
      </c>
      <c r="E62" s="13" t="s">
        <v>346</v>
      </c>
      <c r="F62" s="4" t="s">
        <v>347</v>
      </c>
      <c r="G62" s="4">
        <v>0</v>
      </c>
      <c r="H62" s="4" t="s">
        <v>224</v>
      </c>
      <c r="I62" s="5">
        <v>45017</v>
      </c>
      <c r="J62" s="5">
        <v>45382</v>
      </c>
      <c r="K62" s="4" t="s">
        <v>225</v>
      </c>
      <c r="L62" s="4" t="s">
        <v>226</v>
      </c>
      <c r="M62" s="7">
        <v>2325</v>
      </c>
      <c r="N62" s="16">
        <v>12.516129032258064</v>
      </c>
      <c r="O62" s="6">
        <v>291</v>
      </c>
      <c r="P62" s="4" t="s">
        <v>37</v>
      </c>
      <c r="Q62" s="1">
        <v>430565</v>
      </c>
      <c r="R62" s="4" t="s">
        <v>38</v>
      </c>
      <c r="S62" s="4"/>
      <c r="T62" s="4" t="s">
        <v>227</v>
      </c>
      <c r="U62" s="4" t="s">
        <v>228</v>
      </c>
      <c r="V62" s="4" t="s">
        <v>136</v>
      </c>
      <c r="W62" s="4">
        <v>3076</v>
      </c>
      <c r="X62" s="4" t="s">
        <v>42</v>
      </c>
      <c r="Y62" s="4"/>
      <c r="Z62" s="4"/>
      <c r="AA62" s="4"/>
      <c r="AB62" s="4"/>
      <c r="AC62" s="4" t="s">
        <v>44</v>
      </c>
      <c r="AD62" s="4" t="s">
        <v>45</v>
      </c>
    </row>
    <row r="63" spans="1:30">
      <c r="A63" s="4" t="s">
        <v>30</v>
      </c>
      <c r="B63" s="4"/>
      <c r="C63" s="4">
        <v>212203</v>
      </c>
      <c r="D63" s="4" t="s">
        <v>99</v>
      </c>
      <c r="E63" s="13" t="s">
        <v>348</v>
      </c>
      <c r="F63" s="4" t="s">
        <v>349</v>
      </c>
      <c r="G63" s="4">
        <v>0</v>
      </c>
      <c r="H63" s="4" t="s">
        <v>198</v>
      </c>
      <c r="I63" s="5">
        <v>45084</v>
      </c>
      <c r="J63" s="5">
        <v>45449</v>
      </c>
      <c r="K63" s="4" t="s">
        <v>199</v>
      </c>
      <c r="L63" s="4" t="s">
        <v>200</v>
      </c>
      <c r="M63" s="7">
        <v>8706</v>
      </c>
      <c r="N63" s="16">
        <v>13.26671261199173</v>
      </c>
      <c r="O63" s="6">
        <v>1155</v>
      </c>
      <c r="P63" s="4" t="s">
        <v>37</v>
      </c>
      <c r="Q63" s="1">
        <v>443814</v>
      </c>
      <c r="R63" s="4" t="s">
        <v>38</v>
      </c>
      <c r="S63" s="4"/>
      <c r="T63" s="4" t="s">
        <v>105</v>
      </c>
      <c r="U63" s="4" t="s">
        <v>106</v>
      </c>
      <c r="V63" s="4" t="s">
        <v>107</v>
      </c>
      <c r="W63" s="4">
        <v>3075</v>
      </c>
      <c r="X63" s="4" t="s">
        <v>42</v>
      </c>
      <c r="Y63" s="4"/>
      <c r="Z63" s="4"/>
      <c r="AA63" s="4" t="s">
        <v>201</v>
      </c>
      <c r="AB63" s="4"/>
      <c r="AC63" s="4" t="s">
        <v>185</v>
      </c>
      <c r="AD63" s="4" t="s">
        <v>45</v>
      </c>
    </row>
    <row r="64" spans="1:30">
      <c r="A64" s="4" t="s">
        <v>30</v>
      </c>
      <c r="B64" s="4"/>
      <c r="C64" s="4">
        <v>212203</v>
      </c>
      <c r="D64" s="4" t="s">
        <v>99</v>
      </c>
      <c r="E64" s="13" t="s">
        <v>350</v>
      </c>
      <c r="F64" s="4" t="s">
        <v>351</v>
      </c>
      <c r="G64" s="4">
        <v>0</v>
      </c>
      <c r="H64" s="4" t="s">
        <v>198</v>
      </c>
      <c r="I64" s="5">
        <v>45084</v>
      </c>
      <c r="J64" s="5">
        <v>45449</v>
      </c>
      <c r="K64" s="4" t="s">
        <v>199</v>
      </c>
      <c r="L64" s="4" t="s">
        <v>200</v>
      </c>
      <c r="M64" s="7">
        <v>3690</v>
      </c>
      <c r="N64" s="16">
        <v>10.894308943089431</v>
      </c>
      <c r="O64" s="6">
        <v>402</v>
      </c>
      <c r="P64" s="4" t="s">
        <v>37</v>
      </c>
      <c r="Q64" s="1">
        <v>443802</v>
      </c>
      <c r="R64" s="4" t="s">
        <v>38</v>
      </c>
      <c r="S64" s="4"/>
      <c r="T64" s="4" t="s">
        <v>105</v>
      </c>
      <c r="U64" s="4" t="s">
        <v>106</v>
      </c>
      <c r="V64" s="4" t="s">
        <v>107</v>
      </c>
      <c r="W64" s="4">
        <v>3075</v>
      </c>
      <c r="X64" s="4" t="s">
        <v>42</v>
      </c>
      <c r="Y64" s="4"/>
      <c r="Z64" s="4"/>
      <c r="AA64" s="4" t="s">
        <v>201</v>
      </c>
      <c r="AB64" s="4"/>
      <c r="AC64" s="4" t="s">
        <v>185</v>
      </c>
      <c r="AD64" s="4" t="s">
        <v>45</v>
      </c>
    </row>
    <row r="65" spans="1:30">
      <c r="A65" s="4" t="s">
        <v>30</v>
      </c>
      <c r="B65" s="4"/>
      <c r="C65" s="4">
        <v>212203</v>
      </c>
      <c r="D65" s="4" t="s">
        <v>99</v>
      </c>
      <c r="E65" s="13" t="s">
        <v>352</v>
      </c>
      <c r="F65" s="4" t="s">
        <v>353</v>
      </c>
      <c r="G65" s="4">
        <v>0</v>
      </c>
      <c r="H65" s="4" t="s">
        <v>354</v>
      </c>
      <c r="I65" s="5">
        <v>45084</v>
      </c>
      <c r="J65" s="5">
        <v>45449</v>
      </c>
      <c r="K65" s="4" t="s">
        <v>199</v>
      </c>
      <c r="L65" s="4" t="s">
        <v>200</v>
      </c>
      <c r="M65" s="7">
        <v>9689</v>
      </c>
      <c r="N65" s="16">
        <v>13.437919289916399</v>
      </c>
      <c r="O65" s="6">
        <v>1302</v>
      </c>
      <c r="P65" s="4" t="s">
        <v>37</v>
      </c>
      <c r="Q65" s="1">
        <v>443817</v>
      </c>
      <c r="R65" s="4" t="s">
        <v>38</v>
      </c>
      <c r="S65" s="4"/>
      <c r="T65" s="4" t="s">
        <v>105</v>
      </c>
      <c r="U65" s="4" t="s">
        <v>106</v>
      </c>
      <c r="V65" s="4" t="s">
        <v>107</v>
      </c>
      <c r="W65" s="4">
        <v>3075</v>
      </c>
      <c r="X65" s="4" t="s">
        <v>42</v>
      </c>
      <c r="Y65" s="4"/>
      <c r="Z65" s="4"/>
      <c r="AA65" s="4" t="s">
        <v>201</v>
      </c>
      <c r="AB65" s="4"/>
      <c r="AC65" s="4" t="s">
        <v>185</v>
      </c>
      <c r="AD65" s="4" t="s">
        <v>45</v>
      </c>
    </row>
    <row r="66" spans="1:30">
      <c r="A66" s="4" t="s">
        <v>30</v>
      </c>
      <c r="B66" s="4"/>
      <c r="C66" s="4">
        <v>212203</v>
      </c>
      <c r="D66" s="4" t="s">
        <v>99</v>
      </c>
      <c r="E66" s="13" t="s">
        <v>355</v>
      </c>
      <c r="F66" s="4" t="s">
        <v>356</v>
      </c>
      <c r="G66" s="4">
        <v>0</v>
      </c>
      <c r="H66" s="4" t="s">
        <v>198</v>
      </c>
      <c r="I66" s="5">
        <v>45084</v>
      </c>
      <c r="J66" s="5">
        <v>45449</v>
      </c>
      <c r="K66" s="4" t="s">
        <v>199</v>
      </c>
      <c r="L66" s="4" t="s">
        <v>200</v>
      </c>
      <c r="M66" s="7">
        <v>3690</v>
      </c>
      <c r="N66" s="16">
        <v>10.894308943089431</v>
      </c>
      <c r="O66" s="6">
        <v>402</v>
      </c>
      <c r="P66" s="4" t="s">
        <v>37</v>
      </c>
      <c r="Q66" s="1">
        <v>443807</v>
      </c>
      <c r="R66" s="4" t="s">
        <v>38</v>
      </c>
      <c r="S66" s="4"/>
      <c r="T66" s="4" t="s">
        <v>105</v>
      </c>
      <c r="U66" s="4" t="s">
        <v>106</v>
      </c>
      <c r="V66" s="4" t="s">
        <v>107</v>
      </c>
      <c r="W66" s="4">
        <v>3075</v>
      </c>
      <c r="X66" s="4" t="s">
        <v>42</v>
      </c>
      <c r="Y66" s="4"/>
      <c r="Z66" s="4"/>
      <c r="AA66" s="4" t="s">
        <v>201</v>
      </c>
      <c r="AB66" s="4"/>
      <c r="AC66" s="4" t="s">
        <v>185</v>
      </c>
      <c r="AD66" s="4" t="s">
        <v>45</v>
      </c>
    </row>
    <row r="67" spans="1:30">
      <c r="A67" s="4" t="s">
        <v>30</v>
      </c>
      <c r="B67" s="4"/>
      <c r="C67" s="4">
        <v>510000</v>
      </c>
      <c r="D67" s="4" t="s">
        <v>46</v>
      </c>
      <c r="E67" s="13" t="s">
        <v>357</v>
      </c>
      <c r="F67" s="4" t="s">
        <v>358</v>
      </c>
      <c r="G67" s="4">
        <v>0</v>
      </c>
      <c r="H67" s="4" t="s">
        <v>84</v>
      </c>
      <c r="I67" s="5">
        <v>45104</v>
      </c>
      <c r="J67" s="5">
        <v>45443</v>
      </c>
      <c r="K67" s="4" t="s">
        <v>359</v>
      </c>
      <c r="L67" s="4" t="s">
        <v>360</v>
      </c>
      <c r="M67" s="7">
        <v>500</v>
      </c>
      <c r="N67" s="16">
        <v>12.6</v>
      </c>
      <c r="O67" s="6">
        <v>63</v>
      </c>
      <c r="P67" s="4" t="s">
        <v>37</v>
      </c>
      <c r="Q67" s="1">
        <v>0</v>
      </c>
      <c r="R67" s="4">
        <v>0</v>
      </c>
      <c r="S67" s="4"/>
      <c r="T67" s="4" t="s">
        <v>87</v>
      </c>
      <c r="U67" s="4" t="s">
        <v>88</v>
      </c>
      <c r="V67" s="4" t="s">
        <v>55</v>
      </c>
      <c r="W67" s="4">
        <v>3081</v>
      </c>
      <c r="X67" s="4" t="s">
        <v>42</v>
      </c>
      <c r="Y67" s="4"/>
      <c r="Z67" s="4" t="s">
        <v>117</v>
      </c>
      <c r="AA67" s="4"/>
      <c r="AB67" s="4"/>
      <c r="AC67" s="4" t="s">
        <v>143</v>
      </c>
      <c r="AD67" s="4" t="s">
        <v>45</v>
      </c>
    </row>
    <row r="68" spans="1:30">
      <c r="A68" s="4" t="s">
        <v>30</v>
      </c>
      <c r="B68" s="4"/>
      <c r="C68" s="4">
        <v>222105</v>
      </c>
      <c r="D68" s="4" t="s">
        <v>68</v>
      </c>
      <c r="E68" s="13" t="s">
        <v>361</v>
      </c>
      <c r="F68" s="4" t="s">
        <v>362</v>
      </c>
      <c r="G68" s="4">
        <v>0</v>
      </c>
      <c r="H68" s="4" t="s">
        <v>363</v>
      </c>
      <c r="I68" s="5">
        <v>45099</v>
      </c>
      <c r="J68" s="5">
        <v>45464</v>
      </c>
      <c r="K68" s="4" t="s">
        <v>364</v>
      </c>
      <c r="L68" s="4" t="s">
        <v>365</v>
      </c>
      <c r="M68" s="7">
        <v>9352</v>
      </c>
      <c r="N68" s="16">
        <v>30.004277159965785</v>
      </c>
      <c r="O68" s="6">
        <v>2806</v>
      </c>
      <c r="P68" s="4" t="s">
        <v>37</v>
      </c>
      <c r="Q68" s="1">
        <v>440113</v>
      </c>
      <c r="R68" s="4" t="s">
        <v>38</v>
      </c>
      <c r="S68" s="4"/>
      <c r="T68" s="4" t="s">
        <v>74</v>
      </c>
      <c r="U68" s="4" t="s">
        <v>75</v>
      </c>
      <c r="V68" s="4" t="s">
        <v>76</v>
      </c>
      <c r="W68" s="4">
        <v>3078</v>
      </c>
      <c r="X68" s="4" t="s">
        <v>42</v>
      </c>
      <c r="Y68" s="4"/>
      <c r="Z68" s="4"/>
      <c r="AA68" s="4"/>
      <c r="AB68" s="4" t="s">
        <v>43</v>
      </c>
      <c r="AC68" s="4" t="s">
        <v>44</v>
      </c>
      <c r="AD68" s="4" t="s">
        <v>45</v>
      </c>
    </row>
    <row r="69" spans="1:30">
      <c r="A69" s="4" t="s">
        <v>30</v>
      </c>
      <c r="B69" s="4"/>
      <c r="C69" s="4">
        <v>212200</v>
      </c>
      <c r="D69" s="4" t="s">
        <v>108</v>
      </c>
      <c r="E69" s="13" t="s">
        <v>366</v>
      </c>
      <c r="F69" s="4" t="s">
        <v>367</v>
      </c>
      <c r="G69" s="4">
        <v>0</v>
      </c>
      <c r="H69" s="4" t="s">
        <v>111</v>
      </c>
      <c r="I69" s="5">
        <v>45092</v>
      </c>
      <c r="J69" s="5">
        <v>45457</v>
      </c>
      <c r="K69" s="4" t="s">
        <v>85</v>
      </c>
      <c r="L69" s="4" t="s">
        <v>86</v>
      </c>
      <c r="M69" s="7">
        <v>166296</v>
      </c>
      <c r="N69" s="16">
        <v>17.297469572328858</v>
      </c>
      <c r="O69" s="6">
        <v>28765</v>
      </c>
      <c r="P69" s="4" t="s">
        <v>37</v>
      </c>
      <c r="Q69" s="1" t="s">
        <v>52</v>
      </c>
      <c r="R69" s="4" t="s">
        <v>52</v>
      </c>
      <c r="S69" s="4"/>
      <c r="T69" s="4" t="s">
        <v>114</v>
      </c>
      <c r="U69" s="4" t="s">
        <v>115</v>
      </c>
      <c r="V69" s="4" t="s">
        <v>116</v>
      </c>
      <c r="W69" s="4">
        <v>3074</v>
      </c>
      <c r="X69" s="4" t="s">
        <v>42</v>
      </c>
      <c r="Y69" s="4"/>
      <c r="Z69" s="4" t="s">
        <v>117</v>
      </c>
      <c r="AA69" s="4"/>
      <c r="AB69" s="4"/>
      <c r="AC69" s="4" t="s">
        <v>52</v>
      </c>
      <c r="AD69" s="4" t="s">
        <v>45</v>
      </c>
    </row>
    <row r="70" spans="1:30">
      <c r="A70" s="4" t="s">
        <v>30</v>
      </c>
      <c r="B70" s="4"/>
      <c r="C70" s="4">
        <v>510000</v>
      </c>
      <c r="D70" s="4" t="s">
        <v>46</v>
      </c>
      <c r="E70" s="13" t="s">
        <v>368</v>
      </c>
      <c r="F70" s="4" t="s">
        <v>369</v>
      </c>
      <c r="G70" s="4">
        <v>2</v>
      </c>
      <c r="H70" s="4" t="s">
        <v>370</v>
      </c>
      <c r="I70" s="5">
        <v>45034</v>
      </c>
      <c r="J70" s="5">
        <v>45368</v>
      </c>
      <c r="K70" s="4" t="s">
        <v>50</v>
      </c>
      <c r="L70" s="4" t="s">
        <v>51</v>
      </c>
      <c r="M70" s="7">
        <v>27762</v>
      </c>
      <c r="N70" s="16">
        <v>7.5</v>
      </c>
      <c r="O70" s="6">
        <v>2082.15</v>
      </c>
      <c r="P70" s="4" t="s">
        <v>37</v>
      </c>
      <c r="Q70" s="1">
        <v>428430</v>
      </c>
      <c r="R70" s="4" t="s">
        <v>52</v>
      </c>
      <c r="S70" s="4"/>
      <c r="T70" s="4" t="s">
        <v>371</v>
      </c>
      <c r="U70" s="4" t="s">
        <v>372</v>
      </c>
      <c r="V70" s="4" t="s">
        <v>55</v>
      </c>
      <c r="W70" s="4">
        <v>3081</v>
      </c>
      <c r="X70" s="4" t="s">
        <v>42</v>
      </c>
      <c r="Y70" s="4"/>
      <c r="Z70" s="4"/>
      <c r="AA70" s="4"/>
      <c r="AB70" s="4"/>
      <c r="AC70" s="4" t="s">
        <v>52</v>
      </c>
      <c r="AD70" s="4" t="s">
        <v>45</v>
      </c>
    </row>
    <row r="71" spans="1:30">
      <c r="A71" s="4" t="s">
        <v>30</v>
      </c>
      <c r="B71" s="4"/>
      <c r="C71" s="4">
        <v>510000</v>
      </c>
      <c r="D71" s="4" t="s">
        <v>46</v>
      </c>
      <c r="E71" s="13" t="s">
        <v>373</v>
      </c>
      <c r="F71" s="4" t="s">
        <v>374</v>
      </c>
      <c r="G71" s="4">
        <v>0</v>
      </c>
      <c r="H71" s="4" t="s">
        <v>211</v>
      </c>
      <c r="I71" s="5">
        <v>45078</v>
      </c>
      <c r="J71" s="5">
        <v>45443</v>
      </c>
      <c r="K71" s="4" t="s">
        <v>375</v>
      </c>
      <c r="L71" s="4" t="s">
        <v>376</v>
      </c>
      <c r="M71" s="7">
        <v>16932527</v>
      </c>
      <c r="N71" s="16">
        <v>16.500006171553721</v>
      </c>
      <c r="O71" s="6">
        <v>2793868</v>
      </c>
      <c r="P71" s="4" t="s">
        <v>125</v>
      </c>
      <c r="Q71" s="1">
        <v>441862</v>
      </c>
      <c r="R71" s="4" t="s">
        <v>38</v>
      </c>
      <c r="S71" s="4"/>
      <c r="T71" s="4" t="s">
        <v>87</v>
      </c>
      <c r="U71" s="4" t="s">
        <v>88</v>
      </c>
      <c r="V71" s="4" t="s">
        <v>55</v>
      </c>
      <c r="W71" s="4">
        <v>3081</v>
      </c>
      <c r="X71" s="4" t="s">
        <v>42</v>
      </c>
      <c r="Y71" s="4"/>
      <c r="Z71" s="4"/>
      <c r="AA71" s="4"/>
      <c r="AB71" s="4" t="s">
        <v>43</v>
      </c>
      <c r="AC71" s="4" t="s">
        <v>44</v>
      </c>
      <c r="AD71" s="4" t="s">
        <v>45</v>
      </c>
    </row>
    <row r="72" spans="1:30">
      <c r="A72" s="4" t="s">
        <v>30</v>
      </c>
      <c r="B72" s="4"/>
      <c r="C72" s="4">
        <v>510000</v>
      </c>
      <c r="D72" s="4" t="s">
        <v>46</v>
      </c>
      <c r="E72" s="13" t="s">
        <v>377</v>
      </c>
      <c r="F72" s="4" t="s">
        <v>378</v>
      </c>
      <c r="G72" s="4">
        <v>0</v>
      </c>
      <c r="H72" s="4" t="s">
        <v>379</v>
      </c>
      <c r="I72" s="5">
        <v>45078</v>
      </c>
      <c r="J72" s="5">
        <v>45443</v>
      </c>
      <c r="K72" s="4" t="s">
        <v>35</v>
      </c>
      <c r="L72" s="4" t="s">
        <v>36</v>
      </c>
      <c r="M72" s="7">
        <v>16239</v>
      </c>
      <c r="N72" s="16">
        <v>15.992364061826468</v>
      </c>
      <c r="O72" s="6">
        <v>2597</v>
      </c>
      <c r="P72" s="4" t="s">
        <v>37</v>
      </c>
      <c r="Q72" s="1" t="s">
        <v>52</v>
      </c>
      <c r="R72" s="4" t="s">
        <v>52</v>
      </c>
      <c r="S72" s="4"/>
      <c r="T72" s="4" t="s">
        <v>87</v>
      </c>
      <c r="U72" s="4" t="s">
        <v>88</v>
      </c>
      <c r="V72" s="4" t="s">
        <v>55</v>
      </c>
      <c r="W72" s="4">
        <v>3081</v>
      </c>
      <c r="X72" s="4" t="s">
        <v>42</v>
      </c>
      <c r="Y72" s="4"/>
      <c r="Z72" s="4" t="s">
        <v>117</v>
      </c>
      <c r="AA72" s="4"/>
      <c r="AB72" s="4"/>
      <c r="AC72" s="4" t="s">
        <v>52</v>
      </c>
      <c r="AD72" s="4" t="s">
        <v>45</v>
      </c>
    </row>
    <row r="73" spans="1:30">
      <c r="A73" s="4" t="s">
        <v>30</v>
      </c>
      <c r="B73" s="4"/>
      <c r="C73" s="4">
        <v>431500</v>
      </c>
      <c r="D73" s="4" t="s">
        <v>380</v>
      </c>
      <c r="E73" s="13" t="s">
        <v>381</v>
      </c>
      <c r="F73" s="4" t="s">
        <v>382</v>
      </c>
      <c r="G73" s="4">
        <v>5</v>
      </c>
      <c r="H73" s="4" t="s">
        <v>383</v>
      </c>
      <c r="I73" s="5">
        <v>44997</v>
      </c>
      <c r="J73" s="5">
        <v>45362</v>
      </c>
      <c r="K73" s="4" t="s">
        <v>384</v>
      </c>
      <c r="L73" s="4" t="s">
        <v>385</v>
      </c>
      <c r="M73" s="7">
        <v>-679</v>
      </c>
      <c r="N73" s="16">
        <v>7.5007363770250368</v>
      </c>
      <c r="O73" s="6">
        <v>-50.93</v>
      </c>
      <c r="P73" s="4" t="s">
        <v>386</v>
      </c>
      <c r="Q73" s="1">
        <v>424818</v>
      </c>
      <c r="R73" s="4" t="s">
        <v>52</v>
      </c>
      <c r="S73" s="4"/>
      <c r="T73" s="4" t="s">
        <v>387</v>
      </c>
      <c r="U73" s="4" t="s">
        <v>388</v>
      </c>
      <c r="V73" s="4" t="s">
        <v>389</v>
      </c>
      <c r="W73" s="4">
        <v>3082</v>
      </c>
      <c r="X73" s="4" t="s">
        <v>42</v>
      </c>
      <c r="Y73" s="4"/>
      <c r="Z73" s="4"/>
      <c r="AA73" s="4"/>
      <c r="AB73" s="4"/>
      <c r="AC73" s="4" t="s">
        <v>52</v>
      </c>
      <c r="AD73" s="4" t="s">
        <v>45</v>
      </c>
    </row>
    <row r="74" spans="1:30">
      <c r="A74" s="4" t="s">
        <v>30</v>
      </c>
      <c r="B74" s="4"/>
      <c r="C74" s="4">
        <v>442600</v>
      </c>
      <c r="D74" s="4" t="s">
        <v>390</v>
      </c>
      <c r="E74" s="13" t="s">
        <v>391</v>
      </c>
      <c r="F74" s="4" t="s">
        <v>392</v>
      </c>
      <c r="G74" s="4">
        <v>0</v>
      </c>
      <c r="H74" s="4" t="s">
        <v>393</v>
      </c>
      <c r="I74" s="5">
        <v>45078</v>
      </c>
      <c r="J74" s="5">
        <v>45169</v>
      </c>
      <c r="K74" s="4" t="s">
        <v>394</v>
      </c>
      <c r="L74" s="4" t="s">
        <v>395</v>
      </c>
      <c r="M74" s="7">
        <v>60855</v>
      </c>
      <c r="N74" s="16">
        <v>21.999835674965084</v>
      </c>
      <c r="O74" s="6">
        <v>13388</v>
      </c>
      <c r="P74" s="4" t="s">
        <v>95</v>
      </c>
      <c r="Q74" s="1" t="s">
        <v>52</v>
      </c>
      <c r="R74" s="4" t="s">
        <v>52</v>
      </c>
      <c r="S74" s="4"/>
      <c r="T74" s="4" t="s">
        <v>96</v>
      </c>
      <c r="U74" s="4" t="s">
        <v>97</v>
      </c>
      <c r="V74" s="4" t="s">
        <v>396</v>
      </c>
      <c r="W74" s="4">
        <v>3073</v>
      </c>
      <c r="X74" s="4" t="s">
        <v>42</v>
      </c>
      <c r="Y74" s="4"/>
      <c r="Z74" s="4" t="s">
        <v>117</v>
      </c>
      <c r="AA74" s="4"/>
      <c r="AB74" s="4"/>
      <c r="AC74" s="4" t="s">
        <v>52</v>
      </c>
      <c r="AD74" s="4" t="s">
        <v>45</v>
      </c>
    </row>
    <row r="75" spans="1:30">
      <c r="A75" s="4" t="s">
        <v>30</v>
      </c>
      <c r="B75" s="4"/>
      <c r="C75" s="4">
        <v>510000</v>
      </c>
      <c r="D75" s="4" t="s">
        <v>46</v>
      </c>
      <c r="E75" s="13" t="s">
        <v>397</v>
      </c>
      <c r="F75" s="4" t="s">
        <v>398</v>
      </c>
      <c r="G75" s="4">
        <v>13</v>
      </c>
      <c r="H75" s="4" t="s">
        <v>399</v>
      </c>
      <c r="I75" s="5">
        <v>44750</v>
      </c>
      <c r="J75" s="5">
        <v>45114</v>
      </c>
      <c r="K75" s="4" t="s">
        <v>50</v>
      </c>
      <c r="L75" s="4" t="s">
        <v>51</v>
      </c>
      <c r="M75" s="7">
        <v>38082</v>
      </c>
      <c r="N75" s="16">
        <v>2.4998687043747703</v>
      </c>
      <c r="O75" s="6">
        <v>952</v>
      </c>
      <c r="P75" s="4" t="s">
        <v>151</v>
      </c>
      <c r="Q75" s="1">
        <v>398818</v>
      </c>
      <c r="R75" s="4" t="s">
        <v>52</v>
      </c>
      <c r="S75" s="4"/>
      <c r="T75" s="4" t="s">
        <v>152</v>
      </c>
      <c r="U75" s="4" t="s">
        <v>153</v>
      </c>
      <c r="V75" s="4" t="s">
        <v>55</v>
      </c>
      <c r="W75" s="4">
        <v>3081</v>
      </c>
      <c r="X75" s="4" t="s">
        <v>42</v>
      </c>
      <c r="Y75" s="4"/>
      <c r="Z75" s="4"/>
      <c r="AA75" s="4"/>
      <c r="AB75" s="4"/>
      <c r="AC75" s="4" t="s">
        <v>52</v>
      </c>
      <c r="AD75" s="4" t="s">
        <v>45</v>
      </c>
    </row>
    <row r="76" spans="1:30">
      <c r="A76" s="4" t="s">
        <v>30</v>
      </c>
      <c r="B76" s="4"/>
      <c r="C76" s="4">
        <v>421100</v>
      </c>
      <c r="D76" s="4" t="s">
        <v>400</v>
      </c>
      <c r="E76" s="13" t="s">
        <v>401</v>
      </c>
      <c r="F76" s="4" t="s">
        <v>402</v>
      </c>
      <c r="G76" s="4">
        <v>0</v>
      </c>
      <c r="H76" s="4" t="s">
        <v>403</v>
      </c>
      <c r="I76" s="5">
        <v>45047</v>
      </c>
      <c r="J76" s="5">
        <v>45412</v>
      </c>
      <c r="K76" s="4" t="s">
        <v>50</v>
      </c>
      <c r="L76" s="4" t="s">
        <v>51</v>
      </c>
      <c r="M76" s="7">
        <v>4162162</v>
      </c>
      <c r="N76" s="16">
        <v>4.999997597402503</v>
      </c>
      <c r="O76" s="6">
        <v>208108</v>
      </c>
      <c r="P76" s="4" t="s">
        <v>125</v>
      </c>
      <c r="Q76" s="2">
        <v>444219</v>
      </c>
      <c r="R76" s="2">
        <v>0</v>
      </c>
      <c r="S76" s="4"/>
      <c r="T76" s="4" t="s">
        <v>404</v>
      </c>
      <c r="U76" s="4" t="s">
        <v>405</v>
      </c>
      <c r="V76" s="4" t="s">
        <v>406</v>
      </c>
      <c r="W76" s="4">
        <v>3065</v>
      </c>
      <c r="X76" s="4" t="s">
        <v>42</v>
      </c>
      <c r="Y76" s="4"/>
      <c r="Z76" s="4" t="s">
        <v>117</v>
      </c>
      <c r="AA76" s="4"/>
      <c r="AB76" s="4"/>
      <c r="AC76" s="4" t="s">
        <v>143</v>
      </c>
      <c r="AD76" s="4" t="s">
        <v>45</v>
      </c>
    </row>
    <row r="77" spans="1:30">
      <c r="A77" s="4" t="s">
        <v>30</v>
      </c>
      <c r="B77" s="4"/>
      <c r="C77" s="4">
        <v>510000</v>
      </c>
      <c r="D77" s="4" t="s">
        <v>46</v>
      </c>
      <c r="E77" s="13" t="s">
        <v>407</v>
      </c>
      <c r="F77" s="4" t="s">
        <v>408</v>
      </c>
      <c r="G77" s="4">
        <v>3</v>
      </c>
      <c r="H77" s="4" t="s">
        <v>409</v>
      </c>
      <c r="I77" s="5">
        <v>44938</v>
      </c>
      <c r="J77" s="5">
        <v>45291</v>
      </c>
      <c r="K77" s="4" t="s">
        <v>50</v>
      </c>
      <c r="L77" s="4" t="s">
        <v>51</v>
      </c>
      <c r="M77" s="7">
        <v>26665</v>
      </c>
      <c r="N77" s="16">
        <v>5</v>
      </c>
      <c r="O77" s="6">
        <v>1333.25</v>
      </c>
      <c r="P77" s="4" t="s">
        <v>37</v>
      </c>
      <c r="Q77" s="1">
        <v>430579</v>
      </c>
      <c r="R77" s="4" t="s">
        <v>52</v>
      </c>
      <c r="S77" s="4"/>
      <c r="T77" s="4" t="s">
        <v>53</v>
      </c>
      <c r="U77" s="4" t="s">
        <v>54</v>
      </c>
      <c r="V77" s="4" t="s">
        <v>55</v>
      </c>
      <c r="W77" s="4">
        <v>3081</v>
      </c>
      <c r="X77" s="4" t="s">
        <v>42</v>
      </c>
      <c r="Y77" s="4"/>
      <c r="Z77" s="4"/>
      <c r="AA77" s="4"/>
      <c r="AB77" s="4"/>
      <c r="AC77" s="4" t="s">
        <v>52</v>
      </c>
      <c r="AD77" s="4" t="s">
        <v>45</v>
      </c>
    </row>
    <row r="78" spans="1:30">
      <c r="A78" s="4" t="s">
        <v>30</v>
      </c>
      <c r="B78" s="4"/>
      <c r="C78" s="4">
        <v>540000</v>
      </c>
      <c r="D78" s="4" t="s">
        <v>56</v>
      </c>
      <c r="E78" s="13" t="s">
        <v>410</v>
      </c>
      <c r="F78" s="4" t="s">
        <v>411</v>
      </c>
      <c r="G78" s="4">
        <v>1</v>
      </c>
      <c r="H78" s="4" t="s">
        <v>79</v>
      </c>
      <c r="I78" s="5">
        <v>45033</v>
      </c>
      <c r="J78" s="5">
        <v>45398</v>
      </c>
      <c r="K78" s="4" t="s">
        <v>50</v>
      </c>
      <c r="L78" s="4" t="s">
        <v>51</v>
      </c>
      <c r="M78" s="7">
        <v>1375000</v>
      </c>
      <c r="N78" s="16">
        <v>7.5</v>
      </c>
      <c r="O78" s="6">
        <v>103125</v>
      </c>
      <c r="P78" s="4" t="s">
        <v>60</v>
      </c>
      <c r="Q78" s="1">
        <v>441188</v>
      </c>
      <c r="R78" s="4" t="s">
        <v>38</v>
      </c>
      <c r="S78" s="4"/>
      <c r="T78" s="4" t="s">
        <v>80</v>
      </c>
      <c r="U78" s="4" t="s">
        <v>81</v>
      </c>
      <c r="V78" s="4" t="s">
        <v>64</v>
      </c>
      <c r="W78" s="4">
        <v>3123</v>
      </c>
      <c r="X78" s="4" t="s">
        <v>42</v>
      </c>
      <c r="Y78" s="4"/>
      <c r="Z78" s="4"/>
      <c r="AA78" s="4"/>
      <c r="AB78" s="4"/>
      <c r="AC78" s="4" t="s">
        <v>242</v>
      </c>
      <c r="AD78" s="4" t="s">
        <v>45</v>
      </c>
    </row>
    <row r="79" spans="1:30">
      <c r="A79" s="4" t="s">
        <v>30</v>
      </c>
      <c r="B79" s="4"/>
      <c r="C79" s="4">
        <v>510000</v>
      </c>
      <c r="D79" s="4" t="s">
        <v>46</v>
      </c>
      <c r="E79" s="13" t="s">
        <v>412</v>
      </c>
      <c r="F79" s="4" t="s">
        <v>413</v>
      </c>
      <c r="G79" s="4">
        <v>2</v>
      </c>
      <c r="H79" s="4" t="s">
        <v>49</v>
      </c>
      <c r="I79" s="5">
        <v>44960</v>
      </c>
      <c r="J79" s="5">
        <v>45324</v>
      </c>
      <c r="K79" s="4" t="s">
        <v>50</v>
      </c>
      <c r="L79" s="4" t="s">
        <v>51</v>
      </c>
      <c r="M79" s="7">
        <v>2422</v>
      </c>
      <c r="N79" s="16">
        <v>0.5</v>
      </c>
      <c r="O79" s="6">
        <v>12.11</v>
      </c>
      <c r="P79" s="4" t="s">
        <v>37</v>
      </c>
      <c r="Q79" s="1">
        <v>434025</v>
      </c>
      <c r="R79" s="4" t="s">
        <v>52</v>
      </c>
      <c r="S79" s="4"/>
      <c r="T79" s="4" t="s">
        <v>53</v>
      </c>
      <c r="U79" s="4" t="s">
        <v>54</v>
      </c>
      <c r="V79" s="4" t="s">
        <v>55</v>
      </c>
      <c r="W79" s="4">
        <v>3081</v>
      </c>
      <c r="X79" s="4" t="s">
        <v>42</v>
      </c>
      <c r="Y79" s="4"/>
      <c r="Z79" s="4"/>
      <c r="AA79" s="4"/>
      <c r="AB79" s="4"/>
      <c r="AC79" s="4" t="s">
        <v>52</v>
      </c>
      <c r="AD79" s="4" t="s">
        <v>45</v>
      </c>
    </row>
    <row r="80" spans="1:30">
      <c r="A80" s="4" t="s">
        <v>30</v>
      </c>
      <c r="B80" s="4"/>
      <c r="C80" s="4">
        <v>540000</v>
      </c>
      <c r="D80" s="4" t="s">
        <v>56</v>
      </c>
      <c r="E80" s="13" t="s">
        <v>414</v>
      </c>
      <c r="F80" s="4" t="s">
        <v>415</v>
      </c>
      <c r="G80" s="4">
        <v>4</v>
      </c>
      <c r="H80" s="4" t="s">
        <v>59</v>
      </c>
      <c r="I80" s="5">
        <v>44896</v>
      </c>
      <c r="J80" s="5">
        <v>45260</v>
      </c>
      <c r="K80" s="4" t="s">
        <v>384</v>
      </c>
      <c r="L80" s="4" t="s">
        <v>385</v>
      </c>
      <c r="M80" s="7">
        <v>-161</v>
      </c>
      <c r="N80" s="16">
        <v>7.4534161490683228</v>
      </c>
      <c r="O80" s="6">
        <v>-12</v>
      </c>
      <c r="P80" s="4" t="s">
        <v>60</v>
      </c>
      <c r="Q80" s="1">
        <v>414345</v>
      </c>
      <c r="R80" s="4" t="s">
        <v>416</v>
      </c>
      <c r="S80" s="4"/>
      <c r="T80" s="4" t="s">
        <v>62</v>
      </c>
      <c r="U80" s="4" t="s">
        <v>63</v>
      </c>
      <c r="V80" s="4" t="s">
        <v>64</v>
      </c>
      <c r="W80" s="4">
        <v>3123</v>
      </c>
      <c r="X80" s="4" t="s">
        <v>42</v>
      </c>
      <c r="Y80" s="4"/>
      <c r="Z80" s="4"/>
      <c r="AA80" s="4"/>
      <c r="AB80" s="4"/>
      <c r="AC80" s="4" t="s">
        <v>143</v>
      </c>
      <c r="AD80" s="4" t="s">
        <v>45</v>
      </c>
    </row>
    <row r="81" spans="1:30">
      <c r="A81" s="4" t="s">
        <v>30</v>
      </c>
      <c r="B81" s="4"/>
      <c r="C81" s="4">
        <v>212203</v>
      </c>
      <c r="D81" s="4" t="s">
        <v>99</v>
      </c>
      <c r="E81" s="13" t="s">
        <v>417</v>
      </c>
      <c r="F81" s="4" t="s">
        <v>418</v>
      </c>
      <c r="G81" s="4">
        <v>0</v>
      </c>
      <c r="H81" s="4" t="s">
        <v>265</v>
      </c>
      <c r="I81" s="5">
        <v>45082</v>
      </c>
      <c r="J81" s="5">
        <v>45447</v>
      </c>
      <c r="K81" s="4" t="s">
        <v>199</v>
      </c>
      <c r="L81" s="4" t="s">
        <v>200</v>
      </c>
      <c r="M81" s="7">
        <v>8471</v>
      </c>
      <c r="N81" s="16">
        <v>0</v>
      </c>
      <c r="O81" s="6">
        <v>0</v>
      </c>
      <c r="P81" s="4" t="s">
        <v>37</v>
      </c>
      <c r="Q81" s="1">
        <v>443791</v>
      </c>
      <c r="R81" s="4" t="s">
        <v>38</v>
      </c>
      <c r="S81" s="4"/>
      <c r="T81" s="4" t="s">
        <v>105</v>
      </c>
      <c r="U81" s="4" t="s">
        <v>106</v>
      </c>
      <c r="V81" s="4" t="s">
        <v>107</v>
      </c>
      <c r="W81" s="4">
        <v>3075</v>
      </c>
      <c r="X81" s="4" t="s">
        <v>42</v>
      </c>
      <c r="Y81" s="4"/>
      <c r="Z81" s="4"/>
      <c r="AA81" s="4"/>
      <c r="AB81" s="4" t="s">
        <v>147</v>
      </c>
      <c r="AC81" s="4" t="s">
        <v>44</v>
      </c>
      <c r="AD81" s="4" t="s">
        <v>45</v>
      </c>
    </row>
    <row r="82" spans="1:30">
      <c r="A82" s="4" t="s">
        <v>30</v>
      </c>
      <c r="B82" s="4"/>
      <c r="C82" s="4">
        <v>212203</v>
      </c>
      <c r="D82" s="4" t="s">
        <v>99</v>
      </c>
      <c r="E82" s="13" t="s">
        <v>419</v>
      </c>
      <c r="F82" s="4" t="s">
        <v>420</v>
      </c>
      <c r="G82" s="4">
        <v>0</v>
      </c>
      <c r="H82" s="4" t="s">
        <v>421</v>
      </c>
      <c r="I82" s="5">
        <v>45086</v>
      </c>
      <c r="J82" s="5">
        <v>45451</v>
      </c>
      <c r="K82" s="4" t="s">
        <v>103</v>
      </c>
      <c r="L82" s="4" t="s">
        <v>104</v>
      </c>
      <c r="M82" s="7">
        <v>8851</v>
      </c>
      <c r="N82" s="16">
        <v>14.992656197039882</v>
      </c>
      <c r="O82" s="6">
        <v>1327</v>
      </c>
      <c r="P82" s="4" t="s">
        <v>37</v>
      </c>
      <c r="Q82" s="1">
        <v>443959</v>
      </c>
      <c r="R82" s="4" t="s">
        <v>38</v>
      </c>
      <c r="S82" s="4"/>
      <c r="T82" s="4" t="s">
        <v>105</v>
      </c>
      <c r="U82" s="4" t="s">
        <v>106</v>
      </c>
      <c r="V82" s="4" t="s">
        <v>107</v>
      </c>
      <c r="W82" s="4">
        <v>3075</v>
      </c>
      <c r="X82" s="4" t="s">
        <v>42</v>
      </c>
      <c r="Y82" s="4"/>
      <c r="Z82" s="4"/>
      <c r="AA82" s="4"/>
      <c r="AB82" s="4"/>
      <c r="AC82" s="4" t="s">
        <v>44</v>
      </c>
      <c r="AD82" s="4" t="s">
        <v>45</v>
      </c>
    </row>
    <row r="83" spans="1:30">
      <c r="A83" s="4" t="s">
        <v>30</v>
      </c>
      <c r="B83" s="4"/>
      <c r="C83" s="4">
        <v>212203</v>
      </c>
      <c r="D83" s="4" t="s">
        <v>99</v>
      </c>
      <c r="E83" s="13" t="s">
        <v>422</v>
      </c>
      <c r="F83" s="4" t="s">
        <v>423</v>
      </c>
      <c r="G83" s="4">
        <v>0</v>
      </c>
      <c r="H83" s="4" t="s">
        <v>280</v>
      </c>
      <c r="I83" s="5">
        <v>45105</v>
      </c>
      <c r="J83" s="5">
        <v>45470</v>
      </c>
      <c r="K83" s="4" t="s">
        <v>103</v>
      </c>
      <c r="L83" s="4" t="s">
        <v>104</v>
      </c>
      <c r="M83" s="7">
        <v>8871</v>
      </c>
      <c r="N83" s="16">
        <v>14.99267275391726</v>
      </c>
      <c r="O83" s="6">
        <v>1330</v>
      </c>
      <c r="P83" s="4" t="s">
        <v>37</v>
      </c>
      <c r="Q83" s="1">
        <v>443974</v>
      </c>
      <c r="R83" s="4" t="s">
        <v>38</v>
      </c>
      <c r="S83" s="4"/>
      <c r="T83" s="4" t="s">
        <v>105</v>
      </c>
      <c r="U83" s="4" t="s">
        <v>106</v>
      </c>
      <c r="V83" s="4" t="s">
        <v>107</v>
      </c>
      <c r="W83" s="4">
        <v>3075</v>
      </c>
      <c r="X83" s="4" t="s">
        <v>42</v>
      </c>
      <c r="Y83" s="4"/>
      <c r="Z83" s="4"/>
      <c r="AA83" s="4"/>
      <c r="AB83" s="4"/>
      <c r="AC83" s="4" t="s">
        <v>44</v>
      </c>
      <c r="AD83" s="4" t="s">
        <v>45</v>
      </c>
    </row>
    <row r="84" spans="1:30">
      <c r="A84" s="4" t="s">
        <v>30</v>
      </c>
      <c r="B84" s="4"/>
      <c r="C84" s="4">
        <v>132000</v>
      </c>
      <c r="D84" s="4" t="s">
        <v>91</v>
      </c>
      <c r="E84" s="13" t="s">
        <v>424</v>
      </c>
      <c r="F84" s="4" t="s">
        <v>425</v>
      </c>
      <c r="G84" s="4">
        <v>3</v>
      </c>
      <c r="H84" s="4" t="s">
        <v>94</v>
      </c>
      <c r="I84" s="5">
        <v>44441</v>
      </c>
      <c r="J84" s="5">
        <v>44805</v>
      </c>
      <c r="K84" s="4" t="s">
        <v>85</v>
      </c>
      <c r="L84" s="4" t="s">
        <v>86</v>
      </c>
      <c r="M84" s="7">
        <v>-68208</v>
      </c>
      <c r="N84" s="16">
        <v>10.105852685901946</v>
      </c>
      <c r="O84" s="6">
        <v>-6893</v>
      </c>
      <c r="P84" s="4" t="s">
        <v>95</v>
      </c>
      <c r="Q84" s="1">
        <v>360468</v>
      </c>
      <c r="R84" s="4" t="s">
        <v>52</v>
      </c>
      <c r="S84" s="4"/>
      <c r="T84" s="4" t="s">
        <v>96</v>
      </c>
      <c r="U84" s="4" t="s">
        <v>97</v>
      </c>
      <c r="V84" s="4" t="s">
        <v>98</v>
      </c>
      <c r="W84" s="4">
        <v>3100</v>
      </c>
      <c r="X84" s="4" t="s">
        <v>42</v>
      </c>
      <c r="Y84" s="4"/>
      <c r="Z84" s="4"/>
      <c r="AA84" s="4"/>
      <c r="AB84" s="4"/>
      <c r="AC84" s="4" t="s">
        <v>52</v>
      </c>
      <c r="AD84" s="4" t="s">
        <v>45</v>
      </c>
    </row>
    <row r="85" spans="1:30">
      <c r="A85" s="4" t="s">
        <v>30</v>
      </c>
      <c r="B85" s="4"/>
      <c r="C85" s="4">
        <v>510000</v>
      </c>
      <c r="D85" s="4" t="s">
        <v>46</v>
      </c>
      <c r="E85" s="13" t="s">
        <v>426</v>
      </c>
      <c r="F85" s="4" t="s">
        <v>427</v>
      </c>
      <c r="G85" s="4">
        <v>16</v>
      </c>
      <c r="H85" s="4" t="s">
        <v>211</v>
      </c>
      <c r="I85" s="5">
        <v>44713</v>
      </c>
      <c r="J85" s="5">
        <v>45077</v>
      </c>
      <c r="K85" s="4" t="s">
        <v>50</v>
      </c>
      <c r="L85" s="4" t="s">
        <v>51</v>
      </c>
      <c r="M85" s="7">
        <v>46903</v>
      </c>
      <c r="N85" s="16">
        <v>0</v>
      </c>
      <c r="O85" s="6">
        <v>0</v>
      </c>
      <c r="P85" s="4" t="s">
        <v>125</v>
      </c>
      <c r="Q85" s="1">
        <v>402796</v>
      </c>
      <c r="R85" s="4" t="s">
        <v>52</v>
      </c>
      <c r="S85" s="4"/>
      <c r="T85" s="4" t="s">
        <v>428</v>
      </c>
      <c r="U85" s="4" t="s">
        <v>429</v>
      </c>
      <c r="V85" s="4" t="s">
        <v>55</v>
      </c>
      <c r="W85" s="4">
        <v>3081</v>
      </c>
      <c r="X85" s="4" t="s">
        <v>42</v>
      </c>
      <c r="Y85" s="4"/>
      <c r="Z85" s="4"/>
      <c r="AA85" s="4"/>
      <c r="AB85" s="4"/>
      <c r="AC85" s="4" t="s">
        <v>52</v>
      </c>
      <c r="AD85" s="4" t="s">
        <v>45</v>
      </c>
    </row>
    <row r="86" spans="1:30">
      <c r="A86" s="4" t="s">
        <v>30</v>
      </c>
      <c r="B86" s="4"/>
      <c r="C86" s="4">
        <v>212203</v>
      </c>
      <c r="D86" s="4" t="s">
        <v>99</v>
      </c>
      <c r="E86" s="13" t="s">
        <v>430</v>
      </c>
      <c r="F86" s="4" t="s">
        <v>431</v>
      </c>
      <c r="G86" s="4">
        <v>0</v>
      </c>
      <c r="H86" s="4" t="s">
        <v>198</v>
      </c>
      <c r="I86" s="5">
        <v>45084</v>
      </c>
      <c r="J86" s="5">
        <v>45449</v>
      </c>
      <c r="K86" s="4" t="s">
        <v>199</v>
      </c>
      <c r="L86" s="4" t="s">
        <v>200</v>
      </c>
      <c r="M86" s="7">
        <v>8706</v>
      </c>
      <c r="N86" s="16">
        <v>13.26671261199173</v>
      </c>
      <c r="O86" s="6">
        <v>1155</v>
      </c>
      <c r="P86" s="4" t="s">
        <v>37</v>
      </c>
      <c r="Q86" s="1">
        <v>443810</v>
      </c>
      <c r="R86" s="4" t="s">
        <v>38</v>
      </c>
      <c r="S86" s="4"/>
      <c r="T86" s="4" t="s">
        <v>105</v>
      </c>
      <c r="U86" s="4" t="s">
        <v>106</v>
      </c>
      <c r="V86" s="4" t="s">
        <v>107</v>
      </c>
      <c r="W86" s="4">
        <v>3075</v>
      </c>
      <c r="X86" s="4" t="s">
        <v>42</v>
      </c>
      <c r="Y86" s="4"/>
      <c r="Z86" s="4"/>
      <c r="AA86" s="4" t="s">
        <v>201</v>
      </c>
      <c r="AB86" s="4"/>
      <c r="AC86" s="4" t="s">
        <v>185</v>
      </c>
      <c r="AD86" s="4" t="s">
        <v>45</v>
      </c>
    </row>
    <row r="87" spans="1:30">
      <c r="A87" s="4" t="s">
        <v>30</v>
      </c>
      <c r="B87" s="4"/>
      <c r="C87" s="4">
        <v>510000</v>
      </c>
      <c r="D87" s="4" t="s">
        <v>46</v>
      </c>
      <c r="E87" s="13" t="s">
        <v>432</v>
      </c>
      <c r="F87" s="4" t="s">
        <v>433</v>
      </c>
      <c r="G87" s="4">
        <v>3</v>
      </c>
      <c r="H87" s="4" t="s">
        <v>434</v>
      </c>
      <c r="I87" s="5">
        <v>44964</v>
      </c>
      <c r="J87" s="5">
        <v>45291</v>
      </c>
      <c r="K87" s="4" t="s">
        <v>50</v>
      </c>
      <c r="L87" s="4" t="s">
        <v>51</v>
      </c>
      <c r="M87" s="7">
        <v>10080</v>
      </c>
      <c r="N87" s="16">
        <v>5</v>
      </c>
      <c r="O87" s="6">
        <v>504</v>
      </c>
      <c r="P87" s="4" t="s">
        <v>37</v>
      </c>
      <c r="Q87" s="1">
        <v>430684</v>
      </c>
      <c r="R87" s="4" t="s">
        <v>52</v>
      </c>
      <c r="S87" s="4"/>
      <c r="T87" s="4" t="s">
        <v>53</v>
      </c>
      <c r="U87" s="4" t="s">
        <v>54</v>
      </c>
      <c r="V87" s="4" t="s">
        <v>55</v>
      </c>
      <c r="W87" s="4">
        <v>3081</v>
      </c>
      <c r="X87" s="4" t="s">
        <v>42</v>
      </c>
      <c r="Y87" s="4"/>
      <c r="Z87" s="4"/>
      <c r="AA87" s="4"/>
      <c r="AB87" s="4"/>
      <c r="AC87" s="4" t="s">
        <v>52</v>
      </c>
      <c r="AD87" s="4" t="s">
        <v>45</v>
      </c>
    </row>
    <row r="88" spans="1:30">
      <c r="A88" s="4" t="s">
        <v>30</v>
      </c>
      <c r="B88" s="4"/>
      <c r="C88" s="4">
        <v>510000</v>
      </c>
      <c r="D88" s="4" t="s">
        <v>46</v>
      </c>
      <c r="E88" s="13" t="s">
        <v>435</v>
      </c>
      <c r="F88" s="4" t="s">
        <v>436</v>
      </c>
      <c r="G88" s="4">
        <v>8</v>
      </c>
      <c r="H88" s="4" t="s">
        <v>437</v>
      </c>
      <c r="I88" s="5">
        <v>44927</v>
      </c>
      <c r="J88" s="5">
        <v>45291</v>
      </c>
      <c r="K88" s="4" t="s">
        <v>50</v>
      </c>
      <c r="L88" s="4" t="s">
        <v>51</v>
      </c>
      <c r="M88" s="7">
        <v>-92175</v>
      </c>
      <c r="N88" s="16">
        <v>7.5000054244643346</v>
      </c>
      <c r="O88" s="6">
        <v>-6913.13</v>
      </c>
      <c r="P88" s="4" t="s">
        <v>37</v>
      </c>
      <c r="Q88" s="1">
        <v>421505</v>
      </c>
      <c r="R88" s="4" t="s">
        <v>438</v>
      </c>
      <c r="S88" s="4"/>
      <c r="T88" s="4" t="s">
        <v>134</v>
      </c>
      <c r="U88" s="4" t="s">
        <v>135</v>
      </c>
      <c r="V88" s="4" t="s">
        <v>55</v>
      </c>
      <c r="W88" s="4">
        <v>3081</v>
      </c>
      <c r="X88" s="4" t="s">
        <v>42</v>
      </c>
      <c r="Y88" s="4"/>
      <c r="Z88" s="4"/>
      <c r="AA88" s="4"/>
      <c r="AB88" s="4" t="s">
        <v>147</v>
      </c>
      <c r="AC88" s="4" t="s">
        <v>44</v>
      </c>
      <c r="AD88" s="4" t="s">
        <v>45</v>
      </c>
    </row>
    <row r="89" spans="1:30">
      <c r="A89" s="4" t="s">
        <v>30</v>
      </c>
      <c r="B89" s="4"/>
      <c r="C89" s="4">
        <v>215600</v>
      </c>
      <c r="D89" s="4" t="s">
        <v>129</v>
      </c>
      <c r="E89" s="13" t="s">
        <v>439</v>
      </c>
      <c r="F89" s="4" t="s">
        <v>440</v>
      </c>
      <c r="G89" s="4">
        <v>0</v>
      </c>
      <c r="H89" s="4" t="s">
        <v>441</v>
      </c>
      <c r="I89" s="5">
        <v>45093</v>
      </c>
      <c r="J89" s="5">
        <v>45458</v>
      </c>
      <c r="K89" s="4" t="s">
        <v>442</v>
      </c>
      <c r="L89" s="4" t="s">
        <v>443</v>
      </c>
      <c r="M89" s="7">
        <v>78419</v>
      </c>
      <c r="N89" s="16">
        <v>7.9993368953952482</v>
      </c>
      <c r="O89" s="6">
        <v>6273</v>
      </c>
      <c r="P89" s="4" t="s">
        <v>37</v>
      </c>
      <c r="Q89" s="1" t="s">
        <v>52</v>
      </c>
      <c r="R89" s="4" t="s">
        <v>52</v>
      </c>
      <c r="S89" s="4"/>
      <c r="T89" s="4" t="s">
        <v>105</v>
      </c>
      <c r="U89" s="4" t="s">
        <v>444</v>
      </c>
      <c r="V89" s="4" t="s">
        <v>136</v>
      </c>
      <c r="W89" s="4">
        <v>3076</v>
      </c>
      <c r="X89" s="4" t="s">
        <v>42</v>
      </c>
      <c r="Y89" s="4"/>
      <c r="Z89" s="4" t="s">
        <v>117</v>
      </c>
      <c r="AA89" s="4"/>
      <c r="AB89" s="4"/>
      <c r="AC89" s="4" t="s">
        <v>52</v>
      </c>
      <c r="AD89" s="4" t="s">
        <v>45</v>
      </c>
    </row>
    <row r="90" spans="1:30">
      <c r="A90" s="4" t="s">
        <v>30</v>
      </c>
      <c r="B90" s="4"/>
      <c r="C90" s="4">
        <v>212203</v>
      </c>
      <c r="D90" s="4" t="s">
        <v>99</v>
      </c>
      <c r="E90" s="13" t="s">
        <v>445</v>
      </c>
      <c r="F90" s="4" t="s">
        <v>446</v>
      </c>
      <c r="G90" s="4">
        <v>0</v>
      </c>
      <c r="H90" s="4" t="s">
        <v>447</v>
      </c>
      <c r="I90" s="5">
        <v>45085</v>
      </c>
      <c r="J90" s="5">
        <v>45450</v>
      </c>
      <c r="K90" s="4" t="s">
        <v>103</v>
      </c>
      <c r="L90" s="4" t="s">
        <v>104</v>
      </c>
      <c r="M90" s="7">
        <v>8914</v>
      </c>
      <c r="N90" s="16">
        <v>15.010096477451201</v>
      </c>
      <c r="O90" s="6">
        <v>1338</v>
      </c>
      <c r="P90" s="4" t="s">
        <v>37</v>
      </c>
      <c r="Q90" s="1">
        <v>443956</v>
      </c>
      <c r="R90" s="4" t="s">
        <v>38</v>
      </c>
      <c r="S90" s="4"/>
      <c r="T90" s="4" t="s">
        <v>105</v>
      </c>
      <c r="U90" s="4" t="s">
        <v>106</v>
      </c>
      <c r="V90" s="4" t="s">
        <v>107</v>
      </c>
      <c r="W90" s="4">
        <v>3075</v>
      </c>
      <c r="X90" s="4" t="s">
        <v>42</v>
      </c>
      <c r="Y90" s="4"/>
      <c r="Z90" s="4"/>
      <c r="AA90" s="4"/>
      <c r="AB90" s="4"/>
      <c r="AC90" s="4" t="s">
        <v>44</v>
      </c>
      <c r="AD90" s="4" t="s">
        <v>45</v>
      </c>
    </row>
    <row r="91" spans="1:30">
      <c r="A91" s="4" t="s">
        <v>30</v>
      </c>
      <c r="B91" s="4"/>
      <c r="C91" s="4">
        <v>510000</v>
      </c>
      <c r="D91" s="4" t="s">
        <v>46</v>
      </c>
      <c r="E91" s="13" t="s">
        <v>448</v>
      </c>
      <c r="F91" s="4" t="s">
        <v>449</v>
      </c>
      <c r="G91" s="4">
        <v>2</v>
      </c>
      <c r="H91" s="4" t="s">
        <v>450</v>
      </c>
      <c r="I91" s="5">
        <v>44964</v>
      </c>
      <c r="J91" s="5">
        <v>45291</v>
      </c>
      <c r="K91" s="4" t="s">
        <v>50</v>
      </c>
      <c r="L91" s="4" t="s">
        <v>51</v>
      </c>
      <c r="M91" s="7">
        <v>-4270</v>
      </c>
      <c r="N91" s="16">
        <v>5</v>
      </c>
      <c r="O91" s="6">
        <v>-213.5</v>
      </c>
      <c r="P91" s="4" t="s">
        <v>37</v>
      </c>
      <c r="Q91" s="1">
        <v>430683</v>
      </c>
      <c r="R91" s="4" t="s">
        <v>52</v>
      </c>
      <c r="S91" s="4"/>
      <c r="T91" s="4" t="s">
        <v>53</v>
      </c>
      <c r="U91" s="4" t="s">
        <v>54</v>
      </c>
      <c r="V91" s="4" t="s">
        <v>55</v>
      </c>
      <c r="W91" s="4">
        <v>3081</v>
      </c>
      <c r="X91" s="4" t="s">
        <v>42</v>
      </c>
      <c r="Y91" s="4"/>
      <c r="Z91" s="4"/>
      <c r="AA91" s="4"/>
      <c r="AB91" s="4"/>
      <c r="AC91" s="4" t="s">
        <v>52</v>
      </c>
      <c r="AD91" s="4" t="s">
        <v>45</v>
      </c>
    </row>
    <row r="92" spans="1:30">
      <c r="A92" s="4" t="s">
        <v>30</v>
      </c>
      <c r="B92" s="4"/>
      <c r="C92" s="4">
        <v>212203</v>
      </c>
      <c r="D92" s="4" t="s">
        <v>99</v>
      </c>
      <c r="E92" s="13" t="s">
        <v>451</v>
      </c>
      <c r="F92" s="4" t="s">
        <v>452</v>
      </c>
      <c r="G92" s="4">
        <v>0</v>
      </c>
      <c r="H92" s="4" t="s">
        <v>354</v>
      </c>
      <c r="I92" s="5">
        <v>45088</v>
      </c>
      <c r="J92" s="5">
        <v>45453</v>
      </c>
      <c r="K92" s="4" t="s">
        <v>199</v>
      </c>
      <c r="L92" s="4" t="s">
        <v>200</v>
      </c>
      <c r="M92" s="7">
        <v>18869</v>
      </c>
      <c r="N92" s="16">
        <v>13.747416397265356</v>
      </c>
      <c r="O92" s="6">
        <v>2594</v>
      </c>
      <c r="P92" s="4" t="s">
        <v>37</v>
      </c>
      <c r="Q92" s="1">
        <v>443823</v>
      </c>
      <c r="R92" s="4" t="s">
        <v>38</v>
      </c>
      <c r="S92" s="4"/>
      <c r="T92" s="4" t="s">
        <v>105</v>
      </c>
      <c r="U92" s="4" t="s">
        <v>106</v>
      </c>
      <c r="V92" s="4" t="s">
        <v>107</v>
      </c>
      <c r="W92" s="4">
        <v>3075</v>
      </c>
      <c r="X92" s="4" t="s">
        <v>42</v>
      </c>
      <c r="Y92" s="4"/>
      <c r="Z92" s="4"/>
      <c r="AA92" s="4"/>
      <c r="AB92" s="4"/>
      <c r="AC92" s="4" t="s">
        <v>185</v>
      </c>
      <c r="AD92" s="4" t="s">
        <v>45</v>
      </c>
    </row>
    <row r="93" spans="1:30">
      <c r="A93" s="4" t="s">
        <v>30</v>
      </c>
      <c r="B93" s="4"/>
      <c r="C93" s="4">
        <v>212203</v>
      </c>
      <c r="D93" s="4" t="s">
        <v>99</v>
      </c>
      <c r="E93" s="13" t="s">
        <v>453</v>
      </c>
      <c r="F93" s="4" t="s">
        <v>454</v>
      </c>
      <c r="G93" s="4">
        <v>0</v>
      </c>
      <c r="H93" s="4" t="s">
        <v>159</v>
      </c>
      <c r="I93" s="5">
        <v>45111</v>
      </c>
      <c r="J93" s="5">
        <v>45476</v>
      </c>
      <c r="K93" s="4" t="s">
        <v>103</v>
      </c>
      <c r="L93" s="4" t="s">
        <v>104</v>
      </c>
      <c r="M93" s="7">
        <v>8111</v>
      </c>
      <c r="N93" s="16">
        <v>14.991986191591666</v>
      </c>
      <c r="O93" s="6">
        <v>1216</v>
      </c>
      <c r="P93" s="4" t="s">
        <v>37</v>
      </c>
      <c r="Q93" s="1" t="s">
        <v>52</v>
      </c>
      <c r="R93" s="4" t="s">
        <v>52</v>
      </c>
      <c r="S93" s="4"/>
      <c r="T93" s="4" t="s">
        <v>160</v>
      </c>
      <c r="U93" s="4" t="s">
        <v>160</v>
      </c>
      <c r="V93" s="4" t="s">
        <v>107</v>
      </c>
      <c r="W93" s="4">
        <v>3075</v>
      </c>
      <c r="X93" s="4" t="s">
        <v>42</v>
      </c>
      <c r="Y93" s="4"/>
      <c r="Z93" s="4" t="s">
        <v>117</v>
      </c>
      <c r="AA93" s="4"/>
      <c r="AB93" s="4"/>
      <c r="AC93" s="4" t="s">
        <v>52</v>
      </c>
      <c r="AD93" s="4" t="s">
        <v>45</v>
      </c>
    </row>
    <row r="94" spans="1:30">
      <c r="A94" s="4" t="s">
        <v>30</v>
      </c>
      <c r="B94" s="4"/>
      <c r="C94" s="4">
        <v>212203</v>
      </c>
      <c r="D94" s="4" t="s">
        <v>99</v>
      </c>
      <c r="E94" s="13" t="s">
        <v>455</v>
      </c>
      <c r="F94" s="4" t="s">
        <v>456</v>
      </c>
      <c r="G94" s="4">
        <v>0</v>
      </c>
      <c r="H94" s="4" t="s">
        <v>159</v>
      </c>
      <c r="I94" s="5">
        <v>45111</v>
      </c>
      <c r="J94" s="5">
        <v>45476</v>
      </c>
      <c r="K94" s="4" t="s">
        <v>103</v>
      </c>
      <c r="L94" s="4" t="s">
        <v>104</v>
      </c>
      <c r="M94" s="7">
        <v>8111</v>
      </c>
      <c r="N94" s="16">
        <v>14.991986191591666</v>
      </c>
      <c r="O94" s="6">
        <v>1216</v>
      </c>
      <c r="P94" s="4" t="s">
        <v>37</v>
      </c>
      <c r="Q94" s="1" t="s">
        <v>52</v>
      </c>
      <c r="R94" s="4" t="s">
        <v>52</v>
      </c>
      <c r="S94" s="4"/>
      <c r="T94" s="4" t="s">
        <v>160</v>
      </c>
      <c r="U94" s="4" t="s">
        <v>160</v>
      </c>
      <c r="V94" s="4" t="s">
        <v>107</v>
      </c>
      <c r="W94" s="4">
        <v>3075</v>
      </c>
      <c r="X94" s="4" t="s">
        <v>42</v>
      </c>
      <c r="Y94" s="4"/>
      <c r="Z94" s="4" t="s">
        <v>117</v>
      </c>
      <c r="AA94" s="4"/>
      <c r="AB94" s="4"/>
      <c r="AC94" s="4" t="s">
        <v>52</v>
      </c>
      <c r="AD94" s="4" t="s">
        <v>45</v>
      </c>
    </row>
    <row r="95" spans="1:30">
      <c r="A95" s="4" t="s">
        <v>30</v>
      </c>
      <c r="B95" s="4"/>
      <c r="C95" s="4">
        <v>411700</v>
      </c>
      <c r="D95" s="4" t="s">
        <v>234</v>
      </c>
      <c r="E95" s="13" t="s">
        <v>457</v>
      </c>
      <c r="F95" s="4" t="s">
        <v>458</v>
      </c>
      <c r="G95" s="4">
        <v>11</v>
      </c>
      <c r="H95" s="4" t="s">
        <v>237</v>
      </c>
      <c r="I95" s="5">
        <v>44835</v>
      </c>
      <c r="J95" s="5">
        <v>45199</v>
      </c>
      <c r="K95" s="4" t="s">
        <v>50</v>
      </c>
      <c r="L95" s="4" t="s">
        <v>51</v>
      </c>
      <c r="M95" s="7">
        <v>-50998</v>
      </c>
      <c r="N95" s="16">
        <v>1.0000392172242047</v>
      </c>
      <c r="O95" s="6">
        <v>-510</v>
      </c>
      <c r="P95" s="4" t="s">
        <v>151</v>
      </c>
      <c r="Q95" s="1">
        <v>407988</v>
      </c>
      <c r="R95" s="4" t="s">
        <v>459</v>
      </c>
      <c r="S95" s="4"/>
      <c r="T95" s="4" t="s">
        <v>239</v>
      </c>
      <c r="U95" s="4" t="s">
        <v>240</v>
      </c>
      <c r="V95" s="4" t="s">
        <v>241</v>
      </c>
      <c r="W95" s="4">
        <v>3069</v>
      </c>
      <c r="X95" s="4" t="s">
        <v>42</v>
      </c>
      <c r="Y95" s="4"/>
      <c r="Z95" s="4"/>
      <c r="AA95" s="4"/>
      <c r="AB95" s="4"/>
      <c r="AC95" s="4" t="s">
        <v>242</v>
      </c>
      <c r="AD95" s="4" t="s">
        <v>45</v>
      </c>
    </row>
    <row r="96" spans="1:30">
      <c r="A96" s="4" t="s">
        <v>30</v>
      </c>
      <c r="B96" s="4"/>
      <c r="C96" s="4">
        <v>510000</v>
      </c>
      <c r="D96" s="4" t="s">
        <v>46</v>
      </c>
      <c r="E96" s="13" t="s">
        <v>460</v>
      </c>
      <c r="F96" s="4" t="s">
        <v>461</v>
      </c>
      <c r="G96" s="4">
        <v>2</v>
      </c>
      <c r="H96" s="4" t="s">
        <v>409</v>
      </c>
      <c r="I96" s="5">
        <v>44964</v>
      </c>
      <c r="J96" s="5">
        <v>45291</v>
      </c>
      <c r="K96" s="4" t="s">
        <v>384</v>
      </c>
      <c r="L96" s="4" t="s">
        <v>385</v>
      </c>
      <c r="M96" s="7">
        <v>-560</v>
      </c>
      <c r="N96" s="16">
        <v>7.5000000000000009</v>
      </c>
      <c r="O96" s="6">
        <v>-42</v>
      </c>
      <c r="P96" s="4" t="s">
        <v>37</v>
      </c>
      <c r="Q96" s="1">
        <v>429605</v>
      </c>
      <c r="R96" s="4" t="s">
        <v>52</v>
      </c>
      <c r="S96" s="4"/>
      <c r="T96" s="4" t="s">
        <v>53</v>
      </c>
      <c r="U96" s="4" t="s">
        <v>54</v>
      </c>
      <c r="V96" s="4" t="s">
        <v>55</v>
      </c>
      <c r="W96" s="4">
        <v>3081</v>
      </c>
      <c r="X96" s="4" t="s">
        <v>42</v>
      </c>
      <c r="Y96" s="4"/>
      <c r="Z96" s="4"/>
      <c r="AA96" s="4"/>
      <c r="AB96" s="4"/>
      <c r="AC96" s="4" t="s">
        <v>52</v>
      </c>
      <c r="AD96" s="4" t="s">
        <v>45</v>
      </c>
    </row>
    <row r="97" spans="1:30">
      <c r="A97" s="4" t="s">
        <v>30</v>
      </c>
      <c r="B97" s="4"/>
      <c r="C97" s="4">
        <v>510000</v>
      </c>
      <c r="D97" s="4" t="s">
        <v>46</v>
      </c>
      <c r="E97" s="13" t="s">
        <v>462</v>
      </c>
      <c r="F97" s="4" t="s">
        <v>463</v>
      </c>
      <c r="G97" s="4">
        <v>2</v>
      </c>
      <c r="H97" s="4" t="s">
        <v>464</v>
      </c>
      <c r="I97" s="5">
        <v>44938</v>
      </c>
      <c r="J97" s="5">
        <v>45291</v>
      </c>
      <c r="K97" s="4" t="s">
        <v>50</v>
      </c>
      <c r="L97" s="4" t="s">
        <v>51</v>
      </c>
      <c r="M97" s="7">
        <v>-180304</v>
      </c>
      <c r="N97" s="16">
        <v>5.0000000000000009</v>
      </c>
      <c r="O97" s="6">
        <v>-9015.2000000000007</v>
      </c>
      <c r="P97" s="4" t="s">
        <v>37</v>
      </c>
      <c r="Q97" s="1">
        <v>430690</v>
      </c>
      <c r="R97" s="4" t="s">
        <v>52</v>
      </c>
      <c r="S97" s="4"/>
      <c r="T97" s="4" t="s">
        <v>53</v>
      </c>
      <c r="U97" s="4" t="s">
        <v>54</v>
      </c>
      <c r="V97" s="4" t="s">
        <v>55</v>
      </c>
      <c r="W97" s="4">
        <v>3081</v>
      </c>
      <c r="X97" s="4" t="s">
        <v>42</v>
      </c>
      <c r="Y97" s="4"/>
      <c r="Z97" s="4"/>
      <c r="AA97" s="4"/>
      <c r="AB97" s="4"/>
      <c r="AC97" s="4" t="s">
        <v>52</v>
      </c>
      <c r="AD97" s="4" t="s">
        <v>45</v>
      </c>
    </row>
    <row r="98" spans="1:30">
      <c r="A98" s="4" t="s">
        <v>30</v>
      </c>
      <c r="B98" s="4"/>
      <c r="C98" s="4">
        <v>540000</v>
      </c>
      <c r="D98" s="4" t="s">
        <v>56</v>
      </c>
      <c r="E98" s="13" t="s">
        <v>465</v>
      </c>
      <c r="F98" s="4" t="s">
        <v>466</v>
      </c>
      <c r="G98" s="4">
        <v>3</v>
      </c>
      <c r="H98" s="4" t="s">
        <v>467</v>
      </c>
      <c r="I98" s="5">
        <v>44919</v>
      </c>
      <c r="J98" s="5">
        <v>45283</v>
      </c>
      <c r="K98" s="4" t="s">
        <v>384</v>
      </c>
      <c r="L98" s="4" t="s">
        <v>385</v>
      </c>
      <c r="M98" s="7">
        <v>241896</v>
      </c>
      <c r="N98" s="16">
        <v>7.4999173198399314</v>
      </c>
      <c r="O98" s="6">
        <v>18142</v>
      </c>
      <c r="P98" s="4" t="s">
        <v>60</v>
      </c>
      <c r="Q98" s="1" t="s">
        <v>52</v>
      </c>
      <c r="R98" s="4" t="s">
        <v>52</v>
      </c>
      <c r="S98" s="4"/>
      <c r="T98" s="4" t="s">
        <v>80</v>
      </c>
      <c r="U98" s="4" t="s">
        <v>468</v>
      </c>
      <c r="V98" s="4" t="s">
        <v>64</v>
      </c>
      <c r="W98" s="4">
        <v>3123</v>
      </c>
      <c r="X98" s="4" t="s">
        <v>42</v>
      </c>
      <c r="Y98" s="4"/>
      <c r="Z98" s="4"/>
      <c r="AA98" s="4"/>
      <c r="AB98" s="4"/>
      <c r="AC98" s="4" t="s">
        <v>52</v>
      </c>
      <c r="AD98" s="4" t="s">
        <v>45</v>
      </c>
    </row>
    <row r="99" spans="1:30">
      <c r="A99" s="4" t="s">
        <v>30</v>
      </c>
      <c r="B99" s="4"/>
      <c r="C99" s="4">
        <v>112400</v>
      </c>
      <c r="D99" s="4" t="s">
        <v>469</v>
      </c>
      <c r="E99" s="13" t="s">
        <v>470</v>
      </c>
      <c r="F99" s="4" t="s">
        <v>471</v>
      </c>
      <c r="G99" s="4">
        <v>0</v>
      </c>
      <c r="H99" s="4" t="s">
        <v>472</v>
      </c>
      <c r="I99" s="5">
        <v>45082</v>
      </c>
      <c r="J99" s="5">
        <v>45447</v>
      </c>
      <c r="K99" s="4" t="s">
        <v>473</v>
      </c>
      <c r="L99" s="4" t="s">
        <v>474</v>
      </c>
      <c r="M99" s="7">
        <v>7875</v>
      </c>
      <c r="N99" s="16">
        <v>9.980952380952381</v>
      </c>
      <c r="O99" s="6">
        <v>786</v>
      </c>
      <c r="P99" s="4" t="s">
        <v>37</v>
      </c>
      <c r="Q99" s="1">
        <v>436324</v>
      </c>
      <c r="R99" s="4" t="s">
        <v>38</v>
      </c>
      <c r="S99" s="4"/>
      <c r="T99" s="4" t="s">
        <v>194</v>
      </c>
      <c r="U99" s="4" t="s">
        <v>475</v>
      </c>
      <c r="V99" s="4" t="s">
        <v>476</v>
      </c>
      <c r="W99" s="4">
        <v>3087</v>
      </c>
      <c r="X99" s="4" t="s">
        <v>42</v>
      </c>
      <c r="Y99" s="4"/>
      <c r="Z99" s="4"/>
      <c r="AA99" s="4"/>
      <c r="AB99" s="4"/>
      <c r="AC99" s="4" t="s">
        <v>44</v>
      </c>
      <c r="AD99" s="4" t="s">
        <v>45</v>
      </c>
    </row>
    <row r="100" spans="1:30">
      <c r="A100" s="4" t="s">
        <v>30</v>
      </c>
      <c r="B100" s="4"/>
      <c r="C100" s="4">
        <v>540000</v>
      </c>
      <c r="D100" s="4" t="s">
        <v>56</v>
      </c>
      <c r="E100" s="13" t="s">
        <v>477</v>
      </c>
      <c r="F100" s="4" t="s">
        <v>478</v>
      </c>
      <c r="G100" s="4">
        <v>0</v>
      </c>
      <c r="H100" s="4" t="s">
        <v>479</v>
      </c>
      <c r="I100" s="5">
        <v>45110</v>
      </c>
      <c r="J100" s="5">
        <v>45475</v>
      </c>
      <c r="K100" s="4" t="s">
        <v>192</v>
      </c>
      <c r="L100" s="4" t="s">
        <v>193</v>
      </c>
      <c r="M100" s="7">
        <v>1188</v>
      </c>
      <c r="N100" s="16">
        <v>12.542087542087542</v>
      </c>
      <c r="O100" s="6">
        <v>149</v>
      </c>
      <c r="P100" s="4" t="s">
        <v>60</v>
      </c>
      <c r="Q100" s="1">
        <v>441722</v>
      </c>
      <c r="R100" s="4" t="s">
        <v>38</v>
      </c>
      <c r="S100" s="4"/>
      <c r="T100" s="4" t="s">
        <v>480</v>
      </c>
      <c r="U100" s="4" t="s">
        <v>481</v>
      </c>
      <c r="V100" s="4" t="s">
        <v>64</v>
      </c>
      <c r="W100" s="4">
        <v>3123</v>
      </c>
      <c r="X100" s="4" t="s">
        <v>42</v>
      </c>
      <c r="Y100" s="4"/>
      <c r="Z100" s="4"/>
      <c r="AA100" s="4"/>
      <c r="AB100" s="4"/>
      <c r="AC100" s="4" t="s">
        <v>44</v>
      </c>
      <c r="AD100" s="4" t="s">
        <v>45</v>
      </c>
    </row>
    <row r="101" spans="1:30">
      <c r="A101" s="4" t="s">
        <v>30</v>
      </c>
      <c r="B101" s="4"/>
      <c r="C101" s="4">
        <v>412300</v>
      </c>
      <c r="D101" s="4" t="s">
        <v>482</v>
      </c>
      <c r="E101" s="13" t="s">
        <v>483</v>
      </c>
      <c r="F101" s="4" t="s">
        <v>484</v>
      </c>
      <c r="G101" s="4">
        <v>14</v>
      </c>
      <c r="H101" s="4" t="s">
        <v>485</v>
      </c>
      <c r="I101" s="5">
        <v>44835</v>
      </c>
      <c r="J101" s="5">
        <v>45199</v>
      </c>
      <c r="K101" s="4" t="s">
        <v>50</v>
      </c>
      <c r="L101" s="4" t="s">
        <v>51</v>
      </c>
      <c r="M101" s="7">
        <v>14994</v>
      </c>
      <c r="N101" s="16">
        <v>7.5</v>
      </c>
      <c r="O101" s="6">
        <v>1124.55</v>
      </c>
      <c r="P101" s="4" t="s">
        <v>151</v>
      </c>
      <c r="Q101" s="1">
        <v>405493</v>
      </c>
      <c r="R101" s="4" t="s">
        <v>459</v>
      </c>
      <c r="S101" s="4"/>
      <c r="T101" s="4" t="s">
        <v>239</v>
      </c>
      <c r="U101" s="4" t="s">
        <v>486</v>
      </c>
      <c r="V101" s="4" t="s">
        <v>487</v>
      </c>
      <c r="W101" s="4">
        <v>3070</v>
      </c>
      <c r="X101" s="4" t="s">
        <v>42</v>
      </c>
      <c r="Y101" s="4"/>
      <c r="Z101" s="4"/>
      <c r="AA101" s="4"/>
      <c r="AB101" s="4"/>
      <c r="AC101" s="4" t="s">
        <v>44</v>
      </c>
      <c r="AD101" s="4" t="s">
        <v>45</v>
      </c>
    </row>
    <row r="102" spans="1:30">
      <c r="A102" s="4" t="s">
        <v>30</v>
      </c>
      <c r="B102" s="4"/>
      <c r="C102" s="4">
        <v>540000</v>
      </c>
      <c r="D102" s="4" t="s">
        <v>56</v>
      </c>
      <c r="E102" s="13" t="s">
        <v>488</v>
      </c>
      <c r="F102" s="4" t="s">
        <v>489</v>
      </c>
      <c r="G102" s="4">
        <v>7</v>
      </c>
      <c r="H102" s="4" t="s">
        <v>467</v>
      </c>
      <c r="I102" s="5">
        <v>44910</v>
      </c>
      <c r="J102" s="5">
        <v>45274</v>
      </c>
      <c r="K102" s="4" t="s">
        <v>50</v>
      </c>
      <c r="L102" s="4" t="s">
        <v>51</v>
      </c>
      <c r="M102" s="7">
        <v>1614372</v>
      </c>
      <c r="N102" s="16">
        <v>7.5726040838171134</v>
      </c>
      <c r="O102" s="6">
        <v>122250</v>
      </c>
      <c r="P102" s="4" t="s">
        <v>60</v>
      </c>
      <c r="Q102" s="1">
        <v>413729</v>
      </c>
      <c r="R102" s="4" t="s">
        <v>52</v>
      </c>
      <c r="S102" s="4"/>
      <c r="T102" s="4" t="s">
        <v>80</v>
      </c>
      <c r="U102" s="4" t="s">
        <v>468</v>
      </c>
      <c r="V102" s="4" t="s">
        <v>64</v>
      </c>
      <c r="W102" s="4">
        <v>3123</v>
      </c>
      <c r="X102" s="4" t="s">
        <v>42</v>
      </c>
      <c r="Y102" s="4"/>
      <c r="Z102" s="4"/>
      <c r="AA102" s="4"/>
      <c r="AB102" s="4"/>
      <c r="AC102" s="4" t="s">
        <v>52</v>
      </c>
      <c r="AD102" s="4" t="s">
        <v>45</v>
      </c>
    </row>
    <row r="103" spans="1:30">
      <c r="A103" s="4" t="s">
        <v>30</v>
      </c>
      <c r="B103" s="4"/>
      <c r="C103" s="4">
        <v>272200</v>
      </c>
      <c r="D103" s="4" t="s">
        <v>208</v>
      </c>
      <c r="E103" s="13" t="s">
        <v>490</v>
      </c>
      <c r="F103" s="4" t="s">
        <v>491</v>
      </c>
      <c r="G103" s="4">
        <v>0</v>
      </c>
      <c r="H103" s="4" t="s">
        <v>492</v>
      </c>
      <c r="I103" s="5">
        <v>45095</v>
      </c>
      <c r="J103" s="5">
        <v>45460</v>
      </c>
      <c r="K103" s="4" t="s">
        <v>442</v>
      </c>
      <c r="L103" s="4" t="s">
        <v>443</v>
      </c>
      <c r="M103" s="7">
        <v>19369</v>
      </c>
      <c r="N103" s="16">
        <v>7.5068408281274204</v>
      </c>
      <c r="O103" s="6">
        <v>1454</v>
      </c>
      <c r="P103" s="4" t="s">
        <v>37</v>
      </c>
      <c r="Q103" s="1">
        <v>439592</v>
      </c>
      <c r="R103" s="4" t="s">
        <v>38</v>
      </c>
      <c r="S103" s="4"/>
      <c r="T103" s="4" t="s">
        <v>105</v>
      </c>
      <c r="U103" s="4" t="s">
        <v>493</v>
      </c>
      <c r="V103" s="4" t="s">
        <v>212</v>
      </c>
      <c r="W103" s="4">
        <v>3079</v>
      </c>
      <c r="X103" s="4" t="s">
        <v>42</v>
      </c>
      <c r="Y103" s="4"/>
      <c r="Z103" s="4"/>
      <c r="AA103" s="4"/>
      <c r="AB103" s="4" t="s">
        <v>43</v>
      </c>
      <c r="AC103" s="4" t="s">
        <v>44</v>
      </c>
      <c r="AD103" s="4" t="s">
        <v>45</v>
      </c>
    </row>
    <row r="104" spans="1:30">
      <c r="A104" s="4" t="s">
        <v>30</v>
      </c>
      <c r="B104" s="4"/>
      <c r="C104" s="4">
        <v>212203</v>
      </c>
      <c r="D104" s="4" t="s">
        <v>99</v>
      </c>
      <c r="E104" s="13" t="s">
        <v>494</v>
      </c>
      <c r="F104" s="4" t="s">
        <v>292</v>
      </c>
      <c r="G104" s="4">
        <v>0</v>
      </c>
      <c r="H104" s="4" t="s">
        <v>293</v>
      </c>
      <c r="I104" s="5">
        <v>45116</v>
      </c>
      <c r="J104" s="5">
        <v>45481</v>
      </c>
      <c r="K104" s="4" t="s">
        <v>199</v>
      </c>
      <c r="L104" s="4" t="s">
        <v>200</v>
      </c>
      <c r="M104" s="7">
        <v>12919</v>
      </c>
      <c r="N104" s="16">
        <v>13.824599427200248</v>
      </c>
      <c r="O104" s="6">
        <v>1786</v>
      </c>
      <c r="P104" s="4" t="s">
        <v>37</v>
      </c>
      <c r="Q104" s="1" t="s">
        <v>52</v>
      </c>
      <c r="R104" s="4" t="s">
        <v>52</v>
      </c>
      <c r="S104" s="4"/>
      <c r="T104" s="4" t="s">
        <v>160</v>
      </c>
      <c r="U104" s="4" t="s">
        <v>160</v>
      </c>
      <c r="V104" s="4" t="s">
        <v>107</v>
      </c>
      <c r="W104" s="4">
        <v>3075</v>
      </c>
      <c r="X104" s="4" t="s">
        <v>42</v>
      </c>
      <c r="Y104" s="4"/>
      <c r="Z104" s="4" t="s">
        <v>117</v>
      </c>
      <c r="AA104" s="4"/>
      <c r="AB104" s="4"/>
      <c r="AC104" s="4" t="s">
        <v>52</v>
      </c>
      <c r="AD104" s="4" t="s">
        <v>45</v>
      </c>
    </row>
    <row r="105" spans="1:30">
      <c r="A105" s="4" t="s">
        <v>30</v>
      </c>
      <c r="B105" s="4"/>
      <c r="C105" s="4">
        <v>431500</v>
      </c>
      <c r="D105" s="4" t="s">
        <v>380</v>
      </c>
      <c r="E105" s="13" t="s">
        <v>495</v>
      </c>
      <c r="F105" s="4" t="s">
        <v>496</v>
      </c>
      <c r="G105" s="4">
        <v>9</v>
      </c>
      <c r="H105" s="4" t="s">
        <v>383</v>
      </c>
      <c r="I105" s="5">
        <v>45000</v>
      </c>
      <c r="J105" s="5">
        <v>45365</v>
      </c>
      <c r="K105" s="4" t="s">
        <v>50</v>
      </c>
      <c r="L105" s="4" t="s">
        <v>51</v>
      </c>
      <c r="M105" s="7">
        <v>242059</v>
      </c>
      <c r="N105" s="16">
        <v>2.5000020656121027</v>
      </c>
      <c r="O105" s="6">
        <v>6051.48</v>
      </c>
      <c r="P105" s="4" t="s">
        <v>386</v>
      </c>
      <c r="Q105" s="1">
        <v>424816</v>
      </c>
      <c r="R105" s="4" t="s">
        <v>52</v>
      </c>
      <c r="S105" s="4"/>
      <c r="T105" s="4" t="s">
        <v>387</v>
      </c>
      <c r="U105" s="4" t="s">
        <v>388</v>
      </c>
      <c r="V105" s="4" t="s">
        <v>389</v>
      </c>
      <c r="W105" s="4">
        <v>3082</v>
      </c>
      <c r="X105" s="4" t="s">
        <v>42</v>
      </c>
      <c r="Y105" s="4"/>
      <c r="Z105" s="4"/>
      <c r="AA105" s="4"/>
      <c r="AB105" s="4"/>
      <c r="AC105" s="4" t="s">
        <v>52</v>
      </c>
      <c r="AD105" s="4" t="s">
        <v>45</v>
      </c>
    </row>
    <row r="106" spans="1:30">
      <c r="A106" s="4" t="s">
        <v>30</v>
      </c>
      <c r="B106" s="4"/>
      <c r="C106" s="4">
        <v>411400</v>
      </c>
      <c r="D106" s="4" t="s">
        <v>497</v>
      </c>
      <c r="E106" s="13" t="s">
        <v>498</v>
      </c>
      <c r="F106" s="4" t="s">
        <v>499</v>
      </c>
      <c r="G106" s="4">
        <v>1</v>
      </c>
      <c r="H106" s="4" t="s">
        <v>500</v>
      </c>
      <c r="I106" s="5">
        <v>44964</v>
      </c>
      <c r="J106" s="5">
        <v>45328</v>
      </c>
      <c r="K106" s="4" t="s">
        <v>384</v>
      </c>
      <c r="L106" s="4" t="s">
        <v>385</v>
      </c>
      <c r="M106" s="7">
        <v>-616</v>
      </c>
      <c r="N106" s="16">
        <v>7.5</v>
      </c>
      <c r="O106" s="6">
        <v>-46.2</v>
      </c>
      <c r="P106" s="4" t="s">
        <v>151</v>
      </c>
      <c r="Q106" s="1">
        <v>416843</v>
      </c>
      <c r="R106" s="4" t="s">
        <v>52</v>
      </c>
      <c r="S106" s="4"/>
      <c r="T106" s="4" t="s">
        <v>337</v>
      </c>
      <c r="U106" s="4" t="s">
        <v>501</v>
      </c>
      <c r="V106" s="4" t="s">
        <v>502</v>
      </c>
      <c r="W106" s="4">
        <v>3099</v>
      </c>
      <c r="X106" s="4" t="s">
        <v>42</v>
      </c>
      <c r="Y106" s="4"/>
      <c r="Z106" s="4"/>
      <c r="AA106" s="4"/>
      <c r="AB106" s="4"/>
      <c r="AC106" s="4" t="s">
        <v>52</v>
      </c>
      <c r="AD106" s="4" t="s">
        <v>45</v>
      </c>
    </row>
    <row r="107" spans="1:30">
      <c r="A107" s="4" t="s">
        <v>30</v>
      </c>
      <c r="B107" s="4"/>
      <c r="C107" s="4">
        <v>272200</v>
      </c>
      <c r="D107" s="4" t="s">
        <v>208</v>
      </c>
      <c r="E107" s="13" t="s">
        <v>503</v>
      </c>
      <c r="F107" s="4" t="s">
        <v>504</v>
      </c>
      <c r="G107" s="4">
        <v>0</v>
      </c>
      <c r="H107" s="4" t="s">
        <v>505</v>
      </c>
      <c r="I107" s="5">
        <v>45090</v>
      </c>
      <c r="J107" s="5">
        <v>45455</v>
      </c>
      <c r="K107" s="4" t="s">
        <v>199</v>
      </c>
      <c r="L107" s="4" t="s">
        <v>200</v>
      </c>
      <c r="M107" s="7">
        <v>4242</v>
      </c>
      <c r="N107" s="16">
        <v>8.8637435172088637</v>
      </c>
      <c r="O107" s="6">
        <v>376</v>
      </c>
      <c r="P107" s="4" t="s">
        <v>312</v>
      </c>
      <c r="Q107" s="1">
        <v>437320</v>
      </c>
      <c r="R107" s="4" t="s">
        <v>38</v>
      </c>
      <c r="S107" s="4"/>
      <c r="T107" s="4" t="s">
        <v>506</v>
      </c>
      <c r="U107" s="4" t="s">
        <v>507</v>
      </c>
      <c r="V107" s="4" t="s">
        <v>212</v>
      </c>
      <c r="W107" s="4">
        <v>3079</v>
      </c>
      <c r="X107" s="4" t="s">
        <v>42</v>
      </c>
      <c r="Y107" s="4"/>
      <c r="Z107" s="4"/>
      <c r="AA107" s="4"/>
      <c r="AB107" s="4" t="s">
        <v>43</v>
      </c>
      <c r="AC107" s="4" t="s">
        <v>44</v>
      </c>
      <c r="AD107" s="4" t="s">
        <v>45</v>
      </c>
    </row>
    <row r="108" spans="1:30">
      <c r="A108" s="4" t="s">
        <v>30</v>
      </c>
      <c r="B108" s="4"/>
      <c r="C108" s="4">
        <v>112500</v>
      </c>
      <c r="D108" s="4" t="s">
        <v>508</v>
      </c>
      <c r="E108" s="13" t="s">
        <v>509</v>
      </c>
      <c r="F108" s="4" t="s">
        <v>510</v>
      </c>
      <c r="G108" s="4">
        <v>8</v>
      </c>
      <c r="H108" s="4" t="s">
        <v>511</v>
      </c>
      <c r="I108" s="5">
        <v>44883</v>
      </c>
      <c r="J108" s="5">
        <v>45247</v>
      </c>
      <c r="K108" s="4" t="s">
        <v>50</v>
      </c>
      <c r="L108" s="4" t="s">
        <v>51</v>
      </c>
      <c r="M108" s="7">
        <v>7092</v>
      </c>
      <c r="N108" s="16">
        <v>5</v>
      </c>
      <c r="O108" s="6">
        <v>354.6</v>
      </c>
      <c r="P108" s="4" t="s">
        <v>95</v>
      </c>
      <c r="Q108" s="1">
        <v>416893</v>
      </c>
      <c r="R108" s="4" t="s">
        <v>52</v>
      </c>
      <c r="S108" s="4"/>
      <c r="T108" s="4" t="s">
        <v>247</v>
      </c>
      <c r="U108" s="4" t="s">
        <v>248</v>
      </c>
      <c r="V108" s="4" t="s">
        <v>512</v>
      </c>
      <c r="W108" s="4">
        <v>3088</v>
      </c>
      <c r="X108" s="4" t="s">
        <v>42</v>
      </c>
      <c r="Y108" s="4"/>
      <c r="Z108" s="4"/>
      <c r="AA108" s="4"/>
      <c r="AB108" s="4"/>
      <c r="AC108" s="4" t="s">
        <v>52</v>
      </c>
      <c r="AD108" s="4" t="s">
        <v>45</v>
      </c>
    </row>
    <row r="109" spans="1:30">
      <c r="A109" s="4" t="s">
        <v>30</v>
      </c>
      <c r="B109" s="4"/>
      <c r="C109" s="4">
        <v>414890</v>
      </c>
      <c r="D109" s="4" t="s">
        <v>317</v>
      </c>
      <c r="E109" s="13" t="s">
        <v>513</v>
      </c>
      <c r="F109" s="4" t="s">
        <v>514</v>
      </c>
      <c r="G109" s="4">
        <v>0</v>
      </c>
      <c r="H109" s="4" t="s">
        <v>515</v>
      </c>
      <c r="I109" s="5">
        <v>45107</v>
      </c>
      <c r="J109" s="5">
        <v>45472</v>
      </c>
      <c r="K109" s="4" t="s">
        <v>199</v>
      </c>
      <c r="L109" s="4" t="s">
        <v>200</v>
      </c>
      <c r="M109" s="7">
        <v>5321</v>
      </c>
      <c r="N109" s="16">
        <v>2.4807367036271377</v>
      </c>
      <c r="O109" s="6">
        <v>132</v>
      </c>
      <c r="P109" s="4" t="s">
        <v>151</v>
      </c>
      <c r="Q109" s="1">
        <v>440999</v>
      </c>
      <c r="R109" s="4" t="s">
        <v>38</v>
      </c>
      <c r="S109" s="4"/>
      <c r="T109" s="4" t="s">
        <v>322</v>
      </c>
      <c r="U109" s="4" t="s">
        <v>516</v>
      </c>
      <c r="V109" s="4" t="s">
        <v>323</v>
      </c>
      <c r="W109" s="4">
        <v>3071</v>
      </c>
      <c r="X109" s="4" t="s">
        <v>42</v>
      </c>
      <c r="Y109" s="4"/>
      <c r="Z109" s="4"/>
      <c r="AA109" s="4"/>
      <c r="AB109" s="4" t="s">
        <v>147</v>
      </c>
      <c r="AC109" s="4" t="s">
        <v>44</v>
      </c>
      <c r="AD109" s="4" t="s">
        <v>45</v>
      </c>
    </row>
    <row r="110" spans="1:30">
      <c r="A110" s="4" t="s">
        <v>30</v>
      </c>
      <c r="B110" s="4"/>
      <c r="C110" s="4">
        <v>540000</v>
      </c>
      <c r="D110" s="4" t="s">
        <v>56</v>
      </c>
      <c r="E110" s="13" t="s">
        <v>517</v>
      </c>
      <c r="F110" s="4" t="s">
        <v>518</v>
      </c>
      <c r="G110" s="4">
        <v>6</v>
      </c>
      <c r="H110" s="4" t="s">
        <v>519</v>
      </c>
      <c r="I110" s="5">
        <v>44890</v>
      </c>
      <c r="J110" s="5">
        <v>45254</v>
      </c>
      <c r="K110" s="4" t="s">
        <v>50</v>
      </c>
      <c r="L110" s="4" t="s">
        <v>51</v>
      </c>
      <c r="M110" s="7">
        <v>145346</v>
      </c>
      <c r="N110" s="16">
        <v>4</v>
      </c>
      <c r="O110" s="6">
        <v>5813.84</v>
      </c>
      <c r="P110" s="4" t="s">
        <v>60</v>
      </c>
      <c r="Q110" s="1">
        <v>430789</v>
      </c>
      <c r="R110" s="4" t="s">
        <v>520</v>
      </c>
      <c r="S110" s="4"/>
      <c r="T110" s="4" t="s">
        <v>80</v>
      </c>
      <c r="U110" s="4" t="s">
        <v>521</v>
      </c>
      <c r="V110" s="4" t="s">
        <v>64</v>
      </c>
      <c r="W110" s="4">
        <v>3123</v>
      </c>
      <c r="X110" s="4" t="s">
        <v>42</v>
      </c>
      <c r="Y110" s="4"/>
      <c r="Z110" s="4"/>
      <c r="AA110" s="4"/>
      <c r="AB110" s="4"/>
      <c r="AC110" s="4" t="s">
        <v>143</v>
      </c>
      <c r="AD110" s="4" t="s">
        <v>45</v>
      </c>
    </row>
    <row r="111" spans="1:30">
      <c r="A111" s="4" t="s">
        <v>30</v>
      </c>
      <c r="B111" s="4"/>
      <c r="C111" s="4">
        <v>222105</v>
      </c>
      <c r="D111" s="4" t="s">
        <v>68</v>
      </c>
      <c r="E111" s="13" t="s">
        <v>522</v>
      </c>
      <c r="F111" s="4" t="s">
        <v>523</v>
      </c>
      <c r="G111" s="4">
        <v>0</v>
      </c>
      <c r="H111" s="4" t="s">
        <v>524</v>
      </c>
      <c r="I111" s="5">
        <v>45102</v>
      </c>
      <c r="J111" s="5">
        <v>45467</v>
      </c>
      <c r="K111" s="4" t="s">
        <v>364</v>
      </c>
      <c r="L111" s="4" t="s">
        <v>365</v>
      </c>
      <c r="M111" s="7">
        <v>5274</v>
      </c>
      <c r="N111" s="16">
        <v>29.996207811907471</v>
      </c>
      <c r="O111" s="6">
        <v>1582</v>
      </c>
      <c r="P111" s="4" t="s">
        <v>37</v>
      </c>
      <c r="Q111" s="1">
        <v>440361</v>
      </c>
      <c r="R111" s="4" t="s">
        <v>38</v>
      </c>
      <c r="S111" s="4"/>
      <c r="T111" s="4" t="s">
        <v>74</v>
      </c>
      <c r="U111" s="4" t="s">
        <v>75</v>
      </c>
      <c r="V111" s="4" t="s">
        <v>76</v>
      </c>
      <c r="W111" s="4">
        <v>3078</v>
      </c>
      <c r="X111" s="4" t="s">
        <v>42</v>
      </c>
      <c r="Y111" s="4"/>
      <c r="Z111" s="4"/>
      <c r="AA111" s="4"/>
      <c r="AB111" s="4" t="s">
        <v>43</v>
      </c>
      <c r="AC111" s="4" t="s">
        <v>44</v>
      </c>
      <c r="AD111" s="4" t="s">
        <v>45</v>
      </c>
    </row>
    <row r="112" spans="1:30">
      <c r="A112" s="4" t="s">
        <v>30</v>
      </c>
      <c r="B112" s="4"/>
      <c r="C112" s="4">
        <v>222105</v>
      </c>
      <c r="D112" s="4" t="s">
        <v>68</v>
      </c>
      <c r="E112" s="13" t="s">
        <v>525</v>
      </c>
      <c r="F112" s="4" t="s">
        <v>526</v>
      </c>
      <c r="G112" s="4">
        <v>0</v>
      </c>
      <c r="H112" s="4" t="s">
        <v>527</v>
      </c>
      <c r="I112" s="5">
        <v>45090</v>
      </c>
      <c r="J112" s="5">
        <v>45455</v>
      </c>
      <c r="K112" s="4" t="s">
        <v>72</v>
      </c>
      <c r="L112" s="4" t="s">
        <v>73</v>
      </c>
      <c r="M112" s="7">
        <v>31193</v>
      </c>
      <c r="N112" s="16">
        <v>7.4984772224537553</v>
      </c>
      <c r="O112" s="6">
        <v>2339</v>
      </c>
      <c r="P112" s="4" t="s">
        <v>37</v>
      </c>
      <c r="Q112" s="1">
        <v>442835</v>
      </c>
      <c r="R112" s="4" t="s">
        <v>38</v>
      </c>
      <c r="S112" s="4"/>
      <c r="T112" s="4" t="s">
        <v>74</v>
      </c>
      <c r="U112" s="4" t="s">
        <v>75</v>
      </c>
      <c r="V112" s="4" t="s">
        <v>76</v>
      </c>
      <c r="W112" s="4">
        <v>3078</v>
      </c>
      <c r="X112" s="4" t="s">
        <v>42</v>
      </c>
      <c r="Y112" s="4"/>
      <c r="Z112" s="4"/>
      <c r="AA112" s="4"/>
      <c r="AB112" s="4" t="s">
        <v>147</v>
      </c>
      <c r="AC112" s="4" t="s">
        <v>44</v>
      </c>
      <c r="AD112" s="4" t="s">
        <v>45</v>
      </c>
    </row>
    <row r="113" spans="1:30">
      <c r="A113" s="4" t="s">
        <v>30</v>
      </c>
      <c r="B113" s="4"/>
      <c r="C113" s="4">
        <v>132000</v>
      </c>
      <c r="D113" s="4" t="s">
        <v>91</v>
      </c>
      <c r="E113" s="13" t="s">
        <v>528</v>
      </c>
      <c r="F113" s="4" t="s">
        <v>529</v>
      </c>
      <c r="G113" s="4">
        <v>3</v>
      </c>
      <c r="H113" s="4" t="s">
        <v>94</v>
      </c>
      <c r="I113" s="5">
        <v>44441</v>
      </c>
      <c r="J113" s="5">
        <v>44805</v>
      </c>
      <c r="K113" s="4" t="s">
        <v>35</v>
      </c>
      <c r="L113" s="4" t="s">
        <v>36</v>
      </c>
      <c r="M113" s="7">
        <v>-2711</v>
      </c>
      <c r="N113" s="16">
        <v>10.660272962006641</v>
      </c>
      <c r="O113" s="6">
        <v>-289</v>
      </c>
      <c r="P113" s="4" t="s">
        <v>95</v>
      </c>
      <c r="Q113" s="1">
        <v>360496</v>
      </c>
      <c r="R113" s="4" t="s">
        <v>52</v>
      </c>
      <c r="S113" s="4"/>
      <c r="T113" s="4" t="s">
        <v>96</v>
      </c>
      <c r="U113" s="4" t="s">
        <v>97</v>
      </c>
      <c r="V113" s="4" t="s">
        <v>98</v>
      </c>
      <c r="W113" s="4">
        <v>3100</v>
      </c>
      <c r="X113" s="4" t="s">
        <v>42</v>
      </c>
      <c r="Y113" s="4"/>
      <c r="Z113" s="4"/>
      <c r="AA113" s="4"/>
      <c r="AB113" s="4"/>
      <c r="AC113" s="4" t="s">
        <v>52</v>
      </c>
      <c r="AD113" s="4" t="s">
        <v>45</v>
      </c>
    </row>
    <row r="114" spans="1:30">
      <c r="A114" s="4" t="s">
        <v>30</v>
      </c>
      <c r="B114" s="4"/>
      <c r="C114" s="4">
        <v>540000</v>
      </c>
      <c r="D114" s="4" t="s">
        <v>56</v>
      </c>
      <c r="E114" s="13" t="s">
        <v>530</v>
      </c>
      <c r="F114" s="4" t="s">
        <v>531</v>
      </c>
      <c r="G114" s="4">
        <v>2</v>
      </c>
      <c r="H114" s="4" t="s">
        <v>532</v>
      </c>
      <c r="I114" s="5">
        <v>44786</v>
      </c>
      <c r="J114" s="5">
        <v>45150</v>
      </c>
      <c r="K114" s="4" t="s">
        <v>384</v>
      </c>
      <c r="L114" s="4" t="s">
        <v>385</v>
      </c>
      <c r="M114" s="7">
        <v>463</v>
      </c>
      <c r="N114" s="16">
        <v>7.5593952483801301</v>
      </c>
      <c r="O114" s="6">
        <v>35</v>
      </c>
      <c r="P114" s="4" t="s">
        <v>60</v>
      </c>
      <c r="Q114" s="1">
        <v>401726</v>
      </c>
      <c r="R114" s="4" t="s">
        <v>52</v>
      </c>
      <c r="S114" s="4"/>
      <c r="T114" s="4" t="s">
        <v>62</v>
      </c>
      <c r="U114" s="4" t="s">
        <v>533</v>
      </c>
      <c r="V114" s="4" t="s">
        <v>64</v>
      </c>
      <c r="W114" s="4">
        <v>3123</v>
      </c>
      <c r="X114" s="4" t="s">
        <v>42</v>
      </c>
      <c r="Y114" s="4"/>
      <c r="Z114" s="4"/>
      <c r="AA114" s="4"/>
      <c r="AB114" s="4"/>
      <c r="AC114" s="4" t="s">
        <v>52</v>
      </c>
      <c r="AD114" s="4" t="s">
        <v>45</v>
      </c>
    </row>
    <row r="115" spans="1:30">
      <c r="A115" s="4" t="s">
        <v>30</v>
      </c>
      <c r="B115" s="4"/>
      <c r="C115" s="4">
        <v>510000</v>
      </c>
      <c r="D115" s="4" t="s">
        <v>46</v>
      </c>
      <c r="E115" s="13" t="s">
        <v>534</v>
      </c>
      <c r="F115" s="4" t="s">
        <v>535</v>
      </c>
      <c r="G115" s="4">
        <v>4</v>
      </c>
      <c r="H115" s="4" t="s">
        <v>536</v>
      </c>
      <c r="I115" s="5">
        <v>44964</v>
      </c>
      <c r="J115" s="5">
        <v>45291</v>
      </c>
      <c r="K115" s="4" t="s">
        <v>50</v>
      </c>
      <c r="L115" s="4" t="s">
        <v>51</v>
      </c>
      <c r="M115" s="7">
        <v>4074</v>
      </c>
      <c r="N115" s="16">
        <v>4.9999999999999991</v>
      </c>
      <c r="O115" s="6">
        <v>203.7</v>
      </c>
      <c r="P115" s="4" t="s">
        <v>37</v>
      </c>
      <c r="Q115" s="1">
        <v>430636</v>
      </c>
      <c r="R115" s="4" t="s">
        <v>52</v>
      </c>
      <c r="S115" s="4"/>
      <c r="T115" s="4" t="s">
        <v>53</v>
      </c>
      <c r="U115" s="4" t="s">
        <v>54</v>
      </c>
      <c r="V115" s="4" t="s">
        <v>55</v>
      </c>
      <c r="W115" s="4">
        <v>3081</v>
      </c>
      <c r="X115" s="4" t="s">
        <v>42</v>
      </c>
      <c r="Y115" s="4"/>
      <c r="Z115" s="4"/>
      <c r="AA115" s="4"/>
      <c r="AB115" s="4"/>
      <c r="AC115" s="4" t="s">
        <v>52</v>
      </c>
      <c r="AD115" s="4" t="s">
        <v>45</v>
      </c>
    </row>
    <row r="116" spans="1:30">
      <c r="A116" s="4" t="s">
        <v>30</v>
      </c>
      <c r="B116" s="4"/>
      <c r="C116" s="4">
        <v>212203</v>
      </c>
      <c r="D116" s="4" t="s">
        <v>99</v>
      </c>
      <c r="E116" s="13" t="s">
        <v>537</v>
      </c>
      <c r="F116" s="4" t="s">
        <v>538</v>
      </c>
      <c r="G116" s="4">
        <v>0</v>
      </c>
      <c r="H116" s="4" t="s">
        <v>198</v>
      </c>
      <c r="I116" s="5">
        <v>45084</v>
      </c>
      <c r="J116" s="5">
        <v>45449</v>
      </c>
      <c r="K116" s="4" t="s">
        <v>199</v>
      </c>
      <c r="L116" s="4" t="s">
        <v>200</v>
      </c>
      <c r="M116" s="7">
        <v>8706</v>
      </c>
      <c r="N116" s="16">
        <v>13.26671261199173</v>
      </c>
      <c r="O116" s="6">
        <v>1155</v>
      </c>
      <c r="P116" s="4" t="s">
        <v>37</v>
      </c>
      <c r="Q116" s="1">
        <v>443809</v>
      </c>
      <c r="R116" s="4" t="s">
        <v>38</v>
      </c>
      <c r="S116" s="4"/>
      <c r="T116" s="4" t="s">
        <v>105</v>
      </c>
      <c r="U116" s="4" t="s">
        <v>106</v>
      </c>
      <c r="V116" s="4" t="s">
        <v>107</v>
      </c>
      <c r="W116" s="4">
        <v>3075</v>
      </c>
      <c r="X116" s="4" t="s">
        <v>42</v>
      </c>
      <c r="Y116" s="4"/>
      <c r="Z116" s="4"/>
      <c r="AA116" s="4" t="s">
        <v>201</v>
      </c>
      <c r="AB116" s="4"/>
      <c r="AC116" s="4" t="s">
        <v>185</v>
      </c>
      <c r="AD116" s="4" t="s">
        <v>45</v>
      </c>
    </row>
    <row r="117" spans="1:30">
      <c r="A117" s="4" t="s">
        <v>30</v>
      </c>
      <c r="B117" s="4"/>
      <c r="C117" s="4">
        <v>212203</v>
      </c>
      <c r="D117" s="4" t="s">
        <v>99</v>
      </c>
      <c r="E117" s="13" t="s">
        <v>539</v>
      </c>
      <c r="F117" s="4" t="s">
        <v>540</v>
      </c>
      <c r="G117" s="4">
        <v>0</v>
      </c>
      <c r="H117" s="4" t="s">
        <v>541</v>
      </c>
      <c r="I117" s="5">
        <v>45102</v>
      </c>
      <c r="J117" s="5">
        <v>45467</v>
      </c>
      <c r="K117" s="4" t="s">
        <v>199</v>
      </c>
      <c r="L117" s="4" t="s">
        <v>200</v>
      </c>
      <c r="M117" s="7">
        <v>8716</v>
      </c>
      <c r="N117" s="16">
        <v>13.262964662689308</v>
      </c>
      <c r="O117" s="6">
        <v>1156</v>
      </c>
      <c r="P117" s="4" t="s">
        <v>37</v>
      </c>
      <c r="Q117" s="1">
        <v>443837</v>
      </c>
      <c r="R117" s="4" t="s">
        <v>38</v>
      </c>
      <c r="S117" s="4"/>
      <c r="T117" s="4" t="s">
        <v>105</v>
      </c>
      <c r="U117" s="4" t="s">
        <v>106</v>
      </c>
      <c r="V117" s="4" t="s">
        <v>107</v>
      </c>
      <c r="W117" s="4">
        <v>3075</v>
      </c>
      <c r="X117" s="4" t="s">
        <v>42</v>
      </c>
      <c r="Y117" s="4"/>
      <c r="Z117" s="4"/>
      <c r="AA117" s="4" t="s">
        <v>201</v>
      </c>
      <c r="AB117" s="4"/>
      <c r="AC117" s="4" t="s">
        <v>185</v>
      </c>
      <c r="AD117" s="4" t="s">
        <v>45</v>
      </c>
    </row>
    <row r="118" spans="1:30">
      <c r="A118" s="4" t="s">
        <v>30</v>
      </c>
      <c r="B118" s="4"/>
      <c r="C118" s="4">
        <v>212203</v>
      </c>
      <c r="D118" s="4" t="s">
        <v>99</v>
      </c>
      <c r="E118" s="13" t="s">
        <v>542</v>
      </c>
      <c r="F118" s="4" t="s">
        <v>543</v>
      </c>
      <c r="G118" s="4">
        <v>0</v>
      </c>
      <c r="H118" s="4" t="s">
        <v>102</v>
      </c>
      <c r="I118" s="5">
        <v>45093</v>
      </c>
      <c r="J118" s="5">
        <v>45458</v>
      </c>
      <c r="K118" s="4" t="s">
        <v>103</v>
      </c>
      <c r="L118" s="4" t="s">
        <v>104</v>
      </c>
      <c r="M118" s="7">
        <v>8935</v>
      </c>
      <c r="N118" s="16">
        <v>14.997202014549526</v>
      </c>
      <c r="O118" s="6">
        <v>1340</v>
      </c>
      <c r="P118" s="4" t="s">
        <v>37</v>
      </c>
      <c r="Q118" s="1">
        <v>443968</v>
      </c>
      <c r="R118" s="4" t="s">
        <v>38</v>
      </c>
      <c r="S118" s="4"/>
      <c r="T118" s="4" t="s">
        <v>105</v>
      </c>
      <c r="U118" s="4" t="s">
        <v>106</v>
      </c>
      <c r="V118" s="4" t="s">
        <v>107</v>
      </c>
      <c r="W118" s="4">
        <v>3075</v>
      </c>
      <c r="X118" s="4" t="s">
        <v>42</v>
      </c>
      <c r="Y118" s="4"/>
      <c r="Z118" s="4"/>
      <c r="AA118" s="4"/>
      <c r="AB118" s="4"/>
      <c r="AC118" s="4" t="s">
        <v>44</v>
      </c>
      <c r="AD118" s="4" t="s">
        <v>45</v>
      </c>
    </row>
    <row r="119" spans="1:30">
      <c r="A119" s="4" t="s">
        <v>30</v>
      </c>
      <c r="B119" s="4"/>
      <c r="C119" s="4">
        <v>212203</v>
      </c>
      <c r="D119" s="4" t="s">
        <v>99</v>
      </c>
      <c r="E119" s="13" t="s">
        <v>544</v>
      </c>
      <c r="F119" s="4" t="s">
        <v>545</v>
      </c>
      <c r="G119" s="4">
        <v>0</v>
      </c>
      <c r="H119" s="4" t="s">
        <v>198</v>
      </c>
      <c r="I119" s="5">
        <v>45084</v>
      </c>
      <c r="J119" s="5">
        <v>45449</v>
      </c>
      <c r="K119" s="4" t="s">
        <v>199</v>
      </c>
      <c r="L119" s="4" t="s">
        <v>200</v>
      </c>
      <c r="M119" s="7">
        <v>8706</v>
      </c>
      <c r="N119" s="16">
        <v>13.26671261199173</v>
      </c>
      <c r="O119" s="6">
        <v>1155</v>
      </c>
      <c r="P119" s="4" t="s">
        <v>37</v>
      </c>
      <c r="Q119" s="1">
        <v>443795</v>
      </c>
      <c r="R119" s="4" t="s">
        <v>38</v>
      </c>
      <c r="S119" s="4"/>
      <c r="T119" s="4" t="s">
        <v>105</v>
      </c>
      <c r="U119" s="4" t="s">
        <v>106</v>
      </c>
      <c r="V119" s="4" t="s">
        <v>107</v>
      </c>
      <c r="W119" s="4">
        <v>3075</v>
      </c>
      <c r="X119" s="4" t="s">
        <v>42</v>
      </c>
      <c r="Y119" s="4"/>
      <c r="Z119" s="4"/>
      <c r="AA119" s="4" t="s">
        <v>201</v>
      </c>
      <c r="AB119" s="4"/>
      <c r="AC119" s="4" t="s">
        <v>185</v>
      </c>
      <c r="AD119" s="4" t="s">
        <v>45</v>
      </c>
    </row>
    <row r="120" spans="1:30">
      <c r="A120" s="4" t="s">
        <v>30</v>
      </c>
      <c r="B120" s="4"/>
      <c r="C120" s="4">
        <v>212203</v>
      </c>
      <c r="D120" s="4" t="s">
        <v>99</v>
      </c>
      <c r="E120" s="13" t="s">
        <v>546</v>
      </c>
      <c r="F120" s="4" t="s">
        <v>547</v>
      </c>
      <c r="G120" s="4">
        <v>0</v>
      </c>
      <c r="H120" s="4" t="s">
        <v>198</v>
      </c>
      <c r="I120" s="5">
        <v>45084</v>
      </c>
      <c r="J120" s="5">
        <v>45449</v>
      </c>
      <c r="K120" s="4" t="s">
        <v>199</v>
      </c>
      <c r="L120" s="4" t="s">
        <v>200</v>
      </c>
      <c r="M120" s="7">
        <v>3358</v>
      </c>
      <c r="N120" s="16">
        <v>10.482430017867779</v>
      </c>
      <c r="O120" s="6">
        <v>352</v>
      </c>
      <c r="P120" s="4" t="s">
        <v>37</v>
      </c>
      <c r="Q120" s="1">
        <v>443805</v>
      </c>
      <c r="R120" s="4" t="s">
        <v>38</v>
      </c>
      <c r="S120" s="4"/>
      <c r="T120" s="4" t="s">
        <v>105</v>
      </c>
      <c r="U120" s="4" t="s">
        <v>106</v>
      </c>
      <c r="V120" s="4" t="s">
        <v>107</v>
      </c>
      <c r="W120" s="4">
        <v>3075</v>
      </c>
      <c r="X120" s="4" t="s">
        <v>42</v>
      </c>
      <c r="Y120" s="4"/>
      <c r="Z120" s="4"/>
      <c r="AA120" s="4" t="s">
        <v>201</v>
      </c>
      <c r="AB120" s="4"/>
      <c r="AC120" s="4" t="s">
        <v>185</v>
      </c>
      <c r="AD120" s="4" t="s">
        <v>45</v>
      </c>
    </row>
    <row r="121" spans="1:30">
      <c r="A121" s="4" t="s">
        <v>30</v>
      </c>
      <c r="B121" s="4"/>
      <c r="C121" s="4">
        <v>510000</v>
      </c>
      <c r="D121" s="4" t="s">
        <v>46</v>
      </c>
      <c r="E121" s="13" t="s">
        <v>548</v>
      </c>
      <c r="F121" s="4" t="s">
        <v>549</v>
      </c>
      <c r="G121" s="4">
        <v>0</v>
      </c>
      <c r="H121" s="4" t="s">
        <v>84</v>
      </c>
      <c r="I121" s="5">
        <v>45104</v>
      </c>
      <c r="J121" s="5">
        <v>45443</v>
      </c>
      <c r="K121" s="4" t="s">
        <v>359</v>
      </c>
      <c r="L121" s="4" t="s">
        <v>360</v>
      </c>
      <c r="M121" s="7">
        <v>1998</v>
      </c>
      <c r="N121" s="16">
        <v>12.512512512512512</v>
      </c>
      <c r="O121" s="6">
        <v>250</v>
      </c>
      <c r="P121" s="4" t="s">
        <v>37</v>
      </c>
      <c r="Q121" s="1">
        <v>0</v>
      </c>
      <c r="R121" s="4">
        <v>0</v>
      </c>
      <c r="S121" s="4"/>
      <c r="T121" s="4" t="s">
        <v>87</v>
      </c>
      <c r="U121" s="4" t="s">
        <v>88</v>
      </c>
      <c r="V121" s="4" t="s">
        <v>55</v>
      </c>
      <c r="W121" s="4">
        <v>3081</v>
      </c>
      <c r="X121" s="4" t="s">
        <v>42</v>
      </c>
      <c r="Y121" s="4"/>
      <c r="Z121" s="4" t="s">
        <v>117</v>
      </c>
      <c r="AA121" s="4"/>
      <c r="AB121" s="4"/>
      <c r="AC121" s="4" t="s">
        <v>143</v>
      </c>
      <c r="AD121" s="4" t="s">
        <v>45</v>
      </c>
    </row>
    <row r="122" spans="1:30">
      <c r="A122" s="4" t="s">
        <v>30</v>
      </c>
      <c r="B122" s="4"/>
      <c r="C122" s="4">
        <v>421100</v>
      </c>
      <c r="D122" s="4" t="s">
        <v>400</v>
      </c>
      <c r="E122" s="13" t="s">
        <v>550</v>
      </c>
      <c r="F122" s="4" t="s">
        <v>551</v>
      </c>
      <c r="G122" s="4">
        <v>8</v>
      </c>
      <c r="H122" s="4" t="s">
        <v>552</v>
      </c>
      <c r="I122" s="5">
        <v>44762</v>
      </c>
      <c r="J122" s="5">
        <v>45126</v>
      </c>
      <c r="K122" s="4" t="s">
        <v>384</v>
      </c>
      <c r="L122" s="4" t="s">
        <v>385</v>
      </c>
      <c r="M122" s="7">
        <v>-643</v>
      </c>
      <c r="N122" s="16">
        <v>7.4650077760497666</v>
      </c>
      <c r="O122" s="6">
        <v>-48</v>
      </c>
      <c r="P122" s="4" t="s">
        <v>125</v>
      </c>
      <c r="Q122" s="1">
        <v>406303</v>
      </c>
      <c r="R122" s="4" t="s">
        <v>52</v>
      </c>
      <c r="S122" s="4"/>
      <c r="T122" s="4" t="s">
        <v>404</v>
      </c>
      <c r="U122" s="4" t="s">
        <v>405</v>
      </c>
      <c r="V122" s="4" t="s">
        <v>406</v>
      </c>
      <c r="W122" s="4">
        <v>3065</v>
      </c>
      <c r="X122" s="4" t="s">
        <v>42</v>
      </c>
      <c r="Y122" s="4"/>
      <c r="Z122" s="4"/>
      <c r="AA122" s="4"/>
      <c r="AB122" s="4"/>
      <c r="AC122" s="4" t="s">
        <v>52</v>
      </c>
      <c r="AD122" s="4" t="s">
        <v>45</v>
      </c>
    </row>
    <row r="123" spans="1:30">
      <c r="A123" s="4" t="s">
        <v>30</v>
      </c>
      <c r="B123" s="4"/>
      <c r="C123" s="4">
        <v>510000</v>
      </c>
      <c r="D123" s="4" t="s">
        <v>46</v>
      </c>
      <c r="E123" s="13" t="s">
        <v>553</v>
      </c>
      <c r="F123" s="4" t="s">
        <v>535</v>
      </c>
      <c r="G123" s="4">
        <v>3</v>
      </c>
      <c r="H123" s="4" t="s">
        <v>536</v>
      </c>
      <c r="I123" s="5">
        <v>44964</v>
      </c>
      <c r="J123" s="5">
        <v>45291</v>
      </c>
      <c r="K123" s="4" t="s">
        <v>50</v>
      </c>
      <c r="L123" s="4" t="s">
        <v>51</v>
      </c>
      <c r="M123" s="7">
        <v>5627</v>
      </c>
      <c r="N123" s="16">
        <v>5</v>
      </c>
      <c r="O123" s="6">
        <v>281.35000000000002</v>
      </c>
      <c r="P123" s="4" t="s">
        <v>37</v>
      </c>
      <c r="Q123" s="1">
        <v>430636</v>
      </c>
      <c r="R123" s="4" t="s">
        <v>52</v>
      </c>
      <c r="S123" s="4"/>
      <c r="T123" s="4" t="s">
        <v>53</v>
      </c>
      <c r="U123" s="4" t="s">
        <v>54</v>
      </c>
      <c r="V123" s="4" t="s">
        <v>55</v>
      </c>
      <c r="W123" s="4">
        <v>3081</v>
      </c>
      <c r="X123" s="4" t="s">
        <v>42</v>
      </c>
      <c r="Y123" s="4"/>
      <c r="Z123" s="4"/>
      <c r="AA123" s="4"/>
      <c r="AB123" s="4"/>
      <c r="AC123" s="4" t="s">
        <v>52</v>
      </c>
      <c r="AD123" s="4" t="s">
        <v>45</v>
      </c>
    </row>
    <row r="124" spans="1:30">
      <c r="A124" s="4" t="s">
        <v>30</v>
      </c>
      <c r="B124" s="4"/>
      <c r="C124" s="4">
        <v>510000</v>
      </c>
      <c r="D124" s="4" t="s">
        <v>46</v>
      </c>
      <c r="E124" s="13" t="s">
        <v>554</v>
      </c>
      <c r="F124" s="4" t="s">
        <v>555</v>
      </c>
      <c r="G124" s="4">
        <v>0</v>
      </c>
      <c r="H124" s="4" t="s">
        <v>84</v>
      </c>
      <c r="I124" s="5">
        <v>45078</v>
      </c>
      <c r="J124" s="5">
        <v>45443</v>
      </c>
      <c r="K124" s="4" t="s">
        <v>375</v>
      </c>
      <c r="L124" s="4" t="s">
        <v>376</v>
      </c>
      <c r="M124" s="7">
        <v>12820279</v>
      </c>
      <c r="N124" s="16">
        <v>16.499991926852761</v>
      </c>
      <c r="O124" s="6">
        <v>2115345</v>
      </c>
      <c r="P124" s="4" t="s">
        <v>37</v>
      </c>
      <c r="Q124" s="1">
        <v>441870</v>
      </c>
      <c r="R124" s="4" t="s">
        <v>38</v>
      </c>
      <c r="S124" s="4"/>
      <c r="T124" s="4" t="s">
        <v>87</v>
      </c>
      <c r="U124" s="4" t="s">
        <v>88</v>
      </c>
      <c r="V124" s="4" t="s">
        <v>55</v>
      </c>
      <c r="W124" s="4">
        <v>3081</v>
      </c>
      <c r="X124" s="4" t="s">
        <v>42</v>
      </c>
      <c r="Y124" s="4"/>
      <c r="Z124" s="4"/>
      <c r="AA124" s="4"/>
      <c r="AB124" s="4" t="s">
        <v>43</v>
      </c>
      <c r="AC124" s="4" t="s">
        <v>44</v>
      </c>
      <c r="AD124" s="4" t="s">
        <v>45</v>
      </c>
    </row>
    <row r="125" spans="1:30">
      <c r="A125" s="4" t="s">
        <v>30</v>
      </c>
      <c r="B125" s="4"/>
      <c r="C125" s="4">
        <v>510000</v>
      </c>
      <c r="D125" s="4" t="s">
        <v>46</v>
      </c>
      <c r="E125" s="13" t="s">
        <v>556</v>
      </c>
      <c r="F125" s="4" t="s">
        <v>557</v>
      </c>
      <c r="G125" s="4">
        <v>2</v>
      </c>
      <c r="H125" s="4" t="s">
        <v>558</v>
      </c>
      <c r="I125" s="5">
        <v>45032</v>
      </c>
      <c r="J125" s="5">
        <v>45397</v>
      </c>
      <c r="K125" s="4" t="s">
        <v>50</v>
      </c>
      <c r="L125" s="4" t="s">
        <v>51</v>
      </c>
      <c r="M125" s="7">
        <v>-153662</v>
      </c>
      <c r="N125" s="16">
        <v>3</v>
      </c>
      <c r="O125" s="6">
        <v>-4609.8599999999997</v>
      </c>
      <c r="P125" s="4" t="s">
        <v>37</v>
      </c>
      <c r="Q125" s="1">
        <v>434150</v>
      </c>
      <c r="R125" s="4" t="s">
        <v>52</v>
      </c>
      <c r="S125" s="4"/>
      <c r="T125" s="4" t="s">
        <v>559</v>
      </c>
      <c r="U125" s="4" t="s">
        <v>560</v>
      </c>
      <c r="V125" s="4" t="s">
        <v>55</v>
      </c>
      <c r="W125" s="4">
        <v>3081</v>
      </c>
      <c r="X125" s="4" t="s">
        <v>42</v>
      </c>
      <c r="Y125" s="4"/>
      <c r="Z125" s="4"/>
      <c r="AA125" s="4"/>
      <c r="AB125" s="4" t="s">
        <v>561</v>
      </c>
      <c r="AC125" s="4" t="s">
        <v>52</v>
      </c>
      <c r="AD125" s="4" t="s">
        <v>45</v>
      </c>
    </row>
    <row r="126" spans="1:30">
      <c r="A126" s="4" t="s">
        <v>30</v>
      </c>
      <c r="B126" s="4"/>
      <c r="C126" s="4">
        <v>215600</v>
      </c>
      <c r="D126" s="4" t="s">
        <v>129</v>
      </c>
      <c r="E126" s="13" t="s">
        <v>562</v>
      </c>
      <c r="F126" s="4" t="s">
        <v>563</v>
      </c>
      <c r="G126" s="4">
        <v>0</v>
      </c>
      <c r="H126" s="4" t="s">
        <v>564</v>
      </c>
      <c r="I126" s="5">
        <v>45017</v>
      </c>
      <c r="J126" s="5">
        <v>45382</v>
      </c>
      <c r="K126" s="4" t="s">
        <v>225</v>
      </c>
      <c r="L126" s="4" t="s">
        <v>226</v>
      </c>
      <c r="M126" s="7">
        <v>4568</v>
      </c>
      <c r="N126" s="16">
        <v>12.5</v>
      </c>
      <c r="O126" s="6">
        <v>571</v>
      </c>
      <c r="P126" s="4" t="s">
        <v>37</v>
      </c>
      <c r="Q126" s="1">
        <v>426843</v>
      </c>
      <c r="R126" s="4" t="s">
        <v>38</v>
      </c>
      <c r="S126" s="4"/>
      <c r="T126" s="4" t="s">
        <v>227</v>
      </c>
      <c r="U126" s="4" t="s">
        <v>228</v>
      </c>
      <c r="V126" s="4" t="s">
        <v>136</v>
      </c>
      <c r="W126" s="4">
        <v>3076</v>
      </c>
      <c r="X126" s="4" t="s">
        <v>42</v>
      </c>
      <c r="Y126" s="4"/>
      <c r="Z126" s="4"/>
      <c r="AA126" s="4"/>
      <c r="AB126" s="4" t="s">
        <v>43</v>
      </c>
      <c r="AC126" s="4" t="s">
        <v>44</v>
      </c>
      <c r="AD126" s="4" t="s">
        <v>45</v>
      </c>
    </row>
    <row r="127" spans="1:30">
      <c r="A127" s="4" t="s">
        <v>30</v>
      </c>
      <c r="B127" s="4"/>
      <c r="C127" s="4">
        <v>132200</v>
      </c>
      <c r="D127" s="4" t="s">
        <v>565</v>
      </c>
      <c r="E127" s="13" t="s">
        <v>566</v>
      </c>
      <c r="F127" s="4" t="s">
        <v>567</v>
      </c>
      <c r="G127" s="4">
        <v>0</v>
      </c>
      <c r="H127" s="4" t="s">
        <v>568</v>
      </c>
      <c r="I127" s="5">
        <v>45079</v>
      </c>
      <c r="J127" s="5">
        <v>45444</v>
      </c>
      <c r="K127" s="4" t="s">
        <v>569</v>
      </c>
      <c r="L127" s="4" t="s">
        <v>570</v>
      </c>
      <c r="M127" s="7">
        <v>650000</v>
      </c>
      <c r="N127" s="16">
        <v>12.5</v>
      </c>
      <c r="O127" s="6">
        <v>81250</v>
      </c>
      <c r="P127" s="4" t="s">
        <v>95</v>
      </c>
      <c r="Q127" s="1" t="s">
        <v>52</v>
      </c>
      <c r="R127" s="4" t="s">
        <v>52</v>
      </c>
      <c r="S127" s="4"/>
      <c r="T127" s="4" t="s">
        <v>96</v>
      </c>
      <c r="U127" s="4" t="s">
        <v>571</v>
      </c>
      <c r="V127" s="4" t="s">
        <v>572</v>
      </c>
      <c r="W127" s="4">
        <v>3089</v>
      </c>
      <c r="X127" s="4" t="s">
        <v>42</v>
      </c>
      <c r="Y127" s="4"/>
      <c r="Z127" s="4" t="s">
        <v>117</v>
      </c>
      <c r="AA127" s="4"/>
      <c r="AB127" s="4"/>
      <c r="AC127" s="4" t="s">
        <v>52</v>
      </c>
      <c r="AD127" s="4" t="s">
        <v>45</v>
      </c>
    </row>
    <row r="128" spans="1:30">
      <c r="A128" s="4" t="s">
        <v>30</v>
      </c>
      <c r="B128" s="4"/>
      <c r="C128" s="4">
        <v>510000</v>
      </c>
      <c r="D128" s="4" t="s">
        <v>46</v>
      </c>
      <c r="E128" s="13" t="s">
        <v>573</v>
      </c>
      <c r="F128" s="4" t="s">
        <v>574</v>
      </c>
      <c r="G128" s="4">
        <v>4</v>
      </c>
      <c r="H128" s="4" t="s">
        <v>575</v>
      </c>
      <c r="I128" s="5">
        <v>44956</v>
      </c>
      <c r="J128" s="5">
        <v>45280</v>
      </c>
      <c r="K128" s="4" t="s">
        <v>50</v>
      </c>
      <c r="L128" s="4" t="s">
        <v>51</v>
      </c>
      <c r="M128" s="7">
        <v>228643</v>
      </c>
      <c r="N128" s="16">
        <v>2.1800011371439321</v>
      </c>
      <c r="O128" s="6">
        <v>4984.42</v>
      </c>
      <c r="P128" s="4" t="s">
        <v>37</v>
      </c>
      <c r="Q128" s="1">
        <v>423165</v>
      </c>
      <c r="R128" s="4" t="s">
        <v>52</v>
      </c>
      <c r="S128" s="4"/>
      <c r="T128" s="4" t="s">
        <v>165</v>
      </c>
      <c r="U128" s="4" t="s">
        <v>576</v>
      </c>
      <c r="V128" s="4" t="s">
        <v>55</v>
      </c>
      <c r="W128" s="4">
        <v>3081</v>
      </c>
      <c r="X128" s="4" t="s">
        <v>42</v>
      </c>
      <c r="Y128" s="4"/>
      <c r="Z128" s="4"/>
      <c r="AA128" s="4"/>
      <c r="AB128" s="4"/>
      <c r="AC128" s="4" t="s">
        <v>52</v>
      </c>
      <c r="AD128" s="4" t="s">
        <v>45</v>
      </c>
    </row>
    <row r="129" spans="1:30">
      <c r="A129" s="4" t="s">
        <v>30</v>
      </c>
      <c r="B129" s="4"/>
      <c r="C129" s="4">
        <v>212203</v>
      </c>
      <c r="D129" s="4" t="s">
        <v>99</v>
      </c>
      <c r="E129" s="13" t="s">
        <v>577</v>
      </c>
      <c r="F129" s="4" t="s">
        <v>578</v>
      </c>
      <c r="G129" s="4">
        <v>0</v>
      </c>
      <c r="H129" s="4" t="s">
        <v>579</v>
      </c>
      <c r="I129" s="5">
        <v>45104</v>
      </c>
      <c r="J129" s="5">
        <v>45469</v>
      </c>
      <c r="K129" s="4" t="s">
        <v>205</v>
      </c>
      <c r="L129" s="4" t="s">
        <v>206</v>
      </c>
      <c r="M129" s="7">
        <v>7710</v>
      </c>
      <c r="N129" s="16">
        <v>15.006485084306098</v>
      </c>
      <c r="O129" s="6">
        <v>1157</v>
      </c>
      <c r="P129" s="4" t="s">
        <v>37</v>
      </c>
      <c r="Q129" s="1">
        <v>443952</v>
      </c>
      <c r="R129" s="4" t="s">
        <v>38</v>
      </c>
      <c r="S129" s="4"/>
      <c r="T129" s="4" t="s">
        <v>105</v>
      </c>
      <c r="U129" s="4" t="s">
        <v>106</v>
      </c>
      <c r="V129" s="4" t="s">
        <v>107</v>
      </c>
      <c r="W129" s="4">
        <v>3075</v>
      </c>
      <c r="X129" s="4" t="s">
        <v>42</v>
      </c>
      <c r="Y129" s="4"/>
      <c r="Z129" s="4"/>
      <c r="AA129" s="4"/>
      <c r="AB129" s="4"/>
      <c r="AC129" s="4" t="s">
        <v>44</v>
      </c>
      <c r="AD129" s="4" t="s">
        <v>45</v>
      </c>
    </row>
    <row r="130" spans="1:30">
      <c r="A130" s="4" t="s">
        <v>30</v>
      </c>
      <c r="B130" s="4"/>
      <c r="C130" s="4">
        <v>215600</v>
      </c>
      <c r="D130" s="4" t="s">
        <v>129</v>
      </c>
      <c r="E130" s="13" t="s">
        <v>580</v>
      </c>
      <c r="F130" s="4" t="s">
        <v>581</v>
      </c>
      <c r="G130" s="4">
        <v>0</v>
      </c>
      <c r="H130" s="4" t="s">
        <v>441</v>
      </c>
      <c r="I130" s="5">
        <v>45093</v>
      </c>
      <c r="J130" s="5">
        <v>45458</v>
      </c>
      <c r="K130" s="4" t="s">
        <v>442</v>
      </c>
      <c r="L130" s="4" t="s">
        <v>443</v>
      </c>
      <c r="M130" s="7">
        <v>78419</v>
      </c>
      <c r="N130" s="16">
        <v>7.9993368953952482</v>
      </c>
      <c r="O130" s="6">
        <v>6273</v>
      </c>
      <c r="P130" s="4" t="s">
        <v>37</v>
      </c>
      <c r="Q130" s="1" t="s">
        <v>52</v>
      </c>
      <c r="R130" s="4" t="s">
        <v>52</v>
      </c>
      <c r="S130" s="4"/>
      <c r="T130" s="4" t="s">
        <v>105</v>
      </c>
      <c r="U130" s="4" t="s">
        <v>444</v>
      </c>
      <c r="V130" s="4" t="s">
        <v>136</v>
      </c>
      <c r="W130" s="4">
        <v>3076</v>
      </c>
      <c r="X130" s="4" t="s">
        <v>42</v>
      </c>
      <c r="Y130" s="4"/>
      <c r="Z130" s="4" t="s">
        <v>117</v>
      </c>
      <c r="AA130" s="4"/>
      <c r="AB130" s="4"/>
      <c r="AC130" s="4" t="s">
        <v>52</v>
      </c>
      <c r="AD130" s="4" t="s">
        <v>45</v>
      </c>
    </row>
    <row r="131" spans="1:30">
      <c r="A131" s="4" t="s">
        <v>30</v>
      </c>
      <c r="B131" s="4"/>
      <c r="C131" s="4">
        <v>510000</v>
      </c>
      <c r="D131" s="4" t="s">
        <v>46</v>
      </c>
      <c r="E131" s="13" t="s">
        <v>582</v>
      </c>
      <c r="F131" s="4" t="s">
        <v>583</v>
      </c>
      <c r="G131" s="4">
        <v>4</v>
      </c>
      <c r="H131" s="4" t="s">
        <v>584</v>
      </c>
      <c r="I131" s="5">
        <v>44964</v>
      </c>
      <c r="J131" s="5">
        <v>45291</v>
      </c>
      <c r="K131" s="4" t="s">
        <v>50</v>
      </c>
      <c r="L131" s="4" t="s">
        <v>51</v>
      </c>
      <c r="M131" s="7">
        <v>-17684</v>
      </c>
      <c r="N131" s="16">
        <v>5</v>
      </c>
      <c r="O131" s="6">
        <v>-884.2</v>
      </c>
      <c r="P131" s="4" t="s">
        <v>37</v>
      </c>
      <c r="Q131" s="1">
        <v>430681</v>
      </c>
      <c r="R131" s="4" t="s">
        <v>52</v>
      </c>
      <c r="S131" s="4"/>
      <c r="T131" s="4" t="s">
        <v>53</v>
      </c>
      <c r="U131" s="4" t="s">
        <v>54</v>
      </c>
      <c r="V131" s="4" t="s">
        <v>55</v>
      </c>
      <c r="W131" s="4">
        <v>3081</v>
      </c>
      <c r="X131" s="4" t="s">
        <v>42</v>
      </c>
      <c r="Y131" s="4"/>
      <c r="Z131" s="4"/>
      <c r="AA131" s="4"/>
      <c r="AB131" s="4"/>
      <c r="AC131" s="4" t="s">
        <v>52</v>
      </c>
      <c r="AD131" s="4" t="s">
        <v>45</v>
      </c>
    </row>
    <row r="132" spans="1:30">
      <c r="A132" s="4" t="s">
        <v>30</v>
      </c>
      <c r="B132" s="4"/>
      <c r="C132" s="4">
        <v>411700</v>
      </c>
      <c r="D132" s="4" t="s">
        <v>234</v>
      </c>
      <c r="E132" s="13" t="s">
        <v>585</v>
      </c>
      <c r="F132" s="4" t="s">
        <v>586</v>
      </c>
      <c r="G132" s="4">
        <v>11</v>
      </c>
      <c r="H132" s="4" t="s">
        <v>237</v>
      </c>
      <c r="I132" s="5">
        <v>44835</v>
      </c>
      <c r="J132" s="5">
        <v>45199</v>
      </c>
      <c r="K132" s="4" t="s">
        <v>50</v>
      </c>
      <c r="L132" s="4" t="s">
        <v>51</v>
      </c>
      <c r="M132" s="7">
        <v>-44082</v>
      </c>
      <c r="N132" s="16">
        <v>1.4994782450886983</v>
      </c>
      <c r="O132" s="6">
        <v>-661</v>
      </c>
      <c r="P132" s="4" t="s">
        <v>151</v>
      </c>
      <c r="Q132" s="1">
        <v>409570</v>
      </c>
      <c r="R132" s="4" t="s">
        <v>238</v>
      </c>
      <c r="S132" s="4"/>
      <c r="T132" s="4" t="s">
        <v>239</v>
      </c>
      <c r="U132" s="4" t="s">
        <v>240</v>
      </c>
      <c r="V132" s="4" t="s">
        <v>241</v>
      </c>
      <c r="W132" s="4">
        <v>3069</v>
      </c>
      <c r="X132" s="4" t="s">
        <v>42</v>
      </c>
      <c r="Y132" s="4"/>
      <c r="Z132" s="4"/>
      <c r="AA132" s="4"/>
      <c r="AB132" s="4"/>
      <c r="AC132" s="4" t="s">
        <v>242</v>
      </c>
      <c r="AD132" s="4" t="s">
        <v>45</v>
      </c>
    </row>
    <row r="133" spans="1:30">
      <c r="A133" s="4" t="s">
        <v>30</v>
      </c>
      <c r="B133" s="4"/>
      <c r="C133" s="4">
        <v>212203</v>
      </c>
      <c r="D133" s="4" t="s">
        <v>99</v>
      </c>
      <c r="E133" s="13" t="s">
        <v>587</v>
      </c>
      <c r="F133" s="4" t="s">
        <v>588</v>
      </c>
      <c r="G133" s="4">
        <v>1</v>
      </c>
      <c r="H133" s="4" t="s">
        <v>204</v>
      </c>
      <c r="I133" s="5">
        <v>45097</v>
      </c>
      <c r="J133" s="5">
        <v>45097</v>
      </c>
      <c r="K133" s="4" t="s">
        <v>205</v>
      </c>
      <c r="L133" s="4" t="s">
        <v>206</v>
      </c>
      <c r="M133" s="7">
        <v>-9682</v>
      </c>
      <c r="N133" s="16">
        <v>14.996901466639125</v>
      </c>
      <c r="O133" s="6">
        <v>-1452</v>
      </c>
      <c r="P133" s="4" t="s">
        <v>37</v>
      </c>
      <c r="Q133" s="1" t="s">
        <v>207</v>
      </c>
      <c r="R133" s="4" t="s">
        <v>207</v>
      </c>
      <c r="S133" s="4"/>
      <c r="T133" s="4" t="s">
        <v>105</v>
      </c>
      <c r="U133" s="4" t="s">
        <v>106</v>
      </c>
      <c r="V133" s="4" t="s">
        <v>107</v>
      </c>
      <c r="W133" s="4">
        <v>3075</v>
      </c>
      <c r="X133" s="4" t="s">
        <v>42</v>
      </c>
      <c r="Y133" s="4"/>
      <c r="Z133" s="4"/>
      <c r="AA133" s="4"/>
      <c r="AB133" s="4"/>
      <c r="AC133" s="4" t="s">
        <v>207</v>
      </c>
      <c r="AD133" s="4" t="s">
        <v>45</v>
      </c>
    </row>
    <row r="134" spans="1:30">
      <c r="A134" s="4" t="s">
        <v>30</v>
      </c>
      <c r="B134" s="4"/>
      <c r="C134" s="4">
        <v>212203</v>
      </c>
      <c r="D134" s="4" t="s">
        <v>99</v>
      </c>
      <c r="E134" s="13" t="s">
        <v>589</v>
      </c>
      <c r="F134" s="4" t="s">
        <v>590</v>
      </c>
      <c r="G134" s="4">
        <v>0</v>
      </c>
      <c r="H134" s="4" t="s">
        <v>215</v>
      </c>
      <c r="I134" s="5">
        <v>45095</v>
      </c>
      <c r="J134" s="5">
        <v>45460</v>
      </c>
      <c r="K134" s="4" t="s">
        <v>199</v>
      </c>
      <c r="L134" s="4" t="s">
        <v>200</v>
      </c>
      <c r="M134" s="7">
        <v>10062</v>
      </c>
      <c r="N134" s="16">
        <v>13.496322798648379</v>
      </c>
      <c r="O134" s="6">
        <v>1358</v>
      </c>
      <c r="P134" s="4" t="s">
        <v>37</v>
      </c>
      <c r="Q134" s="1">
        <v>443824</v>
      </c>
      <c r="R134" s="4" t="s">
        <v>38</v>
      </c>
      <c r="S134" s="4"/>
      <c r="T134" s="4" t="s">
        <v>105</v>
      </c>
      <c r="U134" s="4" t="s">
        <v>106</v>
      </c>
      <c r="V134" s="4" t="s">
        <v>107</v>
      </c>
      <c r="W134" s="4">
        <v>3075</v>
      </c>
      <c r="X134" s="4" t="s">
        <v>42</v>
      </c>
      <c r="Y134" s="4"/>
      <c r="Z134" s="4"/>
      <c r="AA134" s="4" t="s">
        <v>201</v>
      </c>
      <c r="AB134" s="4"/>
      <c r="AC134" s="4" t="s">
        <v>185</v>
      </c>
      <c r="AD134" s="4" t="s">
        <v>45</v>
      </c>
    </row>
    <row r="135" spans="1:30">
      <c r="A135" s="4" t="s">
        <v>30</v>
      </c>
      <c r="B135" s="4"/>
      <c r="C135" s="4">
        <v>510000</v>
      </c>
      <c r="D135" s="4" t="s">
        <v>46</v>
      </c>
      <c r="E135" s="13" t="s">
        <v>591</v>
      </c>
      <c r="F135" s="4" t="s">
        <v>592</v>
      </c>
      <c r="G135" s="4">
        <v>20</v>
      </c>
      <c r="H135" s="4" t="s">
        <v>211</v>
      </c>
      <c r="I135" s="5">
        <v>44713</v>
      </c>
      <c r="J135" s="5">
        <v>45077</v>
      </c>
      <c r="K135" s="4" t="s">
        <v>50</v>
      </c>
      <c r="L135" s="4" t="s">
        <v>51</v>
      </c>
      <c r="M135" s="7">
        <v>-1938148</v>
      </c>
      <c r="N135" s="16">
        <v>0</v>
      </c>
      <c r="O135" s="6">
        <v>0</v>
      </c>
      <c r="P135" s="4" t="s">
        <v>37</v>
      </c>
      <c r="Q135" s="1">
        <v>387255</v>
      </c>
      <c r="R135" s="4" t="s">
        <v>52</v>
      </c>
      <c r="S135" s="4"/>
      <c r="T135" s="4" t="s">
        <v>428</v>
      </c>
      <c r="U135" s="4" t="s">
        <v>429</v>
      </c>
      <c r="V135" s="4" t="s">
        <v>55</v>
      </c>
      <c r="W135" s="4">
        <v>3081</v>
      </c>
      <c r="X135" s="4" t="s">
        <v>42</v>
      </c>
      <c r="Y135" s="4"/>
      <c r="Z135" s="4"/>
      <c r="AA135" s="4"/>
      <c r="AB135" s="4"/>
      <c r="AC135" s="4" t="s">
        <v>52</v>
      </c>
      <c r="AD135" s="4" t="s">
        <v>45</v>
      </c>
    </row>
    <row r="136" spans="1:30">
      <c r="A136" s="4" t="s">
        <v>30</v>
      </c>
      <c r="B136" s="4"/>
      <c r="C136" s="4">
        <v>212203</v>
      </c>
      <c r="D136" s="4" t="s">
        <v>99</v>
      </c>
      <c r="E136" s="13" t="s">
        <v>593</v>
      </c>
      <c r="F136" s="4" t="s">
        <v>594</v>
      </c>
      <c r="G136" s="4">
        <v>0</v>
      </c>
      <c r="H136" s="4" t="s">
        <v>218</v>
      </c>
      <c r="I136" s="5">
        <v>45082</v>
      </c>
      <c r="J136" s="5">
        <v>45447</v>
      </c>
      <c r="K136" s="4" t="s">
        <v>199</v>
      </c>
      <c r="L136" s="4" t="s">
        <v>200</v>
      </c>
      <c r="M136" s="7">
        <v>8512</v>
      </c>
      <c r="N136" s="16">
        <v>0</v>
      </c>
      <c r="O136" s="6">
        <v>0</v>
      </c>
      <c r="P136" s="4" t="s">
        <v>37</v>
      </c>
      <c r="Q136" s="1">
        <v>443793</v>
      </c>
      <c r="R136" s="4" t="s">
        <v>38</v>
      </c>
      <c r="S136" s="4"/>
      <c r="T136" s="4" t="s">
        <v>105</v>
      </c>
      <c r="U136" s="4" t="s">
        <v>106</v>
      </c>
      <c r="V136" s="4" t="s">
        <v>107</v>
      </c>
      <c r="W136" s="4">
        <v>3075</v>
      </c>
      <c r="X136" s="4" t="s">
        <v>42</v>
      </c>
      <c r="Y136" s="4"/>
      <c r="Z136" s="4"/>
      <c r="AA136" s="4"/>
      <c r="AB136" s="4" t="s">
        <v>147</v>
      </c>
      <c r="AC136" s="4" t="s">
        <v>44</v>
      </c>
      <c r="AD136" s="4" t="s">
        <v>45</v>
      </c>
    </row>
    <row r="137" spans="1:30">
      <c r="A137" s="4" t="s">
        <v>30</v>
      </c>
      <c r="B137" s="4"/>
      <c r="C137" s="4">
        <v>272200</v>
      </c>
      <c r="D137" s="4" t="s">
        <v>208</v>
      </c>
      <c r="E137" s="13" t="s">
        <v>595</v>
      </c>
      <c r="F137" s="4" t="s">
        <v>596</v>
      </c>
      <c r="G137" s="4">
        <v>0</v>
      </c>
      <c r="H137" s="4" t="s">
        <v>597</v>
      </c>
      <c r="I137" s="5">
        <v>45108</v>
      </c>
      <c r="J137" s="5">
        <v>45473</v>
      </c>
      <c r="K137" s="4" t="s">
        <v>199</v>
      </c>
      <c r="L137" s="4" t="s">
        <v>200</v>
      </c>
      <c r="M137" s="7">
        <v>2464</v>
      </c>
      <c r="N137" s="16">
        <v>7.508116883116883</v>
      </c>
      <c r="O137" s="6">
        <v>185</v>
      </c>
      <c r="P137" s="4" t="s">
        <v>312</v>
      </c>
      <c r="Q137" s="1">
        <v>441283</v>
      </c>
      <c r="R137" s="4" t="s">
        <v>38</v>
      </c>
      <c r="S137" s="4"/>
      <c r="T137" s="4" t="s">
        <v>141</v>
      </c>
      <c r="U137" s="4" t="s">
        <v>142</v>
      </c>
      <c r="V137" s="4" t="s">
        <v>212</v>
      </c>
      <c r="W137" s="4">
        <v>3079</v>
      </c>
      <c r="X137" s="4" t="s">
        <v>42</v>
      </c>
      <c r="Y137" s="4"/>
      <c r="Z137" s="4"/>
      <c r="AA137" s="4"/>
      <c r="AB137" s="4" t="s">
        <v>43</v>
      </c>
      <c r="AC137" s="4" t="s">
        <v>44</v>
      </c>
      <c r="AD137" s="4" t="s">
        <v>45</v>
      </c>
    </row>
    <row r="138" spans="1:30">
      <c r="A138" s="4" t="s">
        <v>30</v>
      </c>
      <c r="B138" s="4"/>
      <c r="C138" s="4">
        <v>212203</v>
      </c>
      <c r="D138" s="4" t="s">
        <v>99</v>
      </c>
      <c r="E138" s="13" t="s">
        <v>598</v>
      </c>
      <c r="F138" s="4" t="s">
        <v>599</v>
      </c>
      <c r="G138" s="4">
        <v>0</v>
      </c>
      <c r="H138" s="4" t="s">
        <v>204</v>
      </c>
      <c r="I138" s="5">
        <v>45097</v>
      </c>
      <c r="J138" s="5">
        <v>45462</v>
      </c>
      <c r="K138" s="4" t="s">
        <v>205</v>
      </c>
      <c r="L138" s="4" t="s">
        <v>206</v>
      </c>
      <c r="M138" s="7">
        <v>9682</v>
      </c>
      <c r="N138" s="16">
        <v>14.996901466639125</v>
      </c>
      <c r="O138" s="6">
        <v>1452</v>
      </c>
      <c r="P138" s="4" t="s">
        <v>37</v>
      </c>
      <c r="Q138" s="1" t="s">
        <v>207</v>
      </c>
      <c r="R138" s="4" t="s">
        <v>207</v>
      </c>
      <c r="S138" s="4"/>
      <c r="T138" s="4" t="s">
        <v>105</v>
      </c>
      <c r="U138" s="4" t="s">
        <v>106</v>
      </c>
      <c r="V138" s="4" t="s">
        <v>107</v>
      </c>
      <c r="W138" s="4">
        <v>3075</v>
      </c>
      <c r="X138" s="4" t="s">
        <v>42</v>
      </c>
      <c r="Y138" s="4"/>
      <c r="Z138" s="4"/>
      <c r="AA138" s="4"/>
      <c r="AB138" s="4"/>
      <c r="AC138" s="4" t="s">
        <v>207</v>
      </c>
      <c r="AD138" s="4" t="s">
        <v>45</v>
      </c>
    </row>
    <row r="139" spans="1:30">
      <c r="A139" s="4" t="s">
        <v>30</v>
      </c>
      <c r="B139" s="4"/>
      <c r="C139" s="4">
        <v>510000</v>
      </c>
      <c r="D139" s="4" t="s">
        <v>46</v>
      </c>
      <c r="E139" s="13" t="s">
        <v>600</v>
      </c>
      <c r="F139" s="4" t="s">
        <v>601</v>
      </c>
      <c r="G139" s="4">
        <v>0</v>
      </c>
      <c r="H139" s="4" t="s">
        <v>211</v>
      </c>
      <c r="I139" s="5">
        <v>45093</v>
      </c>
      <c r="J139" s="5">
        <v>45458</v>
      </c>
      <c r="K139" s="4" t="s">
        <v>139</v>
      </c>
      <c r="L139" s="4" t="s">
        <v>140</v>
      </c>
      <c r="M139" s="7">
        <v>13049</v>
      </c>
      <c r="N139" s="16">
        <v>12.491378649704957</v>
      </c>
      <c r="O139" s="6">
        <v>1630</v>
      </c>
      <c r="P139" s="4" t="s">
        <v>125</v>
      </c>
      <c r="Q139" s="1" t="s">
        <v>52</v>
      </c>
      <c r="R139" s="4" t="s">
        <v>52</v>
      </c>
      <c r="S139" s="4"/>
      <c r="T139" s="4" t="s">
        <v>259</v>
      </c>
      <c r="U139" s="4" t="s">
        <v>260</v>
      </c>
      <c r="V139" s="4" t="s">
        <v>55</v>
      </c>
      <c r="W139" s="4">
        <v>3081</v>
      </c>
      <c r="X139" s="4" t="s">
        <v>42</v>
      </c>
      <c r="Y139" s="4"/>
      <c r="Z139" s="4" t="s">
        <v>117</v>
      </c>
      <c r="AA139" s="4"/>
      <c r="AB139" s="4"/>
      <c r="AC139" s="4" t="s">
        <v>52</v>
      </c>
      <c r="AD139" s="4" t="s">
        <v>45</v>
      </c>
    </row>
    <row r="140" spans="1:30">
      <c r="A140" s="4" t="s">
        <v>30</v>
      </c>
      <c r="B140" s="4"/>
      <c r="C140" s="4">
        <v>212203</v>
      </c>
      <c r="D140" s="4" t="s">
        <v>99</v>
      </c>
      <c r="E140" s="13" t="s">
        <v>602</v>
      </c>
      <c r="F140" s="4" t="s">
        <v>603</v>
      </c>
      <c r="G140" s="4">
        <v>0</v>
      </c>
      <c r="H140" s="4" t="s">
        <v>604</v>
      </c>
      <c r="I140" s="5">
        <v>45082</v>
      </c>
      <c r="J140" s="5">
        <v>45447</v>
      </c>
      <c r="K140" s="4" t="s">
        <v>199</v>
      </c>
      <c r="L140" s="4" t="s">
        <v>200</v>
      </c>
      <c r="M140" s="7">
        <v>8471</v>
      </c>
      <c r="N140" s="16">
        <v>0</v>
      </c>
      <c r="O140" s="6">
        <v>0</v>
      </c>
      <c r="P140" s="4" t="s">
        <v>37</v>
      </c>
      <c r="Q140" s="1">
        <v>443788</v>
      </c>
      <c r="R140" s="4" t="s">
        <v>38</v>
      </c>
      <c r="S140" s="4"/>
      <c r="T140" s="4" t="s">
        <v>105</v>
      </c>
      <c r="U140" s="4" t="s">
        <v>106</v>
      </c>
      <c r="V140" s="4" t="s">
        <v>107</v>
      </c>
      <c r="W140" s="4">
        <v>3075</v>
      </c>
      <c r="X140" s="4" t="s">
        <v>42</v>
      </c>
      <c r="Y140" s="4"/>
      <c r="Z140" s="4"/>
      <c r="AA140" s="4"/>
      <c r="AB140" s="4" t="s">
        <v>147</v>
      </c>
      <c r="AC140" s="4" t="s">
        <v>44</v>
      </c>
      <c r="AD140" s="4" t="s">
        <v>45</v>
      </c>
    </row>
    <row r="141" spans="1:30">
      <c r="A141" s="4" t="s">
        <v>30</v>
      </c>
      <c r="B141" s="4"/>
      <c r="C141" s="4">
        <v>212203</v>
      </c>
      <c r="D141" s="4" t="s">
        <v>99</v>
      </c>
      <c r="E141" s="13" t="s">
        <v>605</v>
      </c>
      <c r="F141" s="4" t="s">
        <v>606</v>
      </c>
      <c r="G141" s="4">
        <v>0</v>
      </c>
      <c r="H141" s="4" t="s">
        <v>159</v>
      </c>
      <c r="I141" s="5">
        <v>45111</v>
      </c>
      <c r="J141" s="5">
        <v>45476</v>
      </c>
      <c r="K141" s="4" t="s">
        <v>103</v>
      </c>
      <c r="L141" s="4" t="s">
        <v>104</v>
      </c>
      <c r="M141" s="7">
        <v>8111</v>
      </c>
      <c r="N141" s="16">
        <v>14.991986191591666</v>
      </c>
      <c r="O141" s="6">
        <v>1216</v>
      </c>
      <c r="P141" s="4" t="s">
        <v>37</v>
      </c>
      <c r="Q141" s="1" t="s">
        <v>52</v>
      </c>
      <c r="R141" s="4" t="s">
        <v>52</v>
      </c>
      <c r="S141" s="4"/>
      <c r="T141" s="4" t="s">
        <v>160</v>
      </c>
      <c r="U141" s="4" t="s">
        <v>160</v>
      </c>
      <c r="V141" s="4" t="s">
        <v>107</v>
      </c>
      <c r="W141" s="4">
        <v>3075</v>
      </c>
      <c r="X141" s="4" t="s">
        <v>42</v>
      </c>
      <c r="Y141" s="4"/>
      <c r="Z141" s="4" t="s">
        <v>117</v>
      </c>
      <c r="AA141" s="4"/>
      <c r="AB141" s="4"/>
      <c r="AC141" s="4" t="s">
        <v>52</v>
      </c>
      <c r="AD141" s="4" t="s">
        <v>45</v>
      </c>
    </row>
    <row r="142" spans="1:30">
      <c r="A142" s="4" t="s">
        <v>30</v>
      </c>
      <c r="B142" s="4"/>
      <c r="C142" s="4">
        <v>212203</v>
      </c>
      <c r="D142" s="4" t="s">
        <v>99</v>
      </c>
      <c r="E142" s="13" t="s">
        <v>607</v>
      </c>
      <c r="F142" s="4" t="s">
        <v>608</v>
      </c>
      <c r="G142" s="4">
        <v>0</v>
      </c>
      <c r="H142" s="4" t="s">
        <v>204</v>
      </c>
      <c r="I142" s="5">
        <v>45098</v>
      </c>
      <c r="J142" s="5">
        <v>45463</v>
      </c>
      <c r="K142" s="4" t="s">
        <v>205</v>
      </c>
      <c r="L142" s="4" t="s">
        <v>206</v>
      </c>
      <c r="M142" s="7">
        <v>8870</v>
      </c>
      <c r="N142" s="16">
        <v>15.005636978579481</v>
      </c>
      <c r="O142" s="6">
        <v>1331</v>
      </c>
      <c r="P142" s="4" t="s">
        <v>37</v>
      </c>
      <c r="Q142" s="1">
        <v>443946</v>
      </c>
      <c r="R142" s="4" t="s">
        <v>38</v>
      </c>
      <c r="S142" s="4"/>
      <c r="T142" s="4" t="s">
        <v>105</v>
      </c>
      <c r="U142" s="4" t="s">
        <v>106</v>
      </c>
      <c r="V142" s="4" t="s">
        <v>107</v>
      </c>
      <c r="W142" s="4">
        <v>3075</v>
      </c>
      <c r="X142" s="4" t="s">
        <v>42</v>
      </c>
      <c r="Y142" s="4"/>
      <c r="Z142" s="4"/>
      <c r="AA142" s="4"/>
      <c r="AB142" s="4"/>
      <c r="AC142" s="4" t="s">
        <v>44</v>
      </c>
      <c r="AD142" s="4" t="s">
        <v>45</v>
      </c>
    </row>
    <row r="143" spans="1:30">
      <c r="A143" s="4" t="s">
        <v>30</v>
      </c>
      <c r="B143" s="4"/>
      <c r="C143" s="4">
        <v>510000</v>
      </c>
      <c r="D143" s="4" t="s">
        <v>46</v>
      </c>
      <c r="E143" s="13" t="s">
        <v>609</v>
      </c>
      <c r="F143" s="4" t="s">
        <v>610</v>
      </c>
      <c r="G143" s="4">
        <v>4</v>
      </c>
      <c r="H143" s="4" t="s">
        <v>611</v>
      </c>
      <c r="I143" s="5">
        <v>44964</v>
      </c>
      <c r="J143" s="5">
        <v>45291</v>
      </c>
      <c r="K143" s="4" t="s">
        <v>50</v>
      </c>
      <c r="L143" s="4" t="s">
        <v>51</v>
      </c>
      <c r="M143" s="7">
        <v>-25831</v>
      </c>
      <c r="N143" s="16">
        <v>5</v>
      </c>
      <c r="O143" s="6">
        <v>-1291.55</v>
      </c>
      <c r="P143" s="4" t="s">
        <v>37</v>
      </c>
      <c r="Q143" s="1">
        <v>430615</v>
      </c>
      <c r="R143" s="4" t="s">
        <v>52</v>
      </c>
      <c r="S143" s="4"/>
      <c r="T143" s="4" t="s">
        <v>53</v>
      </c>
      <c r="U143" s="4" t="s">
        <v>54</v>
      </c>
      <c r="V143" s="4" t="s">
        <v>55</v>
      </c>
      <c r="W143" s="4">
        <v>3081</v>
      </c>
      <c r="X143" s="4" t="s">
        <v>42</v>
      </c>
      <c r="Y143" s="4"/>
      <c r="Z143" s="4"/>
      <c r="AA143" s="4"/>
      <c r="AB143" s="4"/>
      <c r="AC143" s="4" t="s">
        <v>52</v>
      </c>
      <c r="AD143" s="4" t="s">
        <v>45</v>
      </c>
    </row>
    <row r="144" spans="1:30">
      <c r="A144" s="4" t="s">
        <v>30</v>
      </c>
      <c r="B144" s="4"/>
      <c r="C144" s="4">
        <v>163900</v>
      </c>
      <c r="D144" s="4" t="s">
        <v>612</v>
      </c>
      <c r="E144" s="13" t="s">
        <v>613</v>
      </c>
      <c r="F144" s="4" t="s">
        <v>614</v>
      </c>
      <c r="G144" s="4">
        <v>7</v>
      </c>
      <c r="H144" s="4" t="s">
        <v>615</v>
      </c>
      <c r="I144" s="5">
        <v>44797</v>
      </c>
      <c r="J144" s="5">
        <v>45161</v>
      </c>
      <c r="K144" s="4" t="s">
        <v>50</v>
      </c>
      <c r="L144" s="4" t="s">
        <v>51</v>
      </c>
      <c r="M144" s="7">
        <v>13505</v>
      </c>
      <c r="N144" s="16">
        <v>7.500037023324694</v>
      </c>
      <c r="O144" s="6">
        <v>1012.88</v>
      </c>
      <c r="P144" s="4" t="s">
        <v>125</v>
      </c>
      <c r="Q144" s="1">
        <v>404474</v>
      </c>
      <c r="R144" s="4" t="s">
        <v>52</v>
      </c>
      <c r="S144" s="4"/>
      <c r="T144" s="4" t="s">
        <v>428</v>
      </c>
      <c r="U144" s="4" t="s">
        <v>616</v>
      </c>
      <c r="V144" s="4" t="s">
        <v>617</v>
      </c>
      <c r="W144" s="4">
        <v>3091</v>
      </c>
      <c r="X144" s="4" t="s">
        <v>42</v>
      </c>
      <c r="Y144" s="4"/>
      <c r="Z144" s="4"/>
      <c r="AA144" s="4"/>
      <c r="AB144" s="4"/>
      <c r="AC144" s="4" t="s">
        <v>52</v>
      </c>
      <c r="AD144" s="4" t="s">
        <v>45</v>
      </c>
    </row>
    <row r="145" spans="1:30">
      <c r="A145" s="4" t="s">
        <v>30</v>
      </c>
      <c r="B145" s="4"/>
      <c r="C145" s="4">
        <v>132000</v>
      </c>
      <c r="D145" s="4" t="s">
        <v>91</v>
      </c>
      <c r="E145" s="13" t="s">
        <v>618</v>
      </c>
      <c r="F145" s="4" t="s">
        <v>619</v>
      </c>
      <c r="G145" s="4">
        <v>3</v>
      </c>
      <c r="H145" s="4" t="s">
        <v>94</v>
      </c>
      <c r="I145" s="5">
        <v>44441</v>
      </c>
      <c r="J145" s="5">
        <v>44805</v>
      </c>
      <c r="K145" s="4" t="s">
        <v>85</v>
      </c>
      <c r="L145" s="4" t="s">
        <v>86</v>
      </c>
      <c r="M145" s="7">
        <v>-22978</v>
      </c>
      <c r="N145" s="16">
        <v>10.544869005135347</v>
      </c>
      <c r="O145" s="6">
        <v>-2423</v>
      </c>
      <c r="P145" s="4" t="s">
        <v>95</v>
      </c>
      <c r="Q145" s="1">
        <v>360485</v>
      </c>
      <c r="R145" s="4" t="s">
        <v>52</v>
      </c>
      <c r="S145" s="4"/>
      <c r="T145" s="4" t="s">
        <v>96</v>
      </c>
      <c r="U145" s="4" t="s">
        <v>97</v>
      </c>
      <c r="V145" s="4" t="s">
        <v>98</v>
      </c>
      <c r="W145" s="4">
        <v>3100</v>
      </c>
      <c r="X145" s="4" t="s">
        <v>42</v>
      </c>
      <c r="Y145" s="4"/>
      <c r="Z145" s="4"/>
      <c r="AA145" s="4"/>
      <c r="AB145" s="4"/>
      <c r="AC145" s="4" t="s">
        <v>52</v>
      </c>
      <c r="AD145" s="4" t="s">
        <v>45</v>
      </c>
    </row>
    <row r="146" spans="1:30">
      <c r="A146" s="4" t="s">
        <v>30</v>
      </c>
      <c r="B146" s="4"/>
      <c r="C146" s="4">
        <v>163900</v>
      </c>
      <c r="D146" s="4" t="s">
        <v>612</v>
      </c>
      <c r="E146" s="13" t="s">
        <v>620</v>
      </c>
      <c r="F146" s="4" t="s">
        <v>621</v>
      </c>
      <c r="G146" s="4">
        <v>0</v>
      </c>
      <c r="H146" s="4" t="s">
        <v>622</v>
      </c>
      <c r="I146" s="5">
        <v>45097</v>
      </c>
      <c r="J146" s="5">
        <v>45462</v>
      </c>
      <c r="K146" s="4" t="s">
        <v>623</v>
      </c>
      <c r="L146" s="4" t="s">
        <v>624</v>
      </c>
      <c r="M146" s="7">
        <v>15502</v>
      </c>
      <c r="N146" s="16">
        <v>12.50161269513611</v>
      </c>
      <c r="O146" s="6">
        <v>1938</v>
      </c>
      <c r="P146" s="4" t="s">
        <v>95</v>
      </c>
      <c r="Q146" s="1">
        <v>441070</v>
      </c>
      <c r="R146" s="4" t="s">
        <v>38</v>
      </c>
      <c r="S146" s="4"/>
      <c r="T146" s="4" t="s">
        <v>96</v>
      </c>
      <c r="U146" s="4" t="s">
        <v>625</v>
      </c>
      <c r="V146" s="4" t="s">
        <v>617</v>
      </c>
      <c r="W146" s="4">
        <v>3091</v>
      </c>
      <c r="X146" s="4" t="s">
        <v>42</v>
      </c>
      <c r="Y146" s="4"/>
      <c r="Z146" s="4"/>
      <c r="AA146" s="4"/>
      <c r="AB146" s="4"/>
      <c r="AC146" s="4" t="s">
        <v>44</v>
      </c>
      <c r="AD146" s="4" t="s">
        <v>45</v>
      </c>
    </row>
    <row r="147" spans="1:30">
      <c r="A147" s="4" t="s">
        <v>30</v>
      </c>
      <c r="B147" s="4"/>
      <c r="C147" s="4">
        <v>272200</v>
      </c>
      <c r="D147" s="4" t="s">
        <v>208</v>
      </c>
      <c r="E147" s="13" t="s">
        <v>626</v>
      </c>
      <c r="F147" s="4" t="s">
        <v>627</v>
      </c>
      <c r="G147" s="4">
        <v>0</v>
      </c>
      <c r="H147" s="4" t="s">
        <v>211</v>
      </c>
      <c r="I147" s="5">
        <v>45091</v>
      </c>
      <c r="J147" s="5">
        <v>45456</v>
      </c>
      <c r="K147" s="4" t="s">
        <v>139</v>
      </c>
      <c r="L147" s="4" t="s">
        <v>140</v>
      </c>
      <c r="M147" s="7">
        <v>12981</v>
      </c>
      <c r="N147" s="16">
        <v>12.495185270780372</v>
      </c>
      <c r="O147" s="6">
        <v>1622</v>
      </c>
      <c r="P147" s="4" t="s">
        <v>37</v>
      </c>
      <c r="Q147" s="1" t="s">
        <v>52</v>
      </c>
      <c r="R147" s="4" t="s">
        <v>52</v>
      </c>
      <c r="S147" s="4"/>
      <c r="T147" s="4" t="s">
        <v>141</v>
      </c>
      <c r="U147" s="4" t="s">
        <v>142</v>
      </c>
      <c r="V147" s="4" t="s">
        <v>212</v>
      </c>
      <c r="W147" s="4">
        <v>3079</v>
      </c>
      <c r="X147" s="4" t="s">
        <v>42</v>
      </c>
      <c r="Y147" s="4"/>
      <c r="Z147" s="4" t="s">
        <v>117</v>
      </c>
      <c r="AA147" s="4"/>
      <c r="AB147" s="4"/>
      <c r="AC147" s="4" t="s">
        <v>52</v>
      </c>
      <c r="AD147" s="4" t="s">
        <v>45</v>
      </c>
    </row>
    <row r="148" spans="1:30">
      <c r="A148" s="4" t="s">
        <v>30</v>
      </c>
      <c r="B148" s="4"/>
      <c r="C148" s="4">
        <v>163900</v>
      </c>
      <c r="D148" s="4" t="s">
        <v>612</v>
      </c>
      <c r="E148" s="13" t="s">
        <v>628</v>
      </c>
      <c r="F148" s="4" t="s">
        <v>629</v>
      </c>
      <c r="G148" s="4">
        <v>0</v>
      </c>
      <c r="H148" s="4" t="s">
        <v>630</v>
      </c>
      <c r="I148" s="5">
        <v>45096</v>
      </c>
      <c r="J148" s="5">
        <v>45461</v>
      </c>
      <c r="K148" s="4" t="s">
        <v>631</v>
      </c>
      <c r="L148" s="4" t="s">
        <v>632</v>
      </c>
      <c r="M148" s="7">
        <v>35032</v>
      </c>
      <c r="N148" s="16">
        <v>12.5</v>
      </c>
      <c r="O148" s="6">
        <v>4379</v>
      </c>
      <c r="P148" s="4" t="s">
        <v>125</v>
      </c>
      <c r="Q148" s="1" t="s">
        <v>52</v>
      </c>
      <c r="R148" s="4" t="s">
        <v>52</v>
      </c>
      <c r="S148" s="4"/>
      <c r="T148" s="4" t="s">
        <v>160</v>
      </c>
      <c r="U148" s="4" t="s">
        <v>160</v>
      </c>
      <c r="V148" s="4" t="s">
        <v>617</v>
      </c>
      <c r="W148" s="4">
        <v>3091</v>
      </c>
      <c r="X148" s="4" t="s">
        <v>42</v>
      </c>
      <c r="Y148" s="4"/>
      <c r="Z148" s="4" t="s">
        <v>117</v>
      </c>
      <c r="AA148" s="4"/>
      <c r="AB148" s="4"/>
      <c r="AC148" s="4" t="s">
        <v>52</v>
      </c>
      <c r="AD148" s="4" t="s">
        <v>45</v>
      </c>
    </row>
    <row r="149" spans="1:30">
      <c r="A149" s="4" t="s">
        <v>30</v>
      </c>
      <c r="B149" s="4"/>
      <c r="C149" s="4">
        <v>510000</v>
      </c>
      <c r="D149" s="4" t="s">
        <v>46</v>
      </c>
      <c r="E149" s="13" t="s">
        <v>633</v>
      </c>
      <c r="F149" s="4" t="s">
        <v>634</v>
      </c>
      <c r="G149" s="4">
        <v>0</v>
      </c>
      <c r="H149" s="4" t="s">
        <v>84</v>
      </c>
      <c r="I149" s="5">
        <v>45078</v>
      </c>
      <c r="J149" s="5">
        <v>45443</v>
      </c>
      <c r="K149" s="4" t="s">
        <v>139</v>
      </c>
      <c r="L149" s="4" t="s">
        <v>140</v>
      </c>
      <c r="M149" s="7">
        <v>13169</v>
      </c>
      <c r="N149" s="16">
        <v>12.491457210114664</v>
      </c>
      <c r="O149" s="6">
        <v>1645</v>
      </c>
      <c r="P149" s="4" t="s">
        <v>37</v>
      </c>
      <c r="Q149" s="1" t="s">
        <v>52</v>
      </c>
      <c r="R149" s="4" t="s">
        <v>52</v>
      </c>
      <c r="S149" s="4"/>
      <c r="T149" s="4" t="s">
        <v>141</v>
      </c>
      <c r="U149" s="4" t="s">
        <v>142</v>
      </c>
      <c r="V149" s="4" t="s">
        <v>55</v>
      </c>
      <c r="W149" s="4">
        <v>3081</v>
      </c>
      <c r="X149" s="4" t="s">
        <v>42</v>
      </c>
      <c r="Y149" s="4"/>
      <c r="Z149" s="4" t="s">
        <v>117</v>
      </c>
      <c r="AA149" s="4"/>
      <c r="AB149" s="4"/>
      <c r="AC149" s="4" t="s">
        <v>52</v>
      </c>
      <c r="AD149" s="4" t="s">
        <v>45</v>
      </c>
    </row>
    <row r="150" spans="1:30">
      <c r="A150" s="4" t="s">
        <v>30</v>
      </c>
      <c r="B150" s="4"/>
      <c r="C150" s="4">
        <v>212203</v>
      </c>
      <c r="D150" s="4" t="s">
        <v>99</v>
      </c>
      <c r="E150" s="13" t="s">
        <v>635</v>
      </c>
      <c r="F150" s="4" t="s">
        <v>636</v>
      </c>
      <c r="G150" s="4">
        <v>0</v>
      </c>
      <c r="H150" s="4" t="s">
        <v>354</v>
      </c>
      <c r="I150" s="5">
        <v>45086</v>
      </c>
      <c r="J150" s="5">
        <v>45451</v>
      </c>
      <c r="K150" s="4" t="s">
        <v>103</v>
      </c>
      <c r="L150" s="4" t="s">
        <v>104</v>
      </c>
      <c r="M150" s="7">
        <v>13915</v>
      </c>
      <c r="N150" s="16">
        <v>14.991016888250089</v>
      </c>
      <c r="O150" s="6">
        <v>2086</v>
      </c>
      <c r="P150" s="4" t="s">
        <v>37</v>
      </c>
      <c r="Q150" s="1">
        <v>443961</v>
      </c>
      <c r="R150" s="4" t="s">
        <v>38</v>
      </c>
      <c r="S150" s="4"/>
      <c r="T150" s="4" t="s">
        <v>105</v>
      </c>
      <c r="U150" s="4" t="s">
        <v>106</v>
      </c>
      <c r="V150" s="4" t="s">
        <v>107</v>
      </c>
      <c r="W150" s="4">
        <v>3075</v>
      </c>
      <c r="X150" s="4" t="s">
        <v>42</v>
      </c>
      <c r="Y150" s="4"/>
      <c r="Z150" s="4"/>
      <c r="AA150" s="4"/>
      <c r="AB150" s="4"/>
      <c r="AC150" s="4" t="s">
        <v>44</v>
      </c>
      <c r="AD150" s="4" t="s">
        <v>45</v>
      </c>
    </row>
    <row r="151" spans="1:30">
      <c r="A151" s="4" t="s">
        <v>30</v>
      </c>
      <c r="B151" s="4"/>
      <c r="C151" s="4">
        <v>442600</v>
      </c>
      <c r="D151" s="4" t="s">
        <v>390</v>
      </c>
      <c r="E151" s="13" t="s">
        <v>637</v>
      </c>
      <c r="F151" s="4" t="s">
        <v>638</v>
      </c>
      <c r="G151" s="4">
        <v>1</v>
      </c>
      <c r="H151" s="4" t="s">
        <v>639</v>
      </c>
      <c r="I151" s="5">
        <v>44960</v>
      </c>
      <c r="J151" s="5">
        <v>45324</v>
      </c>
      <c r="K151" s="4" t="s">
        <v>85</v>
      </c>
      <c r="L151" s="4" t="s">
        <v>86</v>
      </c>
      <c r="M151" s="7">
        <v>15058</v>
      </c>
      <c r="N151" s="16">
        <v>12.710851374684552</v>
      </c>
      <c r="O151" s="6">
        <v>1914</v>
      </c>
      <c r="P151" s="4" t="s">
        <v>95</v>
      </c>
      <c r="Q151" s="1">
        <v>428862</v>
      </c>
      <c r="R151" s="4" t="s">
        <v>52</v>
      </c>
      <c r="S151" s="4"/>
      <c r="T151" s="4" t="s">
        <v>640</v>
      </c>
      <c r="U151" s="4" t="s">
        <v>641</v>
      </c>
      <c r="V151" s="4" t="s">
        <v>396</v>
      </c>
      <c r="W151" s="4">
        <v>3073</v>
      </c>
      <c r="X151" s="4" t="s">
        <v>42</v>
      </c>
      <c r="Y151" s="4"/>
      <c r="Z151" s="4"/>
      <c r="AA151" s="4"/>
      <c r="AB151" s="4"/>
      <c r="AC151" s="4" t="s">
        <v>52</v>
      </c>
      <c r="AD151" s="4" t="s">
        <v>45</v>
      </c>
    </row>
    <row r="152" spans="1:30">
      <c r="A152" s="4" t="s">
        <v>30</v>
      </c>
      <c r="B152" s="4"/>
      <c r="C152" s="4">
        <v>163600</v>
      </c>
      <c r="D152" s="4" t="s">
        <v>119</v>
      </c>
      <c r="E152" s="13" t="s">
        <v>642</v>
      </c>
      <c r="F152" s="4" t="s">
        <v>643</v>
      </c>
      <c r="G152" s="4">
        <v>0</v>
      </c>
      <c r="H152" s="4" t="s">
        <v>122</v>
      </c>
      <c r="I152" s="5">
        <v>45084</v>
      </c>
      <c r="J152" s="5">
        <v>45443</v>
      </c>
      <c r="K152" s="4" t="s">
        <v>123</v>
      </c>
      <c r="L152" s="4" t="s">
        <v>124</v>
      </c>
      <c r="M152" s="7">
        <v>804</v>
      </c>
      <c r="N152" s="16">
        <v>20.024875621890548</v>
      </c>
      <c r="O152" s="6">
        <v>161</v>
      </c>
      <c r="P152" s="4" t="s">
        <v>125</v>
      </c>
      <c r="Q152" s="1" t="s">
        <v>52</v>
      </c>
      <c r="R152" s="4" t="s">
        <v>52</v>
      </c>
      <c r="S152" s="4"/>
      <c r="T152" s="4" t="s">
        <v>126</v>
      </c>
      <c r="U152" s="4" t="s">
        <v>127</v>
      </c>
      <c r="V152" s="4" t="s">
        <v>128</v>
      </c>
      <c r="W152" s="4">
        <v>3090</v>
      </c>
      <c r="X152" s="4" t="s">
        <v>42</v>
      </c>
      <c r="Y152" s="4"/>
      <c r="Z152" s="4" t="s">
        <v>117</v>
      </c>
      <c r="AA152" s="4"/>
      <c r="AB152" s="4"/>
      <c r="AC152" s="4" t="s">
        <v>52</v>
      </c>
      <c r="AD152" s="4" t="s">
        <v>45</v>
      </c>
    </row>
    <row r="153" spans="1:30">
      <c r="A153" s="4" t="s">
        <v>30</v>
      </c>
      <c r="B153" s="4"/>
      <c r="C153" s="4">
        <v>233600</v>
      </c>
      <c r="D153" s="4" t="s">
        <v>644</v>
      </c>
      <c r="E153" s="13" t="s">
        <v>645</v>
      </c>
      <c r="F153" s="4" t="s">
        <v>646</v>
      </c>
      <c r="G153" s="4">
        <v>10</v>
      </c>
      <c r="H153" s="4" t="s">
        <v>647</v>
      </c>
      <c r="I153" s="5">
        <v>44982</v>
      </c>
      <c r="J153" s="5">
        <v>45346</v>
      </c>
      <c r="K153" s="4" t="s">
        <v>384</v>
      </c>
      <c r="L153" s="4" t="s">
        <v>385</v>
      </c>
      <c r="M153" s="7">
        <v>-2553</v>
      </c>
      <c r="N153" s="16">
        <v>7.5001958480219342</v>
      </c>
      <c r="O153" s="6">
        <v>-191.48</v>
      </c>
      <c r="P153" s="4" t="s">
        <v>95</v>
      </c>
      <c r="Q153" s="1">
        <v>421676</v>
      </c>
      <c r="R153" s="4" t="s">
        <v>52</v>
      </c>
      <c r="S153" s="4"/>
      <c r="T153" s="4" t="s">
        <v>247</v>
      </c>
      <c r="U153" s="4" t="s">
        <v>648</v>
      </c>
      <c r="V153" s="4" t="s">
        <v>649</v>
      </c>
      <c r="W153" s="4">
        <v>3084</v>
      </c>
      <c r="X153" s="4" t="s">
        <v>42</v>
      </c>
      <c r="Y153" s="4"/>
      <c r="Z153" s="4"/>
      <c r="AA153" s="4"/>
      <c r="AB153" s="4"/>
      <c r="AC153" s="4" t="s">
        <v>52</v>
      </c>
      <c r="AD153" s="4" t="s">
        <v>45</v>
      </c>
    </row>
    <row r="154" spans="1:30">
      <c r="A154" s="4" t="s">
        <v>30</v>
      </c>
      <c r="B154" s="4"/>
      <c r="C154" s="4">
        <v>510000</v>
      </c>
      <c r="D154" s="4" t="s">
        <v>46</v>
      </c>
      <c r="E154" s="13" t="s">
        <v>650</v>
      </c>
      <c r="F154" s="4" t="s">
        <v>651</v>
      </c>
      <c r="G154" s="4">
        <v>1</v>
      </c>
      <c r="H154" s="4" t="s">
        <v>652</v>
      </c>
      <c r="I154" s="5">
        <v>45017</v>
      </c>
      <c r="J154" s="5">
        <v>45382</v>
      </c>
      <c r="K154" s="4" t="s">
        <v>384</v>
      </c>
      <c r="L154" s="4" t="s">
        <v>385</v>
      </c>
      <c r="M154" s="7">
        <v>-269</v>
      </c>
      <c r="N154" s="16">
        <v>7.4349442379182156</v>
      </c>
      <c r="O154" s="6">
        <v>-20</v>
      </c>
      <c r="P154" s="4" t="s">
        <v>37</v>
      </c>
      <c r="Q154" s="1">
        <v>435803</v>
      </c>
      <c r="R154" s="4" t="s">
        <v>52</v>
      </c>
      <c r="S154" s="4"/>
      <c r="T154" s="4" t="s">
        <v>134</v>
      </c>
      <c r="U154" s="4" t="s">
        <v>135</v>
      </c>
      <c r="V154" s="4" t="s">
        <v>55</v>
      </c>
      <c r="W154" s="4">
        <v>3081</v>
      </c>
      <c r="X154" s="4" t="s">
        <v>42</v>
      </c>
      <c r="Y154" s="4"/>
      <c r="Z154" s="4"/>
      <c r="AA154" s="4"/>
      <c r="AB154" s="4"/>
      <c r="AC154" s="4" t="s">
        <v>52</v>
      </c>
      <c r="AD154" s="4" t="s">
        <v>45</v>
      </c>
    </row>
    <row r="155" spans="1:30">
      <c r="A155" s="4" t="s">
        <v>30</v>
      </c>
      <c r="B155" s="4"/>
      <c r="C155" s="4">
        <v>510000</v>
      </c>
      <c r="D155" s="4" t="s">
        <v>46</v>
      </c>
      <c r="E155" s="13" t="s">
        <v>653</v>
      </c>
      <c r="F155" s="4" t="s">
        <v>654</v>
      </c>
      <c r="G155" s="4">
        <v>11</v>
      </c>
      <c r="H155" s="4" t="s">
        <v>399</v>
      </c>
      <c r="I155" s="5">
        <v>44681</v>
      </c>
      <c r="J155" s="5">
        <v>45045</v>
      </c>
      <c r="K155" s="4" t="s">
        <v>50</v>
      </c>
      <c r="L155" s="4" t="s">
        <v>51</v>
      </c>
      <c r="M155" s="7">
        <v>15881</v>
      </c>
      <c r="N155" s="16">
        <v>2.4998425791826713</v>
      </c>
      <c r="O155" s="6">
        <v>397</v>
      </c>
      <c r="P155" s="4" t="s">
        <v>151</v>
      </c>
      <c r="Q155" s="1">
        <v>398828</v>
      </c>
      <c r="R155" s="4" t="s">
        <v>52</v>
      </c>
      <c r="S155" s="4"/>
      <c r="T155" s="4" t="s">
        <v>152</v>
      </c>
      <c r="U155" s="4" t="s">
        <v>153</v>
      </c>
      <c r="V155" s="4" t="s">
        <v>55</v>
      </c>
      <c r="W155" s="4">
        <v>3081</v>
      </c>
      <c r="X155" s="4" t="s">
        <v>42</v>
      </c>
      <c r="Y155" s="4"/>
      <c r="Z155" s="4"/>
      <c r="AA155" s="4"/>
      <c r="AB155" s="4"/>
      <c r="AC155" s="4" t="s">
        <v>52</v>
      </c>
      <c r="AD155" s="4" t="s">
        <v>45</v>
      </c>
    </row>
    <row r="156" spans="1:30">
      <c r="A156" s="4" t="s">
        <v>30</v>
      </c>
      <c r="B156" s="4"/>
      <c r="C156" s="4">
        <v>112400</v>
      </c>
      <c r="D156" s="4" t="s">
        <v>469</v>
      </c>
      <c r="E156" s="13" t="s">
        <v>655</v>
      </c>
      <c r="F156" s="4" t="s">
        <v>656</v>
      </c>
      <c r="G156" s="4">
        <v>0</v>
      </c>
      <c r="H156" s="4" t="s">
        <v>472</v>
      </c>
      <c r="I156" s="5">
        <v>45082</v>
      </c>
      <c r="J156" s="5">
        <v>45447</v>
      </c>
      <c r="K156" s="4" t="s">
        <v>657</v>
      </c>
      <c r="L156" s="4" t="s">
        <v>658</v>
      </c>
      <c r="M156" s="7">
        <v>403125</v>
      </c>
      <c r="N156" s="16">
        <v>9.9996279069767446</v>
      </c>
      <c r="O156" s="6">
        <v>40311</v>
      </c>
      <c r="P156" s="4" t="s">
        <v>37</v>
      </c>
      <c r="Q156" s="1">
        <v>436322</v>
      </c>
      <c r="R156" s="4" t="s">
        <v>38</v>
      </c>
      <c r="S156" s="4"/>
      <c r="T156" s="4" t="s">
        <v>194</v>
      </c>
      <c r="U156" s="4" t="s">
        <v>475</v>
      </c>
      <c r="V156" s="4" t="s">
        <v>476</v>
      </c>
      <c r="W156" s="4">
        <v>3087</v>
      </c>
      <c r="X156" s="4" t="s">
        <v>42</v>
      </c>
      <c r="Y156" s="4"/>
      <c r="Z156" s="4"/>
      <c r="AA156" s="4"/>
      <c r="AB156" s="4"/>
      <c r="AC156" s="4" t="s">
        <v>44</v>
      </c>
      <c r="AD156" s="4" t="s">
        <v>45</v>
      </c>
    </row>
    <row r="157" spans="1:30">
      <c r="A157" s="4" t="s">
        <v>30</v>
      </c>
      <c r="B157" s="4"/>
      <c r="C157" s="4">
        <v>272200</v>
      </c>
      <c r="D157" s="4" t="s">
        <v>208</v>
      </c>
      <c r="E157" s="13" t="s">
        <v>659</v>
      </c>
      <c r="F157" s="4" t="s">
        <v>660</v>
      </c>
      <c r="G157" s="4">
        <v>0</v>
      </c>
      <c r="H157" s="4" t="s">
        <v>661</v>
      </c>
      <c r="I157" s="5">
        <v>45106</v>
      </c>
      <c r="J157" s="5">
        <v>45471</v>
      </c>
      <c r="K157" s="4" t="s">
        <v>139</v>
      </c>
      <c r="L157" s="4" t="s">
        <v>140</v>
      </c>
      <c r="M157" s="7">
        <v>10289</v>
      </c>
      <c r="N157" s="16">
        <v>12.489065992807854</v>
      </c>
      <c r="O157" s="6">
        <v>1285</v>
      </c>
      <c r="P157" s="4" t="s">
        <v>37</v>
      </c>
      <c r="Q157" s="1">
        <v>440660</v>
      </c>
      <c r="R157" s="4" t="s">
        <v>38</v>
      </c>
      <c r="S157" s="4"/>
      <c r="T157" s="4" t="s">
        <v>105</v>
      </c>
      <c r="U157" s="4" t="s">
        <v>493</v>
      </c>
      <c r="V157" s="4" t="s">
        <v>212</v>
      </c>
      <c r="W157" s="4">
        <v>3079</v>
      </c>
      <c r="X157" s="4" t="s">
        <v>42</v>
      </c>
      <c r="Y157" s="4"/>
      <c r="Z157" s="4"/>
      <c r="AA157" s="4"/>
      <c r="AB157" s="4" t="s">
        <v>43</v>
      </c>
      <c r="AC157" s="4" t="s">
        <v>44</v>
      </c>
      <c r="AD157" s="4" t="s">
        <v>45</v>
      </c>
    </row>
    <row r="158" spans="1:30">
      <c r="A158" s="4" t="s">
        <v>30</v>
      </c>
      <c r="B158" s="4"/>
      <c r="C158" s="4">
        <v>421200</v>
      </c>
      <c r="D158" s="4" t="s">
        <v>662</v>
      </c>
      <c r="E158" s="13" t="s">
        <v>663</v>
      </c>
      <c r="F158" s="4" t="s">
        <v>664</v>
      </c>
      <c r="G158" s="4">
        <v>6</v>
      </c>
      <c r="H158" s="4" t="s">
        <v>665</v>
      </c>
      <c r="I158" s="5">
        <v>44936</v>
      </c>
      <c r="J158" s="5">
        <v>45300</v>
      </c>
      <c r="K158" s="4" t="s">
        <v>50</v>
      </c>
      <c r="L158" s="4" t="s">
        <v>51</v>
      </c>
      <c r="M158" s="7">
        <v>-213512</v>
      </c>
      <c r="N158" s="16">
        <v>7.4998126568998469</v>
      </c>
      <c r="O158" s="6">
        <v>-16013</v>
      </c>
      <c r="P158" s="4" t="s">
        <v>95</v>
      </c>
      <c r="Q158" s="1">
        <v>441196</v>
      </c>
      <c r="R158" s="4" t="s">
        <v>61</v>
      </c>
      <c r="S158" s="4"/>
      <c r="T158" s="4" t="s">
        <v>666</v>
      </c>
      <c r="U158" s="4" t="s">
        <v>667</v>
      </c>
      <c r="V158" s="4" t="s">
        <v>668</v>
      </c>
      <c r="W158" s="4">
        <v>3098</v>
      </c>
      <c r="X158" s="4" t="s">
        <v>42</v>
      </c>
      <c r="Y158" s="4"/>
      <c r="Z158" s="4"/>
      <c r="AA158" s="4" t="s">
        <v>184</v>
      </c>
      <c r="AB158" s="4"/>
      <c r="AC158" s="4" t="s">
        <v>185</v>
      </c>
      <c r="AD158" s="4" t="s">
        <v>45</v>
      </c>
    </row>
    <row r="159" spans="1:30">
      <c r="A159" s="4" t="s">
        <v>30</v>
      </c>
      <c r="B159" s="4"/>
      <c r="C159" s="4">
        <v>510000</v>
      </c>
      <c r="D159" s="4" t="s">
        <v>46</v>
      </c>
      <c r="E159" s="13" t="s">
        <v>669</v>
      </c>
      <c r="F159" s="4" t="s">
        <v>670</v>
      </c>
      <c r="G159" s="4">
        <v>5</v>
      </c>
      <c r="H159" s="4" t="s">
        <v>671</v>
      </c>
      <c r="I159" s="5">
        <v>44866</v>
      </c>
      <c r="J159" s="5">
        <v>45230</v>
      </c>
      <c r="K159" s="4" t="s">
        <v>50</v>
      </c>
      <c r="L159" s="4" t="s">
        <v>51</v>
      </c>
      <c r="M159" s="7">
        <v>-123587</v>
      </c>
      <c r="N159" s="16">
        <v>7.5000040457329664</v>
      </c>
      <c r="O159" s="6">
        <v>-9269.0300000000007</v>
      </c>
      <c r="P159" s="4" t="s">
        <v>37</v>
      </c>
      <c r="Q159" s="1">
        <v>419473</v>
      </c>
      <c r="R159" s="4" t="s">
        <v>52</v>
      </c>
      <c r="S159" s="4"/>
      <c r="T159" s="4" t="s">
        <v>53</v>
      </c>
      <c r="U159" s="4" t="s">
        <v>672</v>
      </c>
      <c r="V159" s="4" t="s">
        <v>55</v>
      </c>
      <c r="W159" s="4">
        <v>3081</v>
      </c>
      <c r="X159" s="4" t="s">
        <v>42</v>
      </c>
      <c r="Y159" s="4"/>
      <c r="Z159" s="4"/>
      <c r="AA159" s="4"/>
      <c r="AB159" s="4"/>
      <c r="AC159" s="4" t="s">
        <v>52</v>
      </c>
      <c r="AD159" s="4" t="s">
        <v>45</v>
      </c>
    </row>
    <row r="160" spans="1:30">
      <c r="A160" s="4" t="s">
        <v>30</v>
      </c>
      <c r="B160" s="4"/>
      <c r="C160" s="4">
        <v>222105</v>
      </c>
      <c r="D160" s="4" t="s">
        <v>68</v>
      </c>
      <c r="E160" s="13" t="s">
        <v>673</v>
      </c>
      <c r="F160" s="4" t="s">
        <v>674</v>
      </c>
      <c r="G160" s="4">
        <v>0</v>
      </c>
      <c r="H160" s="4" t="s">
        <v>675</v>
      </c>
      <c r="I160" s="5">
        <v>45098</v>
      </c>
      <c r="J160" s="5">
        <v>45463</v>
      </c>
      <c r="K160" s="4" t="s">
        <v>72</v>
      </c>
      <c r="L160" s="4" t="s">
        <v>73</v>
      </c>
      <c r="M160" s="7">
        <v>32861</v>
      </c>
      <c r="N160" s="16">
        <v>7.5012933264355919</v>
      </c>
      <c r="O160" s="6">
        <v>2465</v>
      </c>
      <c r="P160" s="4" t="s">
        <v>37</v>
      </c>
      <c r="Q160" s="1">
        <v>441059</v>
      </c>
      <c r="R160" s="4" t="s">
        <v>38</v>
      </c>
      <c r="S160" s="4"/>
      <c r="T160" s="4" t="s">
        <v>74</v>
      </c>
      <c r="U160" s="4" t="s">
        <v>75</v>
      </c>
      <c r="V160" s="4" t="s">
        <v>76</v>
      </c>
      <c r="W160" s="4">
        <v>3078</v>
      </c>
      <c r="X160" s="4" t="s">
        <v>42</v>
      </c>
      <c r="Y160" s="4"/>
      <c r="Z160" s="4"/>
      <c r="AA160" s="4"/>
      <c r="AB160" s="4" t="s">
        <v>147</v>
      </c>
      <c r="AC160" s="4" t="s">
        <v>44</v>
      </c>
      <c r="AD160" s="4" t="s">
        <v>45</v>
      </c>
    </row>
    <row r="161" spans="1:30">
      <c r="A161" s="4" t="s">
        <v>30</v>
      </c>
      <c r="B161" s="4"/>
      <c r="C161" s="4">
        <v>212203</v>
      </c>
      <c r="D161" s="4" t="s">
        <v>99</v>
      </c>
      <c r="E161" s="13" t="s">
        <v>676</v>
      </c>
      <c r="F161" s="4" t="s">
        <v>677</v>
      </c>
      <c r="G161" s="4">
        <v>0</v>
      </c>
      <c r="H161" s="4" t="s">
        <v>579</v>
      </c>
      <c r="I161" s="5">
        <v>45105</v>
      </c>
      <c r="J161" s="5">
        <v>45470</v>
      </c>
      <c r="K161" s="4" t="s">
        <v>205</v>
      </c>
      <c r="L161" s="4" t="s">
        <v>206</v>
      </c>
      <c r="M161" s="7">
        <v>9434</v>
      </c>
      <c r="N161" s="16">
        <v>14.998940004239982</v>
      </c>
      <c r="O161" s="6">
        <v>1415</v>
      </c>
      <c r="P161" s="4" t="s">
        <v>37</v>
      </c>
      <c r="Q161" s="1">
        <v>443953</v>
      </c>
      <c r="R161" s="4" t="s">
        <v>38</v>
      </c>
      <c r="S161" s="4"/>
      <c r="T161" s="4" t="s">
        <v>105</v>
      </c>
      <c r="U161" s="4" t="s">
        <v>106</v>
      </c>
      <c r="V161" s="4" t="s">
        <v>107</v>
      </c>
      <c r="W161" s="4">
        <v>3075</v>
      </c>
      <c r="X161" s="4" t="s">
        <v>42</v>
      </c>
      <c r="Y161" s="4"/>
      <c r="Z161" s="4"/>
      <c r="AA161" s="4"/>
      <c r="AB161" s="4"/>
      <c r="AC161" s="4" t="s">
        <v>44</v>
      </c>
      <c r="AD161" s="4" t="s">
        <v>45</v>
      </c>
    </row>
    <row r="162" spans="1:30">
      <c r="A162" s="4" t="s">
        <v>30</v>
      </c>
      <c r="B162" s="4"/>
      <c r="C162" s="4">
        <v>431500</v>
      </c>
      <c r="D162" s="4" t="s">
        <v>380</v>
      </c>
      <c r="E162" s="13" t="s">
        <v>678</v>
      </c>
      <c r="F162" s="4" t="s">
        <v>496</v>
      </c>
      <c r="G162" s="4">
        <v>8</v>
      </c>
      <c r="H162" s="4" t="s">
        <v>383</v>
      </c>
      <c r="I162" s="5">
        <v>45000</v>
      </c>
      <c r="J162" s="5">
        <v>45365</v>
      </c>
      <c r="K162" s="4" t="s">
        <v>50</v>
      </c>
      <c r="L162" s="4" t="s">
        <v>51</v>
      </c>
      <c r="M162" s="7">
        <v>-58888</v>
      </c>
      <c r="N162" s="16">
        <v>2.5</v>
      </c>
      <c r="O162" s="6">
        <v>-1472.2</v>
      </c>
      <c r="P162" s="4" t="s">
        <v>386</v>
      </c>
      <c r="Q162" s="1">
        <v>424816</v>
      </c>
      <c r="R162" s="4" t="s">
        <v>52</v>
      </c>
      <c r="S162" s="4"/>
      <c r="T162" s="4" t="s">
        <v>387</v>
      </c>
      <c r="U162" s="4" t="s">
        <v>388</v>
      </c>
      <c r="V162" s="4" t="s">
        <v>389</v>
      </c>
      <c r="W162" s="4">
        <v>3082</v>
      </c>
      <c r="X162" s="4" t="s">
        <v>42</v>
      </c>
      <c r="Y162" s="4"/>
      <c r="Z162" s="4"/>
      <c r="AA162" s="4"/>
      <c r="AB162" s="4"/>
      <c r="AC162" s="4" t="s">
        <v>52</v>
      </c>
      <c r="AD162" s="4" t="s">
        <v>45</v>
      </c>
    </row>
    <row r="163" spans="1:30">
      <c r="A163" s="4" t="s">
        <v>30</v>
      </c>
      <c r="B163" s="4"/>
      <c r="C163" s="4">
        <v>212203</v>
      </c>
      <c r="D163" s="4" t="s">
        <v>99</v>
      </c>
      <c r="E163" s="13" t="s">
        <v>679</v>
      </c>
      <c r="F163" s="4" t="s">
        <v>680</v>
      </c>
      <c r="G163" s="4">
        <v>1</v>
      </c>
      <c r="H163" s="4" t="s">
        <v>204</v>
      </c>
      <c r="I163" s="5">
        <v>45097</v>
      </c>
      <c r="J163" s="5">
        <v>45097</v>
      </c>
      <c r="K163" s="4" t="s">
        <v>205</v>
      </c>
      <c r="L163" s="4" t="s">
        <v>206</v>
      </c>
      <c r="M163" s="7">
        <v>-9682</v>
      </c>
      <c r="N163" s="16">
        <v>14.996901466639125</v>
      </c>
      <c r="O163" s="6">
        <v>-1452</v>
      </c>
      <c r="P163" s="4" t="s">
        <v>37</v>
      </c>
      <c r="Q163" s="1" t="s">
        <v>207</v>
      </c>
      <c r="R163" s="4" t="s">
        <v>207</v>
      </c>
      <c r="S163" s="4"/>
      <c r="T163" s="4" t="s">
        <v>105</v>
      </c>
      <c r="U163" s="4" t="s">
        <v>106</v>
      </c>
      <c r="V163" s="4" t="s">
        <v>107</v>
      </c>
      <c r="W163" s="4">
        <v>3075</v>
      </c>
      <c r="X163" s="4" t="s">
        <v>42</v>
      </c>
      <c r="Y163" s="4"/>
      <c r="Z163" s="4"/>
      <c r="AA163" s="4"/>
      <c r="AB163" s="4"/>
      <c r="AC163" s="4" t="s">
        <v>207</v>
      </c>
      <c r="AD163" s="4" t="s">
        <v>45</v>
      </c>
    </row>
    <row r="164" spans="1:30">
      <c r="A164" s="4" t="s">
        <v>30</v>
      </c>
      <c r="B164" s="4"/>
      <c r="C164" s="4">
        <v>212203</v>
      </c>
      <c r="D164" s="4" t="s">
        <v>99</v>
      </c>
      <c r="E164" s="13" t="s">
        <v>681</v>
      </c>
      <c r="F164" s="4" t="s">
        <v>682</v>
      </c>
      <c r="G164" s="4">
        <v>0</v>
      </c>
      <c r="H164" s="4" t="s">
        <v>541</v>
      </c>
      <c r="I164" s="5">
        <v>45102</v>
      </c>
      <c r="J164" s="5">
        <v>45467</v>
      </c>
      <c r="K164" s="4" t="s">
        <v>199</v>
      </c>
      <c r="L164" s="4" t="s">
        <v>200</v>
      </c>
      <c r="M164" s="7">
        <v>8522</v>
      </c>
      <c r="N164" s="16">
        <v>13.224595165454119</v>
      </c>
      <c r="O164" s="6">
        <v>1127</v>
      </c>
      <c r="P164" s="4" t="s">
        <v>37</v>
      </c>
      <c r="Q164" s="1">
        <v>443836</v>
      </c>
      <c r="R164" s="4" t="s">
        <v>38</v>
      </c>
      <c r="S164" s="4"/>
      <c r="T164" s="4" t="s">
        <v>105</v>
      </c>
      <c r="U164" s="4" t="s">
        <v>106</v>
      </c>
      <c r="V164" s="4" t="s">
        <v>107</v>
      </c>
      <c r="W164" s="4">
        <v>3075</v>
      </c>
      <c r="X164" s="4" t="s">
        <v>42</v>
      </c>
      <c r="Y164" s="4"/>
      <c r="Z164" s="4"/>
      <c r="AA164" s="4" t="s">
        <v>201</v>
      </c>
      <c r="AB164" s="4"/>
      <c r="AC164" s="4" t="s">
        <v>185</v>
      </c>
      <c r="AD164" s="4" t="s">
        <v>45</v>
      </c>
    </row>
    <row r="165" spans="1:30">
      <c r="A165" s="4" t="s">
        <v>30</v>
      </c>
      <c r="B165" s="4"/>
      <c r="C165" s="4">
        <v>212203</v>
      </c>
      <c r="D165" s="4" t="s">
        <v>99</v>
      </c>
      <c r="E165" s="13" t="s">
        <v>683</v>
      </c>
      <c r="F165" s="4" t="s">
        <v>684</v>
      </c>
      <c r="G165" s="4">
        <v>0</v>
      </c>
      <c r="H165" s="4" t="s">
        <v>204</v>
      </c>
      <c r="I165" s="5">
        <v>45098</v>
      </c>
      <c r="J165" s="5">
        <v>45463</v>
      </c>
      <c r="K165" s="4" t="s">
        <v>205</v>
      </c>
      <c r="L165" s="4" t="s">
        <v>206</v>
      </c>
      <c r="M165" s="7">
        <v>8870</v>
      </c>
      <c r="N165" s="16">
        <v>15.005636978579481</v>
      </c>
      <c r="O165" s="6">
        <v>1331</v>
      </c>
      <c r="P165" s="4" t="s">
        <v>37</v>
      </c>
      <c r="Q165" s="1">
        <v>443944</v>
      </c>
      <c r="R165" s="4">
        <v>0</v>
      </c>
      <c r="S165" s="4"/>
      <c r="T165" s="4" t="s">
        <v>105</v>
      </c>
      <c r="U165" s="4" t="s">
        <v>106</v>
      </c>
      <c r="V165" s="4" t="s">
        <v>107</v>
      </c>
      <c r="W165" s="4">
        <v>3075</v>
      </c>
      <c r="X165" s="4" t="s">
        <v>42</v>
      </c>
      <c r="Y165" s="4"/>
      <c r="Z165" s="4"/>
      <c r="AA165" s="4"/>
      <c r="AB165" s="4"/>
      <c r="AC165" s="4" t="s">
        <v>44</v>
      </c>
      <c r="AD165" s="4" t="s">
        <v>45</v>
      </c>
    </row>
    <row r="166" spans="1:30">
      <c r="A166" s="4" t="s">
        <v>30</v>
      </c>
      <c r="B166" s="4"/>
      <c r="C166" s="4">
        <v>212203</v>
      </c>
      <c r="D166" s="4" t="s">
        <v>99</v>
      </c>
      <c r="E166" s="13" t="s">
        <v>685</v>
      </c>
      <c r="F166" s="4" t="s">
        <v>588</v>
      </c>
      <c r="G166" s="4">
        <v>0</v>
      </c>
      <c r="H166" s="4" t="s">
        <v>204</v>
      </c>
      <c r="I166" s="5">
        <v>45097</v>
      </c>
      <c r="J166" s="5">
        <v>45462</v>
      </c>
      <c r="K166" s="4" t="s">
        <v>205</v>
      </c>
      <c r="L166" s="4" t="s">
        <v>206</v>
      </c>
      <c r="M166" s="7">
        <v>9682</v>
      </c>
      <c r="N166" s="16">
        <v>14.996901466639125</v>
      </c>
      <c r="O166" s="6">
        <v>1452</v>
      </c>
      <c r="P166" s="4" t="s">
        <v>37</v>
      </c>
      <c r="Q166" s="1" t="s">
        <v>207</v>
      </c>
      <c r="R166" s="4" t="s">
        <v>207</v>
      </c>
      <c r="S166" s="4"/>
      <c r="T166" s="4" t="s">
        <v>105</v>
      </c>
      <c r="U166" s="4" t="s">
        <v>106</v>
      </c>
      <c r="V166" s="4" t="s">
        <v>107</v>
      </c>
      <c r="W166" s="4">
        <v>3075</v>
      </c>
      <c r="X166" s="4" t="s">
        <v>42</v>
      </c>
      <c r="Y166" s="4"/>
      <c r="Z166" s="4"/>
      <c r="AA166" s="4"/>
      <c r="AB166" s="4"/>
      <c r="AC166" s="4" t="s">
        <v>207</v>
      </c>
      <c r="AD166" s="4" t="s">
        <v>45</v>
      </c>
    </row>
    <row r="167" spans="1:30">
      <c r="A167" s="4" t="s">
        <v>30</v>
      </c>
      <c r="B167" s="4"/>
      <c r="C167" s="4">
        <v>212203</v>
      </c>
      <c r="D167" s="4" t="s">
        <v>99</v>
      </c>
      <c r="E167" s="13" t="s">
        <v>686</v>
      </c>
      <c r="F167" s="4" t="s">
        <v>687</v>
      </c>
      <c r="G167" s="4">
        <v>0</v>
      </c>
      <c r="H167" s="4" t="s">
        <v>204</v>
      </c>
      <c r="I167" s="5">
        <v>45097</v>
      </c>
      <c r="J167" s="5">
        <v>45462</v>
      </c>
      <c r="K167" s="4" t="s">
        <v>205</v>
      </c>
      <c r="L167" s="4" t="s">
        <v>206</v>
      </c>
      <c r="M167" s="7">
        <v>9682</v>
      </c>
      <c r="N167" s="16">
        <v>14.996901466639125</v>
      </c>
      <c r="O167" s="6">
        <v>1452</v>
      </c>
      <c r="P167" s="4" t="s">
        <v>37</v>
      </c>
      <c r="Q167" s="1" t="s">
        <v>207</v>
      </c>
      <c r="R167" s="4" t="s">
        <v>207</v>
      </c>
      <c r="S167" s="4"/>
      <c r="T167" s="4" t="s">
        <v>105</v>
      </c>
      <c r="U167" s="4" t="s">
        <v>106</v>
      </c>
      <c r="V167" s="4" t="s">
        <v>107</v>
      </c>
      <c r="W167" s="4">
        <v>3075</v>
      </c>
      <c r="X167" s="4" t="s">
        <v>42</v>
      </c>
      <c r="Y167" s="4"/>
      <c r="Z167" s="4"/>
      <c r="AA167" s="4"/>
      <c r="AB167" s="4"/>
      <c r="AC167" s="4" t="s">
        <v>207</v>
      </c>
      <c r="AD167" s="4" t="s">
        <v>45</v>
      </c>
    </row>
    <row r="168" spans="1:30">
      <c r="A168" s="4" t="s">
        <v>30</v>
      </c>
      <c r="B168" s="4"/>
      <c r="C168" s="4">
        <v>111200</v>
      </c>
      <c r="D168" s="4" t="s">
        <v>688</v>
      </c>
      <c r="E168" s="13" t="s">
        <v>689</v>
      </c>
      <c r="F168" s="4" t="s">
        <v>690</v>
      </c>
      <c r="G168" s="4">
        <v>0</v>
      </c>
      <c r="H168" s="4" t="s">
        <v>691</v>
      </c>
      <c r="I168" s="5">
        <v>45103</v>
      </c>
      <c r="J168" s="5">
        <v>45468</v>
      </c>
      <c r="K168" s="4" t="s">
        <v>270</v>
      </c>
      <c r="L168" s="4" t="s">
        <v>271</v>
      </c>
      <c r="M168" s="7">
        <v>37500</v>
      </c>
      <c r="N168" s="16">
        <v>16.501333333333335</v>
      </c>
      <c r="O168" s="6">
        <v>6188</v>
      </c>
      <c r="P168" s="4" t="s">
        <v>95</v>
      </c>
      <c r="Q168" s="1">
        <v>442013</v>
      </c>
      <c r="R168" s="4" t="s">
        <v>38</v>
      </c>
      <c r="S168" s="4"/>
      <c r="T168" s="4" t="s">
        <v>74</v>
      </c>
      <c r="U168" s="4" t="s">
        <v>272</v>
      </c>
      <c r="V168" s="4" t="s">
        <v>692</v>
      </c>
      <c r="W168" s="4">
        <v>3085</v>
      </c>
      <c r="X168" s="4" t="s">
        <v>42</v>
      </c>
      <c r="Y168" s="4"/>
      <c r="Z168" s="4"/>
      <c r="AA168" s="4"/>
      <c r="AB168" s="4" t="s">
        <v>43</v>
      </c>
      <c r="AC168" s="4" t="s">
        <v>44</v>
      </c>
      <c r="AD168" s="4" t="s">
        <v>45</v>
      </c>
    </row>
    <row r="169" spans="1:30">
      <c r="A169" s="4" t="s">
        <v>30</v>
      </c>
      <c r="B169" s="4"/>
      <c r="C169" s="4">
        <v>215600</v>
      </c>
      <c r="D169" s="4" t="s">
        <v>129</v>
      </c>
      <c r="E169" s="13" t="s">
        <v>693</v>
      </c>
      <c r="F169" s="4" t="s">
        <v>694</v>
      </c>
      <c r="G169" s="4">
        <v>0</v>
      </c>
      <c r="H169" s="4" t="s">
        <v>441</v>
      </c>
      <c r="I169" s="5">
        <v>45093</v>
      </c>
      <c r="J169" s="5">
        <v>45458</v>
      </c>
      <c r="K169" s="4" t="s">
        <v>442</v>
      </c>
      <c r="L169" s="4" t="s">
        <v>443</v>
      </c>
      <c r="M169" s="7">
        <v>78419</v>
      </c>
      <c r="N169" s="16">
        <v>7.9993368953952482</v>
      </c>
      <c r="O169" s="6">
        <v>6273</v>
      </c>
      <c r="P169" s="4" t="s">
        <v>37</v>
      </c>
      <c r="Q169" s="1" t="s">
        <v>52</v>
      </c>
      <c r="R169" s="4" t="s">
        <v>52</v>
      </c>
      <c r="S169" s="4"/>
      <c r="T169" s="4" t="s">
        <v>105</v>
      </c>
      <c r="U169" s="4" t="s">
        <v>444</v>
      </c>
      <c r="V169" s="4" t="s">
        <v>136</v>
      </c>
      <c r="W169" s="4">
        <v>3076</v>
      </c>
      <c r="X169" s="4" t="s">
        <v>42</v>
      </c>
      <c r="Y169" s="4"/>
      <c r="Z169" s="4" t="s">
        <v>117</v>
      </c>
      <c r="AA169" s="4"/>
      <c r="AB169" s="4"/>
      <c r="AC169" s="4" t="s">
        <v>52</v>
      </c>
      <c r="AD169" s="4" t="s">
        <v>45</v>
      </c>
    </row>
    <row r="170" spans="1:30">
      <c r="A170" s="4" t="s">
        <v>30</v>
      </c>
      <c r="B170" s="4"/>
      <c r="C170" s="4">
        <v>212200</v>
      </c>
      <c r="D170" s="4" t="s">
        <v>108</v>
      </c>
      <c r="E170" s="13" t="s">
        <v>695</v>
      </c>
      <c r="F170" s="4" t="s">
        <v>696</v>
      </c>
      <c r="G170" s="4">
        <v>0</v>
      </c>
      <c r="H170" s="4" t="s">
        <v>111</v>
      </c>
      <c r="I170" s="5">
        <v>45090</v>
      </c>
      <c r="J170" s="5">
        <v>45455</v>
      </c>
      <c r="K170" s="4" t="s">
        <v>112</v>
      </c>
      <c r="L170" s="4" t="s">
        <v>113</v>
      </c>
      <c r="M170" s="7">
        <v>1458</v>
      </c>
      <c r="N170" s="16">
        <v>12.482853223593965</v>
      </c>
      <c r="O170" s="6">
        <v>182</v>
      </c>
      <c r="P170" s="4" t="s">
        <v>37</v>
      </c>
      <c r="Q170" s="1" t="s">
        <v>52</v>
      </c>
      <c r="R170" s="4" t="s">
        <v>52</v>
      </c>
      <c r="S170" s="4"/>
      <c r="T170" s="4" t="s">
        <v>114</v>
      </c>
      <c r="U170" s="4" t="s">
        <v>115</v>
      </c>
      <c r="V170" s="4" t="s">
        <v>116</v>
      </c>
      <c r="W170" s="4">
        <v>3074</v>
      </c>
      <c r="X170" s="4" t="s">
        <v>42</v>
      </c>
      <c r="Y170" s="4"/>
      <c r="Z170" s="4" t="s">
        <v>117</v>
      </c>
      <c r="AA170" s="4"/>
      <c r="AB170" s="4"/>
      <c r="AC170" s="4" t="s">
        <v>52</v>
      </c>
      <c r="AD170" s="4" t="s">
        <v>45</v>
      </c>
    </row>
    <row r="171" spans="1:30">
      <c r="A171" s="4" t="s">
        <v>30</v>
      </c>
      <c r="B171" s="4"/>
      <c r="C171" s="4">
        <v>215600</v>
      </c>
      <c r="D171" s="4" t="s">
        <v>129</v>
      </c>
      <c r="E171" s="13" t="s">
        <v>697</v>
      </c>
      <c r="F171" s="4" t="s">
        <v>698</v>
      </c>
      <c r="G171" s="4">
        <v>0</v>
      </c>
      <c r="H171" s="4" t="s">
        <v>699</v>
      </c>
      <c r="I171" s="5">
        <v>45017</v>
      </c>
      <c r="J171" s="5">
        <v>45382</v>
      </c>
      <c r="K171" s="4" t="s">
        <v>225</v>
      </c>
      <c r="L171" s="4" t="s">
        <v>226</v>
      </c>
      <c r="M171" s="7">
        <v>5342</v>
      </c>
      <c r="N171" s="16">
        <v>12.504679895170348</v>
      </c>
      <c r="O171" s="6">
        <v>668</v>
      </c>
      <c r="P171" s="4" t="s">
        <v>37</v>
      </c>
      <c r="Q171" s="1">
        <v>430610</v>
      </c>
      <c r="R171" s="4" t="s">
        <v>38</v>
      </c>
      <c r="S171" s="4"/>
      <c r="T171" s="4" t="s">
        <v>227</v>
      </c>
      <c r="U171" s="4" t="s">
        <v>228</v>
      </c>
      <c r="V171" s="4" t="s">
        <v>136</v>
      </c>
      <c r="W171" s="4">
        <v>3076</v>
      </c>
      <c r="X171" s="4" t="s">
        <v>42</v>
      </c>
      <c r="Y171" s="4"/>
      <c r="Z171" s="4"/>
      <c r="AA171" s="4"/>
      <c r="AB171" s="4"/>
      <c r="AC171" s="4" t="s">
        <v>44</v>
      </c>
      <c r="AD171" s="4" t="s">
        <v>45</v>
      </c>
    </row>
    <row r="172" spans="1:30">
      <c r="A172" s="4" t="s">
        <v>30</v>
      </c>
      <c r="B172" s="4"/>
      <c r="C172" s="4">
        <v>212203</v>
      </c>
      <c r="D172" s="4" t="s">
        <v>99</v>
      </c>
      <c r="E172" s="13" t="s">
        <v>700</v>
      </c>
      <c r="F172" s="4" t="s">
        <v>701</v>
      </c>
      <c r="G172" s="4">
        <v>0</v>
      </c>
      <c r="H172" s="4" t="s">
        <v>447</v>
      </c>
      <c r="I172" s="5">
        <v>45085</v>
      </c>
      <c r="J172" s="5">
        <v>45450</v>
      </c>
      <c r="K172" s="4" t="s">
        <v>103</v>
      </c>
      <c r="L172" s="4" t="s">
        <v>104</v>
      </c>
      <c r="M172" s="7">
        <v>8914</v>
      </c>
      <c r="N172" s="16">
        <v>15.010096477451201</v>
      </c>
      <c r="O172" s="6">
        <v>1338</v>
      </c>
      <c r="P172" s="4" t="s">
        <v>37</v>
      </c>
      <c r="Q172" s="1">
        <v>443957</v>
      </c>
      <c r="R172" s="4" t="s">
        <v>38</v>
      </c>
      <c r="S172" s="4"/>
      <c r="T172" s="4" t="s">
        <v>105</v>
      </c>
      <c r="U172" s="4" t="s">
        <v>106</v>
      </c>
      <c r="V172" s="4" t="s">
        <v>107</v>
      </c>
      <c r="W172" s="4">
        <v>3075</v>
      </c>
      <c r="X172" s="4" t="s">
        <v>42</v>
      </c>
      <c r="Y172" s="4"/>
      <c r="Z172" s="4"/>
      <c r="AA172" s="4"/>
      <c r="AB172" s="4"/>
      <c r="AC172" s="4" t="s">
        <v>44</v>
      </c>
      <c r="AD172" s="4" t="s">
        <v>45</v>
      </c>
    </row>
    <row r="173" spans="1:30">
      <c r="A173" s="4" t="s">
        <v>30</v>
      </c>
      <c r="B173" s="4"/>
      <c r="C173" s="4">
        <v>212203</v>
      </c>
      <c r="D173" s="4" t="s">
        <v>99</v>
      </c>
      <c r="E173" s="13" t="s">
        <v>702</v>
      </c>
      <c r="F173" s="4" t="s">
        <v>703</v>
      </c>
      <c r="G173" s="4">
        <v>0</v>
      </c>
      <c r="H173" s="4" t="s">
        <v>218</v>
      </c>
      <c r="I173" s="5">
        <v>45081</v>
      </c>
      <c r="J173" s="5">
        <v>45446</v>
      </c>
      <c r="K173" s="4" t="s">
        <v>199</v>
      </c>
      <c r="L173" s="4" t="s">
        <v>200</v>
      </c>
      <c r="M173" s="7">
        <v>8711</v>
      </c>
      <c r="N173" s="16">
        <v>0</v>
      </c>
      <c r="O173" s="6">
        <v>0</v>
      </c>
      <c r="P173" s="4" t="s">
        <v>37</v>
      </c>
      <c r="Q173" s="1">
        <v>443785</v>
      </c>
      <c r="R173" s="4" t="s">
        <v>38</v>
      </c>
      <c r="S173" s="4"/>
      <c r="T173" s="4" t="s">
        <v>105</v>
      </c>
      <c r="U173" s="4" t="s">
        <v>106</v>
      </c>
      <c r="V173" s="4" t="s">
        <v>107</v>
      </c>
      <c r="W173" s="4">
        <v>3075</v>
      </c>
      <c r="X173" s="4" t="s">
        <v>42</v>
      </c>
      <c r="Y173" s="4"/>
      <c r="Z173" s="4"/>
      <c r="AA173" s="4"/>
      <c r="AB173" s="4" t="s">
        <v>147</v>
      </c>
      <c r="AC173" s="4" t="s">
        <v>44</v>
      </c>
      <c r="AD173" s="4" t="s">
        <v>45</v>
      </c>
    </row>
    <row r="174" spans="1:30">
      <c r="A174" s="4" t="s">
        <v>30</v>
      </c>
      <c r="B174" s="4"/>
      <c r="C174" s="4">
        <v>510000</v>
      </c>
      <c r="D174" s="4" t="s">
        <v>46</v>
      </c>
      <c r="E174" s="13" t="s">
        <v>704</v>
      </c>
      <c r="F174" s="4" t="s">
        <v>48</v>
      </c>
      <c r="G174" s="4">
        <v>3</v>
      </c>
      <c r="H174" s="4" t="s">
        <v>49</v>
      </c>
      <c r="I174" s="5">
        <v>44964</v>
      </c>
      <c r="J174" s="5">
        <v>45291</v>
      </c>
      <c r="K174" s="4" t="s">
        <v>50</v>
      </c>
      <c r="L174" s="4" t="s">
        <v>51</v>
      </c>
      <c r="M174" s="7">
        <v>11419</v>
      </c>
      <c r="N174" s="16">
        <v>5.0000000000000009</v>
      </c>
      <c r="O174" s="6">
        <v>570.95000000000005</v>
      </c>
      <c r="P174" s="4" t="s">
        <v>37</v>
      </c>
      <c r="Q174" s="1">
        <v>430685</v>
      </c>
      <c r="R174" s="4" t="s">
        <v>52</v>
      </c>
      <c r="S174" s="4"/>
      <c r="T174" s="4" t="s">
        <v>53</v>
      </c>
      <c r="U174" s="4" t="s">
        <v>54</v>
      </c>
      <c r="V174" s="4" t="s">
        <v>55</v>
      </c>
      <c r="W174" s="4">
        <v>3081</v>
      </c>
      <c r="X174" s="4" t="s">
        <v>42</v>
      </c>
      <c r="Y174" s="4"/>
      <c r="Z174" s="4"/>
      <c r="AA174" s="4"/>
      <c r="AB174" s="4"/>
      <c r="AC174" s="4" t="s">
        <v>52</v>
      </c>
      <c r="AD174" s="4" t="s">
        <v>45</v>
      </c>
    </row>
    <row r="175" spans="1:30">
      <c r="A175" s="4" t="s">
        <v>30</v>
      </c>
      <c r="B175" s="4"/>
      <c r="C175" s="4">
        <v>540000</v>
      </c>
      <c r="D175" s="4" t="s">
        <v>56</v>
      </c>
      <c r="E175" s="13" t="s">
        <v>705</v>
      </c>
      <c r="F175" s="4" t="s">
        <v>706</v>
      </c>
      <c r="G175" s="4">
        <v>7</v>
      </c>
      <c r="H175" s="4" t="s">
        <v>59</v>
      </c>
      <c r="I175" s="5">
        <v>44807</v>
      </c>
      <c r="J175" s="5">
        <v>45171</v>
      </c>
      <c r="K175" s="4" t="s">
        <v>50</v>
      </c>
      <c r="L175" s="4" t="s">
        <v>51</v>
      </c>
      <c r="M175" s="7">
        <v>11191</v>
      </c>
      <c r="N175" s="16">
        <v>5</v>
      </c>
      <c r="O175" s="6">
        <v>559.54999999999995</v>
      </c>
      <c r="P175" s="4" t="s">
        <v>60</v>
      </c>
      <c r="Q175" s="1">
        <v>401739</v>
      </c>
      <c r="R175" s="4" t="s">
        <v>520</v>
      </c>
      <c r="S175" s="4"/>
      <c r="T175" s="4" t="s">
        <v>62</v>
      </c>
      <c r="U175" s="4" t="s">
        <v>63</v>
      </c>
      <c r="V175" s="4" t="s">
        <v>64</v>
      </c>
      <c r="W175" s="4">
        <v>3123</v>
      </c>
      <c r="X175" s="4" t="s">
        <v>42</v>
      </c>
      <c r="Y175" s="4"/>
      <c r="Z175" s="4"/>
      <c r="AA175" s="4"/>
      <c r="AB175" s="4"/>
      <c r="AC175" s="4" t="s">
        <v>143</v>
      </c>
      <c r="AD175" s="4" t="s">
        <v>45</v>
      </c>
    </row>
    <row r="176" spans="1:30">
      <c r="A176" s="4" t="s">
        <v>30</v>
      </c>
      <c r="B176" s="4"/>
      <c r="C176" s="4">
        <v>212203</v>
      </c>
      <c r="D176" s="4" t="s">
        <v>99</v>
      </c>
      <c r="E176" s="13" t="s">
        <v>707</v>
      </c>
      <c r="F176" s="4" t="s">
        <v>708</v>
      </c>
      <c r="G176" s="4">
        <v>0</v>
      </c>
      <c r="H176" s="4" t="s">
        <v>221</v>
      </c>
      <c r="I176" s="5">
        <v>45099</v>
      </c>
      <c r="J176" s="5">
        <v>45464</v>
      </c>
      <c r="K176" s="4" t="s">
        <v>199</v>
      </c>
      <c r="L176" s="4" t="s">
        <v>200</v>
      </c>
      <c r="M176" s="7">
        <v>8522</v>
      </c>
      <c r="N176" s="16">
        <v>13.224595165454119</v>
      </c>
      <c r="O176" s="6">
        <v>1127</v>
      </c>
      <c r="P176" s="4" t="s">
        <v>37</v>
      </c>
      <c r="Q176" s="1">
        <v>443833</v>
      </c>
      <c r="R176" s="4" t="s">
        <v>38</v>
      </c>
      <c r="S176" s="4"/>
      <c r="T176" s="4" t="s">
        <v>105</v>
      </c>
      <c r="U176" s="4" t="s">
        <v>106</v>
      </c>
      <c r="V176" s="4" t="s">
        <v>107</v>
      </c>
      <c r="W176" s="4">
        <v>3075</v>
      </c>
      <c r="X176" s="4" t="s">
        <v>42</v>
      </c>
      <c r="Y176" s="4"/>
      <c r="Z176" s="4"/>
      <c r="AA176" s="4" t="s">
        <v>201</v>
      </c>
      <c r="AB176" s="4"/>
      <c r="AC176" s="4" t="s">
        <v>185</v>
      </c>
      <c r="AD176" s="4" t="s">
        <v>45</v>
      </c>
    </row>
    <row r="177" spans="1:30">
      <c r="A177" s="4" t="s">
        <v>30</v>
      </c>
      <c r="B177" s="4"/>
      <c r="C177" s="4">
        <v>510000</v>
      </c>
      <c r="D177" s="4" t="s">
        <v>46</v>
      </c>
      <c r="E177" s="13" t="s">
        <v>709</v>
      </c>
      <c r="F177" s="4" t="s">
        <v>710</v>
      </c>
      <c r="G177" s="4">
        <v>0</v>
      </c>
      <c r="H177" s="4" t="s">
        <v>211</v>
      </c>
      <c r="I177" s="5">
        <v>45093</v>
      </c>
      <c r="J177" s="5">
        <v>45458</v>
      </c>
      <c r="K177" s="4" t="s">
        <v>139</v>
      </c>
      <c r="L177" s="4" t="s">
        <v>140</v>
      </c>
      <c r="M177" s="7">
        <v>12776</v>
      </c>
      <c r="N177" s="16">
        <v>12.5</v>
      </c>
      <c r="O177" s="6">
        <v>1597</v>
      </c>
      <c r="P177" s="4" t="s">
        <v>125</v>
      </c>
      <c r="Q177" s="1" t="s">
        <v>52</v>
      </c>
      <c r="R177" s="4" t="s">
        <v>52</v>
      </c>
      <c r="S177" s="4"/>
      <c r="T177" s="4" t="s">
        <v>259</v>
      </c>
      <c r="U177" s="4" t="s">
        <v>260</v>
      </c>
      <c r="V177" s="4" t="s">
        <v>55</v>
      </c>
      <c r="W177" s="4">
        <v>3081</v>
      </c>
      <c r="X177" s="4" t="s">
        <v>42</v>
      </c>
      <c r="Y177" s="4"/>
      <c r="Z177" s="4" t="s">
        <v>117</v>
      </c>
      <c r="AA177" s="4"/>
      <c r="AB177" s="4"/>
      <c r="AC177" s="4" t="s">
        <v>52</v>
      </c>
      <c r="AD177" s="4" t="s">
        <v>45</v>
      </c>
    </row>
    <row r="178" spans="1:30">
      <c r="A178" s="4" t="s">
        <v>30</v>
      </c>
      <c r="B178" s="4"/>
      <c r="C178" s="4">
        <v>212203</v>
      </c>
      <c r="D178" s="4" t="s">
        <v>99</v>
      </c>
      <c r="E178" s="13" t="s">
        <v>711</v>
      </c>
      <c r="F178" s="4" t="s">
        <v>712</v>
      </c>
      <c r="G178" s="4">
        <v>0</v>
      </c>
      <c r="H178" s="4" t="s">
        <v>280</v>
      </c>
      <c r="I178" s="5">
        <v>45105</v>
      </c>
      <c r="J178" s="5">
        <v>45470</v>
      </c>
      <c r="K178" s="4" t="s">
        <v>103</v>
      </c>
      <c r="L178" s="4" t="s">
        <v>104</v>
      </c>
      <c r="M178" s="7">
        <v>8871</v>
      </c>
      <c r="N178" s="16">
        <v>14.99267275391726</v>
      </c>
      <c r="O178" s="6">
        <v>1330</v>
      </c>
      <c r="P178" s="4" t="s">
        <v>37</v>
      </c>
      <c r="Q178" s="1">
        <v>443975</v>
      </c>
      <c r="R178" s="4" t="s">
        <v>38</v>
      </c>
      <c r="S178" s="4"/>
      <c r="T178" s="4" t="s">
        <v>105</v>
      </c>
      <c r="U178" s="4" t="s">
        <v>106</v>
      </c>
      <c r="V178" s="4" t="s">
        <v>107</v>
      </c>
      <c r="W178" s="4">
        <v>3075</v>
      </c>
      <c r="X178" s="4" t="s">
        <v>42</v>
      </c>
      <c r="Y178" s="4"/>
      <c r="Z178" s="4"/>
      <c r="AA178" s="4"/>
      <c r="AB178" s="4"/>
      <c r="AC178" s="4" t="s">
        <v>44</v>
      </c>
      <c r="AD178" s="4" t="s">
        <v>45</v>
      </c>
    </row>
    <row r="179" spans="1:30">
      <c r="A179" s="4" t="s">
        <v>30</v>
      </c>
      <c r="B179" s="4"/>
      <c r="C179" s="4">
        <v>510000</v>
      </c>
      <c r="D179" s="4" t="s">
        <v>46</v>
      </c>
      <c r="E179" s="13" t="s">
        <v>713</v>
      </c>
      <c r="F179" s="4" t="s">
        <v>714</v>
      </c>
      <c r="G179" s="4">
        <v>2</v>
      </c>
      <c r="H179" s="4" t="s">
        <v>67</v>
      </c>
      <c r="I179" s="5">
        <v>44960</v>
      </c>
      <c r="J179" s="5">
        <v>45324</v>
      </c>
      <c r="K179" s="4" t="s">
        <v>50</v>
      </c>
      <c r="L179" s="4" t="s">
        <v>51</v>
      </c>
      <c r="M179" s="7">
        <v>-31739</v>
      </c>
      <c r="N179" s="16">
        <v>0.50001575348939786</v>
      </c>
      <c r="O179" s="6">
        <v>-158.69999999999999</v>
      </c>
      <c r="P179" s="4" t="s">
        <v>37</v>
      </c>
      <c r="Q179" s="1">
        <v>434030</v>
      </c>
      <c r="R179" s="4" t="s">
        <v>174</v>
      </c>
      <c r="S179" s="4"/>
      <c r="T179" s="4" t="s">
        <v>53</v>
      </c>
      <c r="U179" s="4" t="s">
        <v>54</v>
      </c>
      <c r="V179" s="4" t="s">
        <v>55</v>
      </c>
      <c r="W179" s="4">
        <v>3081</v>
      </c>
      <c r="X179" s="4" t="s">
        <v>42</v>
      </c>
      <c r="Y179" s="4"/>
      <c r="Z179" s="4"/>
      <c r="AA179" s="4"/>
      <c r="AB179" s="4" t="s">
        <v>147</v>
      </c>
      <c r="AC179" s="4" t="s">
        <v>44</v>
      </c>
      <c r="AD179" s="4" t="s">
        <v>45</v>
      </c>
    </row>
    <row r="180" spans="1:30">
      <c r="A180" s="4" t="s">
        <v>30</v>
      </c>
      <c r="B180" s="4"/>
      <c r="C180" s="4">
        <v>510000</v>
      </c>
      <c r="D180" s="4" t="s">
        <v>46</v>
      </c>
      <c r="E180" s="13" t="s">
        <v>715</v>
      </c>
      <c r="F180" s="4" t="s">
        <v>716</v>
      </c>
      <c r="G180" s="4">
        <v>0</v>
      </c>
      <c r="H180" s="4" t="s">
        <v>180</v>
      </c>
      <c r="I180" s="5">
        <v>45090</v>
      </c>
      <c r="J180" s="5">
        <v>45454</v>
      </c>
      <c r="K180" s="4" t="s">
        <v>569</v>
      </c>
      <c r="L180" s="4" t="s">
        <v>570</v>
      </c>
      <c r="M180" s="7">
        <v>133202</v>
      </c>
      <c r="N180" s="16">
        <v>12.499812315130404</v>
      </c>
      <c r="O180" s="6">
        <v>16650</v>
      </c>
      <c r="P180" s="4" t="s">
        <v>37</v>
      </c>
      <c r="Q180" s="1">
        <v>440236</v>
      </c>
      <c r="R180" s="4" t="s">
        <v>38</v>
      </c>
      <c r="S180" s="4"/>
      <c r="T180" s="4" t="s">
        <v>39</v>
      </c>
      <c r="U180" s="4" t="s">
        <v>183</v>
      </c>
      <c r="V180" s="4" t="s">
        <v>55</v>
      </c>
      <c r="W180" s="4">
        <v>3081</v>
      </c>
      <c r="X180" s="4" t="s">
        <v>42</v>
      </c>
      <c r="Y180" s="4"/>
      <c r="Z180" s="4"/>
      <c r="AA180" s="4"/>
      <c r="AB180" s="4" t="s">
        <v>43</v>
      </c>
      <c r="AC180" s="4" t="s">
        <v>44</v>
      </c>
      <c r="AD180" s="4" t="s">
        <v>45</v>
      </c>
    </row>
    <row r="181" spans="1:30">
      <c r="A181" s="4" t="s">
        <v>30</v>
      </c>
      <c r="B181" s="4"/>
      <c r="C181" s="4">
        <v>412300</v>
      </c>
      <c r="D181" s="4" t="s">
        <v>482</v>
      </c>
      <c r="E181" s="13" t="s">
        <v>717</v>
      </c>
      <c r="F181" s="4" t="s">
        <v>718</v>
      </c>
      <c r="G181" s="4">
        <v>12</v>
      </c>
      <c r="H181" s="4" t="s">
        <v>485</v>
      </c>
      <c r="I181" s="5">
        <v>44873</v>
      </c>
      <c r="J181" s="5">
        <v>45237</v>
      </c>
      <c r="K181" s="4" t="s">
        <v>384</v>
      </c>
      <c r="L181" s="4" t="s">
        <v>385</v>
      </c>
      <c r="M181" s="7">
        <v>-112</v>
      </c>
      <c r="N181" s="16">
        <v>7.1428571428571423</v>
      </c>
      <c r="O181" s="6">
        <v>-8</v>
      </c>
      <c r="P181" s="4" t="s">
        <v>151</v>
      </c>
      <c r="Q181" s="1">
        <v>405492</v>
      </c>
      <c r="R181" s="4" t="s">
        <v>246</v>
      </c>
      <c r="S181" s="4"/>
      <c r="T181" s="4" t="s">
        <v>239</v>
      </c>
      <c r="U181" s="4" t="s">
        <v>486</v>
      </c>
      <c r="V181" s="4" t="s">
        <v>487</v>
      </c>
      <c r="W181" s="4">
        <v>3070</v>
      </c>
      <c r="X181" s="4" t="s">
        <v>42</v>
      </c>
      <c r="Y181" s="4"/>
      <c r="Z181" s="4"/>
      <c r="AA181" s="4"/>
      <c r="AB181" s="4"/>
      <c r="AC181" s="4" t="s">
        <v>44</v>
      </c>
      <c r="AD181" s="4" t="s">
        <v>45</v>
      </c>
    </row>
    <row r="182" spans="1:30">
      <c r="A182" s="4" t="s">
        <v>30</v>
      </c>
      <c r="B182" s="4"/>
      <c r="C182" s="4">
        <v>510000</v>
      </c>
      <c r="D182" s="4" t="s">
        <v>46</v>
      </c>
      <c r="E182" s="13" t="s">
        <v>719</v>
      </c>
      <c r="F182" s="4" t="s">
        <v>720</v>
      </c>
      <c r="G182" s="4">
        <v>6</v>
      </c>
      <c r="H182" s="4" t="s">
        <v>379</v>
      </c>
      <c r="I182" s="5">
        <v>44713</v>
      </c>
      <c r="J182" s="5">
        <v>45077</v>
      </c>
      <c r="K182" s="4" t="s">
        <v>50</v>
      </c>
      <c r="L182" s="4" t="s">
        <v>51</v>
      </c>
      <c r="M182" s="7">
        <v>3690</v>
      </c>
      <c r="N182" s="16">
        <v>0</v>
      </c>
      <c r="O182" s="6">
        <v>0</v>
      </c>
      <c r="P182" s="4" t="s">
        <v>37</v>
      </c>
      <c r="Q182" s="1">
        <v>387274</v>
      </c>
      <c r="R182" s="4" t="s">
        <v>52</v>
      </c>
      <c r="S182" s="4"/>
      <c r="T182" s="4" t="s">
        <v>285</v>
      </c>
      <c r="U182" s="4" t="s">
        <v>286</v>
      </c>
      <c r="V182" s="4" t="s">
        <v>55</v>
      </c>
      <c r="W182" s="4">
        <v>3081</v>
      </c>
      <c r="X182" s="4" t="s">
        <v>42</v>
      </c>
      <c r="Y182" s="4"/>
      <c r="Z182" s="4"/>
      <c r="AA182" s="4"/>
      <c r="AB182" s="4"/>
      <c r="AC182" s="4" t="s">
        <v>52</v>
      </c>
      <c r="AD182" s="4" t="s">
        <v>45</v>
      </c>
    </row>
    <row r="183" spans="1:30">
      <c r="A183" s="4" t="s">
        <v>30</v>
      </c>
      <c r="B183" s="4"/>
      <c r="C183" s="4">
        <v>212203</v>
      </c>
      <c r="D183" s="4" t="s">
        <v>99</v>
      </c>
      <c r="E183" s="13" t="s">
        <v>721</v>
      </c>
      <c r="F183" s="4" t="s">
        <v>722</v>
      </c>
      <c r="G183" s="4">
        <v>0</v>
      </c>
      <c r="H183" s="4" t="s">
        <v>265</v>
      </c>
      <c r="I183" s="5">
        <v>45082</v>
      </c>
      <c r="J183" s="5">
        <v>45447</v>
      </c>
      <c r="K183" s="4" t="s">
        <v>199</v>
      </c>
      <c r="L183" s="4" t="s">
        <v>200</v>
      </c>
      <c r="M183" s="7">
        <v>8471</v>
      </c>
      <c r="N183" s="16">
        <v>0</v>
      </c>
      <c r="O183" s="6">
        <v>0</v>
      </c>
      <c r="P183" s="4" t="s">
        <v>37</v>
      </c>
      <c r="Q183" s="1">
        <v>443792</v>
      </c>
      <c r="R183" s="4" t="s">
        <v>38</v>
      </c>
      <c r="S183" s="4"/>
      <c r="T183" s="4" t="s">
        <v>105</v>
      </c>
      <c r="U183" s="4" t="s">
        <v>106</v>
      </c>
      <c r="V183" s="4" t="s">
        <v>107</v>
      </c>
      <c r="W183" s="4">
        <v>3075</v>
      </c>
      <c r="X183" s="4" t="s">
        <v>42</v>
      </c>
      <c r="Y183" s="4"/>
      <c r="Z183" s="4"/>
      <c r="AA183" s="4"/>
      <c r="AB183" s="4" t="s">
        <v>147</v>
      </c>
      <c r="AC183" s="4" t="s">
        <v>44</v>
      </c>
      <c r="AD183" s="4" t="s">
        <v>45</v>
      </c>
    </row>
    <row r="184" spans="1:30">
      <c r="A184" s="4" t="s">
        <v>30</v>
      </c>
      <c r="B184" s="4"/>
      <c r="C184" s="4">
        <v>442600</v>
      </c>
      <c r="D184" s="4" t="s">
        <v>390</v>
      </c>
      <c r="E184" s="13" t="s">
        <v>723</v>
      </c>
      <c r="F184" s="4" t="s">
        <v>724</v>
      </c>
      <c r="G184" s="4">
        <v>0</v>
      </c>
      <c r="H184" s="4" t="s">
        <v>393</v>
      </c>
      <c r="I184" s="5">
        <v>45078</v>
      </c>
      <c r="J184" s="5">
        <v>45169</v>
      </c>
      <c r="K184" s="4" t="s">
        <v>359</v>
      </c>
      <c r="L184" s="4" t="s">
        <v>360</v>
      </c>
      <c r="M184" s="7">
        <v>3000</v>
      </c>
      <c r="N184" s="16">
        <v>12.5</v>
      </c>
      <c r="O184" s="6">
        <v>375</v>
      </c>
      <c r="P184" s="4" t="s">
        <v>95</v>
      </c>
      <c r="Q184" s="1" t="s">
        <v>52</v>
      </c>
      <c r="R184" s="4" t="s">
        <v>52</v>
      </c>
      <c r="S184" s="4"/>
      <c r="T184" s="4" t="s">
        <v>96</v>
      </c>
      <c r="U184" s="4" t="s">
        <v>97</v>
      </c>
      <c r="V184" s="4" t="s">
        <v>396</v>
      </c>
      <c r="W184" s="4">
        <v>3073</v>
      </c>
      <c r="X184" s="4" t="s">
        <v>42</v>
      </c>
      <c r="Y184" s="4"/>
      <c r="Z184" s="4" t="s">
        <v>117</v>
      </c>
      <c r="AA184" s="4"/>
      <c r="AB184" s="4"/>
      <c r="AC184" s="4" t="s">
        <v>52</v>
      </c>
      <c r="AD184" s="4" t="s">
        <v>45</v>
      </c>
    </row>
    <row r="185" spans="1:30">
      <c r="A185" s="4" t="s">
        <v>30</v>
      </c>
      <c r="B185" s="4"/>
      <c r="C185" s="4">
        <v>222105</v>
      </c>
      <c r="D185" s="4" t="s">
        <v>68</v>
      </c>
      <c r="E185" s="13" t="s">
        <v>725</v>
      </c>
      <c r="F185" s="4" t="s">
        <v>726</v>
      </c>
      <c r="G185" s="4">
        <v>0</v>
      </c>
      <c r="H185" s="4" t="s">
        <v>727</v>
      </c>
      <c r="I185" s="5">
        <v>45083</v>
      </c>
      <c r="J185" s="5">
        <v>45448</v>
      </c>
      <c r="K185" s="4" t="s">
        <v>72</v>
      </c>
      <c r="L185" s="4" t="s">
        <v>73</v>
      </c>
      <c r="M185" s="7">
        <v>46372</v>
      </c>
      <c r="N185" s="16">
        <v>5.0008625894936598</v>
      </c>
      <c r="O185" s="6">
        <v>2319</v>
      </c>
      <c r="P185" s="4" t="s">
        <v>37</v>
      </c>
      <c r="Q185" s="1">
        <v>438386</v>
      </c>
      <c r="R185" s="4" t="s">
        <v>38</v>
      </c>
      <c r="S185" s="4"/>
      <c r="T185" s="4" t="s">
        <v>74</v>
      </c>
      <c r="U185" s="4" t="s">
        <v>75</v>
      </c>
      <c r="V185" s="4" t="s">
        <v>76</v>
      </c>
      <c r="W185" s="4">
        <v>3078</v>
      </c>
      <c r="X185" s="4" t="s">
        <v>42</v>
      </c>
      <c r="Y185" s="4"/>
      <c r="Z185" s="4"/>
      <c r="AA185" s="4"/>
      <c r="AB185" s="4" t="s">
        <v>147</v>
      </c>
      <c r="AC185" s="4" t="s">
        <v>44</v>
      </c>
      <c r="AD185" s="4" t="s">
        <v>45</v>
      </c>
    </row>
    <row r="186" spans="1:30">
      <c r="A186" s="4" t="s">
        <v>30</v>
      </c>
      <c r="B186" s="4"/>
      <c r="C186" s="4">
        <v>510000</v>
      </c>
      <c r="D186" s="4" t="s">
        <v>46</v>
      </c>
      <c r="E186" s="13" t="s">
        <v>728</v>
      </c>
      <c r="F186" s="4" t="s">
        <v>436</v>
      </c>
      <c r="G186" s="4">
        <v>7</v>
      </c>
      <c r="H186" s="4" t="s">
        <v>437</v>
      </c>
      <c r="I186" s="5">
        <v>44927</v>
      </c>
      <c r="J186" s="5">
        <v>45291</v>
      </c>
      <c r="K186" s="4" t="s">
        <v>50</v>
      </c>
      <c r="L186" s="4" t="s">
        <v>51</v>
      </c>
      <c r="M186" s="7">
        <v>-115443</v>
      </c>
      <c r="N186" s="16">
        <v>7.500004331141775</v>
      </c>
      <c r="O186" s="6">
        <v>-8658.23</v>
      </c>
      <c r="P186" s="4" t="s">
        <v>37</v>
      </c>
      <c r="Q186" s="1">
        <v>421505</v>
      </c>
      <c r="R186" s="4" t="s">
        <v>174</v>
      </c>
      <c r="S186" s="4"/>
      <c r="T186" s="4" t="s">
        <v>134</v>
      </c>
      <c r="U186" s="4" t="s">
        <v>135</v>
      </c>
      <c r="V186" s="4" t="s">
        <v>55</v>
      </c>
      <c r="W186" s="4">
        <v>3081</v>
      </c>
      <c r="X186" s="4" t="s">
        <v>42</v>
      </c>
      <c r="Y186" s="4"/>
      <c r="Z186" s="4"/>
      <c r="AA186" s="4"/>
      <c r="AB186" s="4"/>
      <c r="AC186" s="4" t="s">
        <v>44</v>
      </c>
      <c r="AD186" s="4" t="s">
        <v>45</v>
      </c>
    </row>
    <row r="187" spans="1:30">
      <c r="A187" s="4" t="s">
        <v>30</v>
      </c>
      <c r="B187" s="4"/>
      <c r="C187" s="4">
        <v>233406</v>
      </c>
      <c r="D187" s="4" t="s">
        <v>729</v>
      </c>
      <c r="E187" s="13" t="s">
        <v>730</v>
      </c>
      <c r="F187" s="4" t="s">
        <v>731</v>
      </c>
      <c r="G187" s="4">
        <v>0</v>
      </c>
      <c r="H187" s="4" t="s">
        <v>732</v>
      </c>
      <c r="I187" s="5">
        <v>45079</v>
      </c>
      <c r="J187" s="5">
        <v>45444</v>
      </c>
      <c r="K187" s="4" t="s">
        <v>394</v>
      </c>
      <c r="L187" s="4" t="s">
        <v>395</v>
      </c>
      <c r="M187" s="7">
        <v>97774</v>
      </c>
      <c r="N187" s="16">
        <v>21.999713625299158</v>
      </c>
      <c r="O187" s="6">
        <v>21510</v>
      </c>
      <c r="P187" s="4" t="s">
        <v>312</v>
      </c>
      <c r="Q187" s="1" t="s">
        <v>52</v>
      </c>
      <c r="R187" s="4" t="s">
        <v>52</v>
      </c>
      <c r="S187" s="4"/>
      <c r="T187" s="4" t="s">
        <v>160</v>
      </c>
      <c r="U187" s="4" t="s">
        <v>160</v>
      </c>
      <c r="V187" s="4" t="s">
        <v>733</v>
      </c>
      <c r="W187" s="4">
        <v>3083</v>
      </c>
      <c r="X187" s="4" t="s">
        <v>42</v>
      </c>
      <c r="Y187" s="4"/>
      <c r="Z187" s="4" t="s">
        <v>117</v>
      </c>
      <c r="AA187" s="4"/>
      <c r="AB187" s="4"/>
      <c r="AC187" s="4" t="s">
        <v>52</v>
      </c>
      <c r="AD187" s="4" t="s">
        <v>45</v>
      </c>
    </row>
    <row r="188" spans="1:30">
      <c r="A188" s="4" t="s">
        <v>30</v>
      </c>
      <c r="B188" s="4"/>
      <c r="C188" s="4">
        <v>212203</v>
      </c>
      <c r="D188" s="4" t="s">
        <v>99</v>
      </c>
      <c r="E188" s="13" t="s">
        <v>734</v>
      </c>
      <c r="F188" s="4" t="s">
        <v>735</v>
      </c>
      <c r="G188" s="4">
        <v>0</v>
      </c>
      <c r="H188" s="4" t="s">
        <v>354</v>
      </c>
      <c r="I188" s="5">
        <v>45088</v>
      </c>
      <c r="J188" s="5">
        <v>45453</v>
      </c>
      <c r="K188" s="4" t="s">
        <v>199</v>
      </c>
      <c r="L188" s="4" t="s">
        <v>200</v>
      </c>
      <c r="M188" s="7">
        <v>8618</v>
      </c>
      <c r="N188" s="16">
        <v>13.239730796008354</v>
      </c>
      <c r="O188" s="6">
        <v>1141</v>
      </c>
      <c r="P188" s="4" t="s">
        <v>37</v>
      </c>
      <c r="Q188" s="1">
        <v>443821</v>
      </c>
      <c r="R188" s="4" t="s">
        <v>38</v>
      </c>
      <c r="S188" s="4"/>
      <c r="T188" s="4" t="s">
        <v>105</v>
      </c>
      <c r="U188" s="4" t="s">
        <v>106</v>
      </c>
      <c r="V188" s="4" t="s">
        <v>107</v>
      </c>
      <c r="W188" s="4">
        <v>3075</v>
      </c>
      <c r="X188" s="4" t="s">
        <v>42</v>
      </c>
      <c r="Y188" s="4"/>
      <c r="Z188" s="4"/>
      <c r="AA188" s="4" t="s">
        <v>201</v>
      </c>
      <c r="AB188" s="4"/>
      <c r="AC188" s="4" t="s">
        <v>185</v>
      </c>
      <c r="AD188" s="4" t="s">
        <v>45</v>
      </c>
    </row>
    <row r="189" spans="1:30">
      <c r="A189" s="4" t="s">
        <v>30</v>
      </c>
      <c r="B189" s="4"/>
      <c r="C189" s="4">
        <v>212203</v>
      </c>
      <c r="D189" s="4" t="s">
        <v>99</v>
      </c>
      <c r="E189" s="13" t="s">
        <v>736</v>
      </c>
      <c r="F189" s="4" t="s">
        <v>687</v>
      </c>
      <c r="G189" s="4">
        <v>1</v>
      </c>
      <c r="H189" s="4" t="s">
        <v>204</v>
      </c>
      <c r="I189" s="5">
        <v>45097</v>
      </c>
      <c r="J189" s="5">
        <v>45097</v>
      </c>
      <c r="K189" s="4" t="s">
        <v>205</v>
      </c>
      <c r="L189" s="4" t="s">
        <v>206</v>
      </c>
      <c r="M189" s="7">
        <v>-9682</v>
      </c>
      <c r="N189" s="16">
        <v>14.996901466639125</v>
      </c>
      <c r="O189" s="6">
        <v>-1452</v>
      </c>
      <c r="P189" s="4" t="s">
        <v>37</v>
      </c>
      <c r="Q189" s="1" t="s">
        <v>207</v>
      </c>
      <c r="R189" s="4" t="s">
        <v>207</v>
      </c>
      <c r="S189" s="4"/>
      <c r="T189" s="4" t="s">
        <v>105</v>
      </c>
      <c r="U189" s="4" t="s">
        <v>106</v>
      </c>
      <c r="V189" s="4" t="s">
        <v>107</v>
      </c>
      <c r="W189" s="4">
        <v>3075</v>
      </c>
      <c r="X189" s="4" t="s">
        <v>42</v>
      </c>
      <c r="Y189" s="4"/>
      <c r="Z189" s="4"/>
      <c r="AA189" s="4"/>
      <c r="AB189" s="4"/>
      <c r="AC189" s="4" t="s">
        <v>207</v>
      </c>
      <c r="AD189" s="4" t="s">
        <v>45</v>
      </c>
    </row>
    <row r="190" spans="1:30">
      <c r="A190" s="4" t="s">
        <v>30</v>
      </c>
      <c r="B190" s="4"/>
      <c r="C190" s="4">
        <v>212203</v>
      </c>
      <c r="D190" s="4" t="s">
        <v>99</v>
      </c>
      <c r="E190" s="13" t="s">
        <v>737</v>
      </c>
      <c r="F190" s="4" t="s">
        <v>738</v>
      </c>
      <c r="G190" s="4">
        <v>0</v>
      </c>
      <c r="H190" s="4" t="s">
        <v>198</v>
      </c>
      <c r="I190" s="5">
        <v>45084</v>
      </c>
      <c r="J190" s="5">
        <v>45449</v>
      </c>
      <c r="K190" s="4" t="s">
        <v>199</v>
      </c>
      <c r="L190" s="4" t="s">
        <v>200</v>
      </c>
      <c r="M190" s="7">
        <v>8706</v>
      </c>
      <c r="N190" s="16">
        <v>13.26671261199173</v>
      </c>
      <c r="O190" s="6">
        <v>1155</v>
      </c>
      <c r="P190" s="4" t="s">
        <v>37</v>
      </c>
      <c r="Q190" s="1">
        <v>443797</v>
      </c>
      <c r="R190" s="4" t="s">
        <v>38</v>
      </c>
      <c r="S190" s="4"/>
      <c r="T190" s="4" t="s">
        <v>105</v>
      </c>
      <c r="U190" s="4" t="s">
        <v>106</v>
      </c>
      <c r="V190" s="4" t="s">
        <v>107</v>
      </c>
      <c r="W190" s="4">
        <v>3075</v>
      </c>
      <c r="X190" s="4" t="s">
        <v>42</v>
      </c>
      <c r="Y190" s="4"/>
      <c r="Z190" s="4"/>
      <c r="AA190" s="4" t="s">
        <v>201</v>
      </c>
      <c r="AB190" s="4"/>
      <c r="AC190" s="4" t="s">
        <v>185</v>
      </c>
      <c r="AD190" s="4" t="s">
        <v>45</v>
      </c>
    </row>
    <row r="191" spans="1:30">
      <c r="A191" s="4" t="s">
        <v>30</v>
      </c>
      <c r="B191" s="4"/>
      <c r="C191" s="4">
        <v>272200</v>
      </c>
      <c r="D191" s="4" t="s">
        <v>208</v>
      </c>
      <c r="E191" s="13" t="s">
        <v>739</v>
      </c>
      <c r="F191" s="4" t="s">
        <v>740</v>
      </c>
      <c r="G191" s="4">
        <v>0</v>
      </c>
      <c r="H191" s="4" t="s">
        <v>741</v>
      </c>
      <c r="I191" s="5">
        <v>45083</v>
      </c>
      <c r="J191" s="5">
        <v>45448</v>
      </c>
      <c r="K191" s="4" t="s">
        <v>199</v>
      </c>
      <c r="L191" s="4" t="s">
        <v>200</v>
      </c>
      <c r="M191" s="7">
        <v>16255</v>
      </c>
      <c r="N191" s="16">
        <v>2.4976930175330665</v>
      </c>
      <c r="O191" s="6">
        <v>406</v>
      </c>
      <c r="P191" s="4" t="s">
        <v>312</v>
      </c>
      <c r="Q191" s="1">
        <v>435966</v>
      </c>
      <c r="R191" s="4" t="s">
        <v>38</v>
      </c>
      <c r="S191" s="4"/>
      <c r="T191" s="4" t="s">
        <v>506</v>
      </c>
      <c r="U191" s="4" t="s">
        <v>507</v>
      </c>
      <c r="V191" s="4" t="s">
        <v>212</v>
      </c>
      <c r="W191" s="4">
        <v>3079</v>
      </c>
      <c r="X191" s="4" t="s">
        <v>42</v>
      </c>
      <c r="Y191" s="4"/>
      <c r="Z191" s="4"/>
      <c r="AA191" s="4"/>
      <c r="AB191" s="4" t="s">
        <v>147</v>
      </c>
      <c r="AC191" s="4" t="s">
        <v>44</v>
      </c>
      <c r="AD191" s="4" t="s">
        <v>45</v>
      </c>
    </row>
    <row r="192" spans="1:30">
      <c r="A192" s="4" t="s">
        <v>30</v>
      </c>
      <c r="B192" s="4"/>
      <c r="C192" s="4">
        <v>212203</v>
      </c>
      <c r="D192" s="4" t="s">
        <v>99</v>
      </c>
      <c r="E192" s="13" t="s">
        <v>742</v>
      </c>
      <c r="F192" s="4" t="s">
        <v>743</v>
      </c>
      <c r="G192" s="4">
        <v>0</v>
      </c>
      <c r="H192" s="4" t="s">
        <v>280</v>
      </c>
      <c r="I192" s="5">
        <v>45105</v>
      </c>
      <c r="J192" s="5">
        <v>45470</v>
      </c>
      <c r="K192" s="4" t="s">
        <v>103</v>
      </c>
      <c r="L192" s="4" t="s">
        <v>104</v>
      </c>
      <c r="M192" s="7">
        <v>8851</v>
      </c>
      <c r="N192" s="16">
        <v>14.992656197039882</v>
      </c>
      <c r="O192" s="6">
        <v>1327</v>
      </c>
      <c r="P192" s="4" t="s">
        <v>37</v>
      </c>
      <c r="Q192" s="1">
        <v>443972</v>
      </c>
      <c r="R192" s="4" t="s">
        <v>38</v>
      </c>
      <c r="S192" s="4"/>
      <c r="T192" s="4" t="s">
        <v>105</v>
      </c>
      <c r="U192" s="4" t="s">
        <v>106</v>
      </c>
      <c r="V192" s="4" t="s">
        <v>107</v>
      </c>
      <c r="W192" s="4">
        <v>3075</v>
      </c>
      <c r="X192" s="4" t="s">
        <v>42</v>
      </c>
      <c r="Y192" s="4"/>
      <c r="Z192" s="4"/>
      <c r="AA192" s="4"/>
      <c r="AB192" s="4"/>
      <c r="AC192" s="4" t="s">
        <v>44</v>
      </c>
      <c r="AD192" s="4" t="s">
        <v>45</v>
      </c>
    </row>
    <row r="193" spans="1:30">
      <c r="A193" s="4" t="s">
        <v>30</v>
      </c>
      <c r="B193" s="4"/>
      <c r="C193" s="4">
        <v>212203</v>
      </c>
      <c r="D193" s="4" t="s">
        <v>99</v>
      </c>
      <c r="E193" s="13" t="s">
        <v>744</v>
      </c>
      <c r="F193" s="4" t="s">
        <v>745</v>
      </c>
      <c r="G193" s="4">
        <v>0</v>
      </c>
      <c r="H193" s="4" t="s">
        <v>280</v>
      </c>
      <c r="I193" s="5">
        <v>45105</v>
      </c>
      <c r="J193" s="5">
        <v>45470</v>
      </c>
      <c r="K193" s="4" t="s">
        <v>103</v>
      </c>
      <c r="L193" s="4" t="s">
        <v>104</v>
      </c>
      <c r="M193" s="7">
        <v>8871</v>
      </c>
      <c r="N193" s="16">
        <v>14.99267275391726</v>
      </c>
      <c r="O193" s="6">
        <v>1330</v>
      </c>
      <c r="P193" s="4" t="s">
        <v>37</v>
      </c>
      <c r="Q193" s="1">
        <v>443976</v>
      </c>
      <c r="R193" s="4" t="s">
        <v>38</v>
      </c>
      <c r="S193" s="4"/>
      <c r="T193" s="4" t="s">
        <v>105</v>
      </c>
      <c r="U193" s="4" t="s">
        <v>106</v>
      </c>
      <c r="V193" s="4" t="s">
        <v>107</v>
      </c>
      <c r="W193" s="4">
        <v>3075</v>
      </c>
      <c r="X193" s="4" t="s">
        <v>42</v>
      </c>
      <c r="Y193" s="4"/>
      <c r="Z193" s="4"/>
      <c r="AA193" s="4"/>
      <c r="AB193" s="4"/>
      <c r="AC193" s="4" t="s">
        <v>44</v>
      </c>
      <c r="AD193" s="4" t="s">
        <v>45</v>
      </c>
    </row>
    <row r="194" spans="1:30">
      <c r="A194" s="4" t="s">
        <v>30</v>
      </c>
      <c r="B194" s="4"/>
      <c r="C194" s="4">
        <v>212203</v>
      </c>
      <c r="D194" s="4" t="s">
        <v>99</v>
      </c>
      <c r="E194" s="13" t="s">
        <v>746</v>
      </c>
      <c r="F194" s="4" t="s">
        <v>747</v>
      </c>
      <c r="G194" s="4">
        <v>0</v>
      </c>
      <c r="H194" s="4" t="s">
        <v>198</v>
      </c>
      <c r="I194" s="5">
        <v>45084</v>
      </c>
      <c r="J194" s="5">
        <v>45449</v>
      </c>
      <c r="K194" s="4" t="s">
        <v>199</v>
      </c>
      <c r="L194" s="4" t="s">
        <v>200</v>
      </c>
      <c r="M194" s="7">
        <v>8706</v>
      </c>
      <c r="N194" s="16">
        <v>13.26671261199173</v>
      </c>
      <c r="O194" s="6">
        <v>1155</v>
      </c>
      <c r="P194" s="4" t="s">
        <v>37</v>
      </c>
      <c r="Q194" s="1">
        <v>443813</v>
      </c>
      <c r="R194" s="4" t="s">
        <v>38</v>
      </c>
      <c r="S194" s="4"/>
      <c r="T194" s="4" t="s">
        <v>105</v>
      </c>
      <c r="U194" s="4" t="s">
        <v>106</v>
      </c>
      <c r="V194" s="4" t="s">
        <v>107</v>
      </c>
      <c r="W194" s="4">
        <v>3075</v>
      </c>
      <c r="X194" s="4" t="s">
        <v>42</v>
      </c>
      <c r="Y194" s="4"/>
      <c r="Z194" s="4"/>
      <c r="AA194" s="4" t="s">
        <v>201</v>
      </c>
      <c r="AB194" s="4"/>
      <c r="AC194" s="4" t="s">
        <v>185</v>
      </c>
      <c r="AD194" s="4" t="s">
        <v>45</v>
      </c>
    </row>
    <row r="195" spans="1:30">
      <c r="A195" s="4" t="s">
        <v>30</v>
      </c>
      <c r="B195" s="4"/>
      <c r="C195" s="4">
        <v>212203</v>
      </c>
      <c r="D195" s="4" t="s">
        <v>99</v>
      </c>
      <c r="E195" s="13" t="s">
        <v>748</v>
      </c>
      <c r="F195" s="4" t="s">
        <v>749</v>
      </c>
      <c r="G195" s="4">
        <v>0</v>
      </c>
      <c r="H195" s="4" t="s">
        <v>198</v>
      </c>
      <c r="I195" s="5">
        <v>45084</v>
      </c>
      <c r="J195" s="5">
        <v>45449</v>
      </c>
      <c r="K195" s="4" t="s">
        <v>199</v>
      </c>
      <c r="L195" s="4" t="s">
        <v>200</v>
      </c>
      <c r="M195" s="7">
        <v>3275</v>
      </c>
      <c r="N195" s="16">
        <v>10.381679389312977</v>
      </c>
      <c r="O195" s="6">
        <v>340</v>
      </c>
      <c r="P195" s="4" t="s">
        <v>37</v>
      </c>
      <c r="Q195" s="1">
        <v>443815</v>
      </c>
      <c r="R195" s="4" t="s">
        <v>38</v>
      </c>
      <c r="S195" s="4"/>
      <c r="T195" s="4" t="s">
        <v>105</v>
      </c>
      <c r="U195" s="4" t="s">
        <v>106</v>
      </c>
      <c r="V195" s="4" t="s">
        <v>107</v>
      </c>
      <c r="W195" s="4">
        <v>3075</v>
      </c>
      <c r="X195" s="4" t="s">
        <v>42</v>
      </c>
      <c r="Y195" s="4"/>
      <c r="Z195" s="4"/>
      <c r="AA195" s="4" t="s">
        <v>201</v>
      </c>
      <c r="AB195" s="4"/>
      <c r="AC195" s="4" t="s">
        <v>185</v>
      </c>
      <c r="AD195" s="4" t="s">
        <v>45</v>
      </c>
    </row>
    <row r="196" spans="1:30">
      <c r="A196" s="4" t="s">
        <v>30</v>
      </c>
      <c r="B196" s="4"/>
      <c r="C196" s="4">
        <v>212203</v>
      </c>
      <c r="D196" s="4" t="s">
        <v>99</v>
      </c>
      <c r="E196" s="13" t="s">
        <v>750</v>
      </c>
      <c r="F196" s="4" t="s">
        <v>751</v>
      </c>
      <c r="G196" s="4">
        <v>0</v>
      </c>
      <c r="H196" s="4" t="s">
        <v>218</v>
      </c>
      <c r="I196" s="5">
        <v>45081</v>
      </c>
      <c r="J196" s="5">
        <v>45446</v>
      </c>
      <c r="K196" s="4" t="s">
        <v>199</v>
      </c>
      <c r="L196" s="4" t="s">
        <v>200</v>
      </c>
      <c r="M196" s="7">
        <v>8512</v>
      </c>
      <c r="N196" s="16">
        <v>0</v>
      </c>
      <c r="O196" s="6">
        <v>0</v>
      </c>
      <c r="P196" s="4" t="s">
        <v>37</v>
      </c>
      <c r="Q196" s="1">
        <v>443786</v>
      </c>
      <c r="R196" s="4" t="s">
        <v>38</v>
      </c>
      <c r="S196" s="4"/>
      <c r="T196" s="4" t="s">
        <v>105</v>
      </c>
      <c r="U196" s="4" t="s">
        <v>106</v>
      </c>
      <c r="V196" s="4" t="s">
        <v>107</v>
      </c>
      <c r="W196" s="4">
        <v>3075</v>
      </c>
      <c r="X196" s="4" t="s">
        <v>42</v>
      </c>
      <c r="Y196" s="4"/>
      <c r="Z196" s="4"/>
      <c r="AA196" s="4"/>
      <c r="AB196" s="4" t="s">
        <v>147</v>
      </c>
      <c r="AC196" s="4" t="s">
        <v>44</v>
      </c>
      <c r="AD196" s="4" t="s">
        <v>45</v>
      </c>
    </row>
    <row r="197" spans="1:30">
      <c r="A197" s="4" t="s">
        <v>30</v>
      </c>
      <c r="B197" s="4"/>
      <c r="C197" s="4">
        <v>510000</v>
      </c>
      <c r="D197" s="4" t="s">
        <v>46</v>
      </c>
      <c r="E197" s="13" t="s">
        <v>752</v>
      </c>
      <c r="F197" s="4" t="s">
        <v>753</v>
      </c>
      <c r="G197" s="4">
        <v>0</v>
      </c>
      <c r="H197" s="4" t="s">
        <v>84</v>
      </c>
      <c r="I197" s="5">
        <v>45078</v>
      </c>
      <c r="J197" s="5">
        <v>45443</v>
      </c>
      <c r="K197" s="4" t="s">
        <v>139</v>
      </c>
      <c r="L197" s="4" t="s">
        <v>140</v>
      </c>
      <c r="M197" s="7">
        <v>13247</v>
      </c>
      <c r="N197" s="16">
        <v>12.500943609873934</v>
      </c>
      <c r="O197" s="6">
        <v>1656</v>
      </c>
      <c r="P197" s="4" t="s">
        <v>37</v>
      </c>
      <c r="Q197" s="1" t="s">
        <v>52</v>
      </c>
      <c r="R197" s="4" t="s">
        <v>52</v>
      </c>
      <c r="S197" s="4"/>
      <c r="T197" s="4" t="s">
        <v>141</v>
      </c>
      <c r="U197" s="4" t="s">
        <v>142</v>
      </c>
      <c r="V197" s="4" t="s">
        <v>55</v>
      </c>
      <c r="W197" s="4">
        <v>3081</v>
      </c>
      <c r="X197" s="4" t="s">
        <v>42</v>
      </c>
      <c r="Y197" s="4"/>
      <c r="Z197" s="4" t="s">
        <v>117</v>
      </c>
      <c r="AA197" s="4"/>
      <c r="AB197" s="4"/>
      <c r="AC197" s="4" t="s">
        <v>52</v>
      </c>
      <c r="AD197" s="4" t="s">
        <v>45</v>
      </c>
    </row>
    <row r="198" spans="1:30">
      <c r="A198" s="4" t="s">
        <v>30</v>
      </c>
      <c r="B198" s="4"/>
      <c r="C198" s="4">
        <v>272200</v>
      </c>
      <c r="D198" s="4" t="s">
        <v>208</v>
      </c>
      <c r="E198" s="13" t="s">
        <v>754</v>
      </c>
      <c r="F198" s="4" t="s">
        <v>755</v>
      </c>
      <c r="G198" s="4">
        <v>0</v>
      </c>
      <c r="H198" s="4" t="s">
        <v>211</v>
      </c>
      <c r="I198" s="5">
        <v>45078</v>
      </c>
      <c r="J198" s="5">
        <v>45443</v>
      </c>
      <c r="K198" s="4" t="s">
        <v>139</v>
      </c>
      <c r="L198" s="4" t="s">
        <v>140</v>
      </c>
      <c r="M198" s="7">
        <v>12981</v>
      </c>
      <c r="N198" s="16">
        <v>12.495185270780372</v>
      </c>
      <c r="O198" s="6">
        <v>1622</v>
      </c>
      <c r="P198" s="4" t="s">
        <v>37</v>
      </c>
      <c r="Q198" s="1" t="s">
        <v>52</v>
      </c>
      <c r="R198" s="4" t="s">
        <v>52</v>
      </c>
      <c r="S198" s="4"/>
      <c r="T198" s="4" t="s">
        <v>141</v>
      </c>
      <c r="U198" s="4" t="s">
        <v>142</v>
      </c>
      <c r="V198" s="4" t="s">
        <v>212</v>
      </c>
      <c r="W198" s="4">
        <v>3079</v>
      </c>
      <c r="X198" s="4" t="s">
        <v>42</v>
      </c>
      <c r="Y198" s="4"/>
      <c r="Z198" s="4" t="s">
        <v>117</v>
      </c>
      <c r="AA198" s="4"/>
      <c r="AB198" s="4"/>
      <c r="AC198" s="4" t="s">
        <v>52</v>
      </c>
      <c r="AD198" s="4" t="s">
        <v>45</v>
      </c>
    </row>
    <row r="199" spans="1:30">
      <c r="A199" s="4" t="s">
        <v>30</v>
      </c>
      <c r="B199" s="4"/>
      <c r="C199" s="4">
        <v>215600</v>
      </c>
      <c r="D199" s="4" t="s">
        <v>129</v>
      </c>
      <c r="E199" s="13" t="s">
        <v>756</v>
      </c>
      <c r="F199" s="4" t="s">
        <v>757</v>
      </c>
      <c r="G199" s="4">
        <v>6</v>
      </c>
      <c r="H199" s="4" t="s">
        <v>758</v>
      </c>
      <c r="I199" s="5">
        <v>44777</v>
      </c>
      <c r="J199" s="5">
        <v>45141</v>
      </c>
      <c r="K199" s="4" t="s">
        <v>50</v>
      </c>
      <c r="L199" s="4" t="s">
        <v>51</v>
      </c>
      <c r="M199" s="7">
        <v>39621</v>
      </c>
      <c r="N199" s="16">
        <v>6.5000126195704295</v>
      </c>
      <c r="O199" s="6">
        <v>2575.37</v>
      </c>
      <c r="P199" s="4" t="s">
        <v>37</v>
      </c>
      <c r="Q199" s="1">
        <v>397244</v>
      </c>
      <c r="R199" s="4" t="s">
        <v>52</v>
      </c>
      <c r="S199" s="4"/>
      <c r="T199" s="4" t="s">
        <v>759</v>
      </c>
      <c r="U199" s="4" t="s">
        <v>371</v>
      </c>
      <c r="V199" s="4" t="s">
        <v>136</v>
      </c>
      <c r="W199" s="4">
        <v>3076</v>
      </c>
      <c r="X199" s="4" t="s">
        <v>42</v>
      </c>
      <c r="Y199" s="4"/>
      <c r="Z199" s="4"/>
      <c r="AA199" s="4"/>
      <c r="AB199" s="4"/>
      <c r="AC199" s="4" t="s">
        <v>52</v>
      </c>
      <c r="AD199" s="4" t="s">
        <v>45</v>
      </c>
    </row>
    <row r="200" spans="1:30">
      <c r="A200" s="4" t="s">
        <v>30</v>
      </c>
      <c r="B200" s="4"/>
      <c r="C200" s="4">
        <v>510000</v>
      </c>
      <c r="D200" s="4" t="s">
        <v>46</v>
      </c>
      <c r="E200" s="13" t="s">
        <v>760</v>
      </c>
      <c r="F200" s="4" t="s">
        <v>761</v>
      </c>
      <c r="G200" s="4">
        <v>2</v>
      </c>
      <c r="H200" s="4" t="s">
        <v>434</v>
      </c>
      <c r="I200" s="5">
        <v>44960</v>
      </c>
      <c r="J200" s="5">
        <v>45324</v>
      </c>
      <c r="K200" s="4" t="s">
        <v>50</v>
      </c>
      <c r="L200" s="4" t="s">
        <v>51</v>
      </c>
      <c r="M200" s="7">
        <v>25733</v>
      </c>
      <c r="N200" s="16">
        <v>0.50001943030350138</v>
      </c>
      <c r="O200" s="6">
        <v>128.66999999999999</v>
      </c>
      <c r="P200" s="4" t="s">
        <v>37</v>
      </c>
      <c r="Q200" s="1">
        <v>432602</v>
      </c>
      <c r="R200" s="4" t="s">
        <v>52</v>
      </c>
      <c r="S200" s="4"/>
      <c r="T200" s="4" t="s">
        <v>53</v>
      </c>
      <c r="U200" s="4" t="s">
        <v>54</v>
      </c>
      <c r="V200" s="4" t="s">
        <v>55</v>
      </c>
      <c r="W200" s="4">
        <v>3081</v>
      </c>
      <c r="X200" s="4" t="s">
        <v>42</v>
      </c>
      <c r="Y200" s="4"/>
      <c r="Z200" s="4"/>
      <c r="AA200" s="4"/>
      <c r="AB200" s="4"/>
      <c r="AC200" s="4" t="s">
        <v>52</v>
      </c>
      <c r="AD200" s="4" t="s">
        <v>45</v>
      </c>
    </row>
    <row r="201" spans="1:30">
      <c r="A201" s="4" t="s">
        <v>30</v>
      </c>
      <c r="B201" s="4"/>
      <c r="C201" s="4">
        <v>431500</v>
      </c>
      <c r="D201" s="4" t="s">
        <v>380</v>
      </c>
      <c r="E201" s="13" t="s">
        <v>762</v>
      </c>
      <c r="F201" s="4" t="s">
        <v>763</v>
      </c>
      <c r="G201" s="4">
        <v>4</v>
      </c>
      <c r="H201" s="4" t="s">
        <v>383</v>
      </c>
      <c r="I201" s="5">
        <v>45000</v>
      </c>
      <c r="J201" s="5">
        <v>45365</v>
      </c>
      <c r="K201" s="4" t="s">
        <v>50</v>
      </c>
      <c r="L201" s="4" t="s">
        <v>51</v>
      </c>
      <c r="M201" s="7">
        <v>3767</v>
      </c>
      <c r="N201" s="16">
        <v>7.5001327316166702</v>
      </c>
      <c r="O201" s="6">
        <v>282.52999999999997</v>
      </c>
      <c r="P201" s="4" t="s">
        <v>386</v>
      </c>
      <c r="Q201" s="1">
        <v>424815</v>
      </c>
      <c r="R201" s="4" t="s">
        <v>52</v>
      </c>
      <c r="S201" s="4"/>
      <c r="T201" s="4" t="s">
        <v>387</v>
      </c>
      <c r="U201" s="4" t="s">
        <v>388</v>
      </c>
      <c r="V201" s="4" t="s">
        <v>389</v>
      </c>
      <c r="W201" s="4">
        <v>3082</v>
      </c>
      <c r="X201" s="4" t="s">
        <v>42</v>
      </c>
      <c r="Y201" s="4"/>
      <c r="Z201" s="4"/>
      <c r="AA201" s="4"/>
      <c r="AB201" s="4"/>
      <c r="AC201" s="4" t="s">
        <v>52</v>
      </c>
      <c r="AD201" s="4" t="s">
        <v>45</v>
      </c>
    </row>
    <row r="202" spans="1:30">
      <c r="A202" s="4" t="s">
        <v>30</v>
      </c>
      <c r="B202" s="4"/>
      <c r="C202" s="4">
        <v>411400</v>
      </c>
      <c r="D202" s="4" t="s">
        <v>497</v>
      </c>
      <c r="E202" s="13" t="s">
        <v>764</v>
      </c>
      <c r="F202" s="4" t="s">
        <v>499</v>
      </c>
      <c r="G202" s="4">
        <v>2</v>
      </c>
      <c r="H202" s="4" t="s">
        <v>500</v>
      </c>
      <c r="I202" s="5">
        <v>44964</v>
      </c>
      <c r="J202" s="5">
        <v>45328</v>
      </c>
      <c r="K202" s="4" t="s">
        <v>384</v>
      </c>
      <c r="L202" s="4" t="s">
        <v>385</v>
      </c>
      <c r="M202" s="7">
        <v>374</v>
      </c>
      <c r="N202" s="16">
        <v>7.5</v>
      </c>
      <c r="O202" s="6">
        <v>28.05</v>
      </c>
      <c r="P202" s="4" t="s">
        <v>151</v>
      </c>
      <c r="Q202" s="1">
        <v>416843</v>
      </c>
      <c r="R202" s="4" t="s">
        <v>52</v>
      </c>
      <c r="S202" s="4"/>
      <c r="T202" s="4" t="s">
        <v>337</v>
      </c>
      <c r="U202" s="4" t="s">
        <v>501</v>
      </c>
      <c r="V202" s="4" t="s">
        <v>502</v>
      </c>
      <c r="W202" s="4">
        <v>3099</v>
      </c>
      <c r="X202" s="4" t="s">
        <v>42</v>
      </c>
      <c r="Y202" s="4"/>
      <c r="Z202" s="4"/>
      <c r="AA202" s="4"/>
      <c r="AB202" s="4"/>
      <c r="AC202" s="4" t="s">
        <v>52</v>
      </c>
      <c r="AD202" s="4" t="s">
        <v>45</v>
      </c>
    </row>
    <row r="203" spans="1:30">
      <c r="A203" s="4" t="s">
        <v>30</v>
      </c>
      <c r="B203" s="4"/>
      <c r="C203" s="4">
        <v>233600</v>
      </c>
      <c r="D203" s="4" t="s">
        <v>644</v>
      </c>
      <c r="E203" s="13" t="s">
        <v>765</v>
      </c>
      <c r="F203" s="4" t="s">
        <v>766</v>
      </c>
      <c r="G203" s="4">
        <v>11</v>
      </c>
      <c r="H203" s="4" t="s">
        <v>647</v>
      </c>
      <c r="I203" s="5">
        <v>44982</v>
      </c>
      <c r="J203" s="5">
        <v>45346</v>
      </c>
      <c r="K203" s="4" t="s">
        <v>767</v>
      </c>
      <c r="L203" s="4" t="s">
        <v>768</v>
      </c>
      <c r="M203" s="7">
        <v>85233</v>
      </c>
      <c r="N203" s="16">
        <v>7.4994427041169498</v>
      </c>
      <c r="O203" s="6">
        <v>6392</v>
      </c>
      <c r="P203" s="4" t="s">
        <v>95</v>
      </c>
      <c r="Q203" s="1">
        <v>421681</v>
      </c>
      <c r="R203" s="4" t="s">
        <v>52</v>
      </c>
      <c r="S203" s="4"/>
      <c r="T203" s="4" t="s">
        <v>247</v>
      </c>
      <c r="U203" s="4" t="s">
        <v>648</v>
      </c>
      <c r="V203" s="4" t="s">
        <v>649</v>
      </c>
      <c r="W203" s="4">
        <v>3084</v>
      </c>
      <c r="X203" s="4" t="s">
        <v>42</v>
      </c>
      <c r="Y203" s="4"/>
      <c r="Z203" s="4"/>
      <c r="AA203" s="4"/>
      <c r="AB203" s="4"/>
      <c r="AC203" s="4" t="s">
        <v>52</v>
      </c>
      <c r="AD203" s="4" t="s">
        <v>45</v>
      </c>
    </row>
    <row r="204" spans="1:30">
      <c r="A204" s="4" t="s">
        <v>30</v>
      </c>
      <c r="B204" s="4"/>
      <c r="C204" s="4">
        <v>510000</v>
      </c>
      <c r="D204" s="4" t="s">
        <v>46</v>
      </c>
      <c r="E204" s="13" t="s">
        <v>769</v>
      </c>
      <c r="F204" s="4" t="s">
        <v>770</v>
      </c>
      <c r="G204" s="4">
        <v>0</v>
      </c>
      <c r="H204" s="4" t="s">
        <v>84</v>
      </c>
      <c r="I204" s="5">
        <v>45078</v>
      </c>
      <c r="J204" s="5">
        <v>45443</v>
      </c>
      <c r="K204" s="4" t="s">
        <v>326</v>
      </c>
      <c r="L204" s="4" t="s">
        <v>327</v>
      </c>
      <c r="M204" s="7">
        <v>12739058</v>
      </c>
      <c r="N204" s="16">
        <v>16.499987675697842</v>
      </c>
      <c r="O204" s="6">
        <v>2101943</v>
      </c>
      <c r="P204" s="4" t="s">
        <v>37</v>
      </c>
      <c r="Q204" s="2">
        <v>444350</v>
      </c>
      <c r="R204" s="2">
        <v>0</v>
      </c>
      <c r="S204" s="4"/>
      <c r="T204" s="4" t="s">
        <v>87</v>
      </c>
      <c r="U204" s="4" t="s">
        <v>88</v>
      </c>
      <c r="V204" s="4" t="s">
        <v>55</v>
      </c>
      <c r="W204" s="4">
        <v>3081</v>
      </c>
      <c r="X204" s="4" t="s">
        <v>42</v>
      </c>
      <c r="Y204" s="4"/>
      <c r="Z204" s="4" t="s">
        <v>117</v>
      </c>
      <c r="AA204" s="4"/>
      <c r="AB204" s="4"/>
      <c r="AC204" s="4" t="s">
        <v>771</v>
      </c>
      <c r="AD204" s="4" t="s">
        <v>45</v>
      </c>
    </row>
    <row r="205" spans="1:30">
      <c r="A205" s="4" t="s">
        <v>30</v>
      </c>
      <c r="B205" s="4"/>
      <c r="C205" s="4">
        <v>272200</v>
      </c>
      <c r="D205" s="4" t="s">
        <v>208</v>
      </c>
      <c r="E205" s="13" t="s">
        <v>772</v>
      </c>
      <c r="F205" s="4" t="s">
        <v>773</v>
      </c>
      <c r="G205" s="4">
        <v>0</v>
      </c>
      <c r="H205" s="4" t="s">
        <v>211</v>
      </c>
      <c r="I205" s="5">
        <v>45089</v>
      </c>
      <c r="J205" s="5">
        <v>45454</v>
      </c>
      <c r="K205" s="4" t="s">
        <v>139</v>
      </c>
      <c r="L205" s="4" t="s">
        <v>140</v>
      </c>
      <c r="M205" s="7">
        <v>12981</v>
      </c>
      <c r="N205" s="16">
        <v>12.495185270780372</v>
      </c>
      <c r="O205" s="6">
        <v>1622</v>
      </c>
      <c r="P205" s="4" t="s">
        <v>37</v>
      </c>
      <c r="Q205" s="1" t="s">
        <v>52</v>
      </c>
      <c r="R205" s="4" t="s">
        <v>52</v>
      </c>
      <c r="S205" s="4"/>
      <c r="T205" s="4" t="s">
        <v>141</v>
      </c>
      <c r="U205" s="4" t="s">
        <v>142</v>
      </c>
      <c r="V205" s="4" t="s">
        <v>212</v>
      </c>
      <c r="W205" s="4">
        <v>3079</v>
      </c>
      <c r="X205" s="4" t="s">
        <v>42</v>
      </c>
      <c r="Y205" s="4"/>
      <c r="Z205" s="4" t="s">
        <v>117</v>
      </c>
      <c r="AA205" s="4"/>
      <c r="AB205" s="4"/>
      <c r="AC205" s="4" t="s">
        <v>52</v>
      </c>
      <c r="AD205" s="4" t="s">
        <v>45</v>
      </c>
    </row>
    <row r="206" spans="1:30">
      <c r="A206" s="4" t="s">
        <v>30</v>
      </c>
      <c r="B206" s="4"/>
      <c r="C206" s="4">
        <v>423100</v>
      </c>
      <c r="D206" s="4" t="s">
        <v>774</v>
      </c>
      <c r="E206" s="13" t="s">
        <v>775</v>
      </c>
      <c r="F206" s="4" t="s">
        <v>776</v>
      </c>
      <c r="G206" s="4">
        <v>0</v>
      </c>
      <c r="H206" s="4" t="s">
        <v>777</v>
      </c>
      <c r="I206" s="5">
        <v>45093</v>
      </c>
      <c r="J206" s="5">
        <v>45458</v>
      </c>
      <c r="K206" s="4" t="s">
        <v>364</v>
      </c>
      <c r="L206" s="4" t="s">
        <v>365</v>
      </c>
      <c r="M206" s="7">
        <v>4524</v>
      </c>
      <c r="N206" s="16">
        <v>29.995579133510166</v>
      </c>
      <c r="O206" s="6">
        <v>1357</v>
      </c>
      <c r="P206" s="4" t="s">
        <v>60</v>
      </c>
      <c r="Q206" s="1" t="s">
        <v>52</v>
      </c>
      <c r="R206" s="4" t="s">
        <v>52</v>
      </c>
      <c r="S206" s="4"/>
      <c r="T206" s="4" t="s">
        <v>160</v>
      </c>
      <c r="U206" s="4" t="s">
        <v>160</v>
      </c>
      <c r="V206" s="4" t="s">
        <v>778</v>
      </c>
      <c r="W206" s="4">
        <v>3067</v>
      </c>
      <c r="X206" s="4" t="s">
        <v>42</v>
      </c>
      <c r="Y206" s="4"/>
      <c r="Z206" s="4" t="s">
        <v>117</v>
      </c>
      <c r="AA206" s="4"/>
      <c r="AB206" s="4"/>
      <c r="AC206" s="4" t="s">
        <v>52</v>
      </c>
      <c r="AD206" s="4" t="s">
        <v>45</v>
      </c>
    </row>
    <row r="207" spans="1:30">
      <c r="A207" s="4" t="s">
        <v>30</v>
      </c>
      <c r="B207" s="4"/>
      <c r="C207" s="4">
        <v>540000</v>
      </c>
      <c r="D207" s="4" t="s">
        <v>56</v>
      </c>
      <c r="E207" s="13" t="s">
        <v>779</v>
      </c>
      <c r="F207" s="4" t="s">
        <v>780</v>
      </c>
      <c r="G207" s="4">
        <v>2</v>
      </c>
      <c r="H207" s="4" t="s">
        <v>532</v>
      </c>
      <c r="I207" s="5">
        <v>44786</v>
      </c>
      <c r="J207" s="5">
        <v>45150</v>
      </c>
      <c r="K207" s="4" t="s">
        <v>384</v>
      </c>
      <c r="L207" s="4" t="s">
        <v>385</v>
      </c>
      <c r="M207" s="7">
        <v>583</v>
      </c>
      <c r="N207" s="16">
        <v>7.5471698113207548</v>
      </c>
      <c r="O207" s="6">
        <v>44</v>
      </c>
      <c r="P207" s="4" t="s">
        <v>60</v>
      </c>
      <c r="Q207" s="1">
        <v>401715</v>
      </c>
      <c r="R207" s="4" t="s">
        <v>52</v>
      </c>
      <c r="S207" s="4"/>
      <c r="T207" s="4" t="s">
        <v>62</v>
      </c>
      <c r="U207" s="4" t="s">
        <v>533</v>
      </c>
      <c r="V207" s="4" t="s">
        <v>64</v>
      </c>
      <c r="W207" s="4">
        <v>3123</v>
      </c>
      <c r="X207" s="4" t="s">
        <v>42</v>
      </c>
      <c r="Y207" s="4"/>
      <c r="Z207" s="4"/>
      <c r="AA207" s="4"/>
      <c r="AB207" s="4"/>
      <c r="AC207" s="4" t="s">
        <v>52</v>
      </c>
      <c r="AD207" s="4" t="s">
        <v>45</v>
      </c>
    </row>
    <row r="208" spans="1:30">
      <c r="A208" s="4" t="s">
        <v>30</v>
      </c>
      <c r="B208" s="4"/>
      <c r="C208" s="4">
        <v>272300</v>
      </c>
      <c r="D208" s="4" t="s">
        <v>31</v>
      </c>
      <c r="E208" s="13" t="s">
        <v>781</v>
      </c>
      <c r="F208" s="4" t="s">
        <v>782</v>
      </c>
      <c r="G208" s="4">
        <v>0</v>
      </c>
      <c r="H208" s="4" t="s">
        <v>34</v>
      </c>
      <c r="I208" s="5">
        <v>45108</v>
      </c>
      <c r="J208" s="5">
        <v>45473</v>
      </c>
      <c r="K208" s="4" t="s">
        <v>359</v>
      </c>
      <c r="L208" s="4" t="s">
        <v>360</v>
      </c>
      <c r="M208" s="7">
        <v>3000</v>
      </c>
      <c r="N208" s="16">
        <v>16.566666666666666</v>
      </c>
      <c r="O208" s="6">
        <v>497</v>
      </c>
      <c r="P208" s="4" t="s">
        <v>37</v>
      </c>
      <c r="Q208" s="1">
        <v>441578</v>
      </c>
      <c r="R208" s="4" t="s">
        <v>38</v>
      </c>
      <c r="S208" s="4"/>
      <c r="T208" s="4" t="s">
        <v>39</v>
      </c>
      <c r="U208" s="4" t="s">
        <v>40</v>
      </c>
      <c r="V208" s="4" t="s">
        <v>41</v>
      </c>
      <c r="W208" s="4">
        <v>3080</v>
      </c>
      <c r="X208" s="4" t="s">
        <v>42</v>
      </c>
      <c r="Y208" s="4"/>
      <c r="Z208" s="4"/>
      <c r="AA208" s="4"/>
      <c r="AB208" s="4" t="s">
        <v>43</v>
      </c>
      <c r="AC208" s="4" t="s">
        <v>44</v>
      </c>
      <c r="AD208" s="4" t="s">
        <v>45</v>
      </c>
    </row>
    <row r="209" spans="1:30">
      <c r="A209" s="4" t="s">
        <v>30</v>
      </c>
      <c r="B209" s="4"/>
      <c r="C209" s="4">
        <v>510000</v>
      </c>
      <c r="D209" s="4" t="s">
        <v>46</v>
      </c>
      <c r="E209" s="13" t="s">
        <v>783</v>
      </c>
      <c r="F209" s="4" t="s">
        <v>784</v>
      </c>
      <c r="G209" s="4">
        <v>3</v>
      </c>
      <c r="H209" s="4" t="s">
        <v>652</v>
      </c>
      <c r="I209" s="5">
        <v>45017</v>
      </c>
      <c r="J209" s="5">
        <v>45382</v>
      </c>
      <c r="K209" s="4" t="s">
        <v>50</v>
      </c>
      <c r="L209" s="4" t="s">
        <v>51</v>
      </c>
      <c r="M209" s="7">
        <v>20489</v>
      </c>
      <c r="N209" s="16">
        <v>0</v>
      </c>
      <c r="O209" s="6">
        <v>0</v>
      </c>
      <c r="P209" s="4" t="s">
        <v>37</v>
      </c>
      <c r="Q209" s="1">
        <v>435884</v>
      </c>
      <c r="R209" s="4" t="s">
        <v>174</v>
      </c>
      <c r="S209" s="4"/>
      <c r="T209" s="4" t="s">
        <v>134</v>
      </c>
      <c r="U209" s="4" t="s">
        <v>135</v>
      </c>
      <c r="V209" s="4" t="s">
        <v>55</v>
      </c>
      <c r="W209" s="4">
        <v>3081</v>
      </c>
      <c r="X209" s="4" t="s">
        <v>42</v>
      </c>
      <c r="Y209" s="4"/>
      <c r="Z209" s="4"/>
      <c r="AA209" s="4"/>
      <c r="AB209" s="4"/>
      <c r="AC209" s="4" t="s">
        <v>44</v>
      </c>
      <c r="AD209" s="4" t="s">
        <v>45</v>
      </c>
    </row>
    <row r="210" spans="1:30">
      <c r="A210" s="4" t="s">
        <v>30</v>
      </c>
      <c r="B210" s="4"/>
      <c r="C210" s="4">
        <v>212203</v>
      </c>
      <c r="D210" s="4" t="s">
        <v>99</v>
      </c>
      <c r="E210" s="13" t="s">
        <v>785</v>
      </c>
      <c r="F210" s="4" t="s">
        <v>599</v>
      </c>
      <c r="G210" s="4">
        <v>1</v>
      </c>
      <c r="H210" s="4" t="s">
        <v>204</v>
      </c>
      <c r="I210" s="5">
        <v>45097</v>
      </c>
      <c r="J210" s="5">
        <v>45097</v>
      </c>
      <c r="K210" s="4" t="s">
        <v>205</v>
      </c>
      <c r="L210" s="4" t="s">
        <v>206</v>
      </c>
      <c r="M210" s="7">
        <v>-9682</v>
      </c>
      <c r="N210" s="16">
        <v>14.996901466639125</v>
      </c>
      <c r="O210" s="6">
        <v>-1452</v>
      </c>
      <c r="P210" s="4" t="s">
        <v>37</v>
      </c>
      <c r="Q210" s="1" t="s">
        <v>207</v>
      </c>
      <c r="R210" s="4" t="s">
        <v>207</v>
      </c>
      <c r="S210" s="4"/>
      <c r="T210" s="4" t="s">
        <v>105</v>
      </c>
      <c r="U210" s="4" t="s">
        <v>106</v>
      </c>
      <c r="V210" s="4" t="s">
        <v>107</v>
      </c>
      <c r="W210" s="4">
        <v>3075</v>
      </c>
      <c r="X210" s="4" t="s">
        <v>42</v>
      </c>
      <c r="Y210" s="4"/>
      <c r="Z210" s="4"/>
      <c r="AA210" s="4"/>
      <c r="AB210" s="4"/>
      <c r="AC210" s="4" t="s">
        <v>207</v>
      </c>
      <c r="AD210" s="4" t="s">
        <v>45</v>
      </c>
    </row>
    <row r="211" spans="1:30">
      <c r="A211" s="4" t="s">
        <v>30</v>
      </c>
      <c r="B211" s="4"/>
      <c r="C211" s="4">
        <v>510000</v>
      </c>
      <c r="D211" s="4" t="s">
        <v>46</v>
      </c>
      <c r="E211" s="13" t="s">
        <v>786</v>
      </c>
      <c r="F211" s="4" t="s">
        <v>787</v>
      </c>
      <c r="G211" s="4">
        <v>4</v>
      </c>
      <c r="H211" s="4" t="s">
        <v>788</v>
      </c>
      <c r="I211" s="5">
        <v>44964</v>
      </c>
      <c r="J211" s="5">
        <v>45291</v>
      </c>
      <c r="K211" s="4" t="s">
        <v>50</v>
      </c>
      <c r="L211" s="4" t="s">
        <v>51</v>
      </c>
      <c r="M211" s="7">
        <v>20023</v>
      </c>
      <c r="N211" s="16">
        <v>5</v>
      </c>
      <c r="O211" s="6">
        <v>1001.15</v>
      </c>
      <c r="P211" s="4" t="s">
        <v>37</v>
      </c>
      <c r="Q211" s="1">
        <v>430631</v>
      </c>
      <c r="R211" s="4" t="s">
        <v>52</v>
      </c>
      <c r="S211" s="4"/>
      <c r="T211" s="4" t="s">
        <v>53</v>
      </c>
      <c r="U211" s="4" t="s">
        <v>54</v>
      </c>
      <c r="V211" s="4" t="s">
        <v>55</v>
      </c>
      <c r="W211" s="4">
        <v>3081</v>
      </c>
      <c r="X211" s="4" t="s">
        <v>42</v>
      </c>
      <c r="Y211" s="4"/>
      <c r="Z211" s="4"/>
      <c r="AA211" s="4"/>
      <c r="AB211" s="4"/>
      <c r="AC211" s="4" t="s">
        <v>52</v>
      </c>
      <c r="AD211" s="4" t="s">
        <v>45</v>
      </c>
    </row>
    <row r="212" spans="1:30">
      <c r="A212" s="4" t="s">
        <v>30</v>
      </c>
      <c r="B212" s="4"/>
      <c r="C212" s="4">
        <v>222105</v>
      </c>
      <c r="D212" s="4" t="s">
        <v>68</v>
      </c>
      <c r="E212" s="13" t="s">
        <v>789</v>
      </c>
      <c r="F212" s="4" t="s">
        <v>790</v>
      </c>
      <c r="G212" s="4">
        <v>0</v>
      </c>
      <c r="H212" s="4" t="s">
        <v>791</v>
      </c>
      <c r="I212" s="5">
        <v>45098</v>
      </c>
      <c r="J212" s="5">
        <v>45463</v>
      </c>
      <c r="K212" s="4" t="s">
        <v>72</v>
      </c>
      <c r="L212" s="4" t="s">
        <v>73</v>
      </c>
      <c r="M212" s="7">
        <v>37491</v>
      </c>
      <c r="N212" s="16">
        <v>15.000933557387105</v>
      </c>
      <c r="O212" s="6">
        <v>5624</v>
      </c>
      <c r="P212" s="4" t="s">
        <v>37</v>
      </c>
      <c r="Q212" s="1">
        <v>441061</v>
      </c>
      <c r="R212" s="4" t="s">
        <v>38</v>
      </c>
      <c r="S212" s="4"/>
      <c r="T212" s="4" t="s">
        <v>74</v>
      </c>
      <c r="U212" s="4" t="s">
        <v>75</v>
      </c>
      <c r="V212" s="4" t="s">
        <v>76</v>
      </c>
      <c r="W212" s="4">
        <v>3078</v>
      </c>
      <c r="X212" s="4" t="s">
        <v>42</v>
      </c>
      <c r="Y212" s="4"/>
      <c r="Z212" s="4"/>
      <c r="AA212" s="4"/>
      <c r="AB212" s="4"/>
      <c r="AC212" s="4" t="s">
        <v>44</v>
      </c>
      <c r="AD212" s="4" t="s">
        <v>45</v>
      </c>
    </row>
    <row r="213" spans="1:30">
      <c r="A213" s="4" t="s">
        <v>30</v>
      </c>
      <c r="B213" s="4"/>
      <c r="C213" s="4">
        <v>540000</v>
      </c>
      <c r="D213" s="4" t="s">
        <v>56</v>
      </c>
      <c r="E213" s="13" t="s">
        <v>792</v>
      </c>
      <c r="F213" s="4" t="s">
        <v>793</v>
      </c>
      <c r="G213" s="4">
        <v>5</v>
      </c>
      <c r="H213" s="4" t="s">
        <v>519</v>
      </c>
      <c r="I213" s="5">
        <v>44964</v>
      </c>
      <c r="J213" s="5">
        <v>45328</v>
      </c>
      <c r="K213" s="4" t="s">
        <v>384</v>
      </c>
      <c r="L213" s="4" t="s">
        <v>385</v>
      </c>
      <c r="M213" s="7">
        <v>3961</v>
      </c>
      <c r="N213" s="16">
        <v>7.4981065387528405</v>
      </c>
      <c r="O213" s="6">
        <v>297</v>
      </c>
      <c r="P213" s="4" t="s">
        <v>60</v>
      </c>
      <c r="Q213" s="1">
        <v>418819</v>
      </c>
      <c r="R213" s="4" t="s">
        <v>416</v>
      </c>
      <c r="S213" s="4"/>
      <c r="T213" s="4" t="s">
        <v>80</v>
      </c>
      <c r="U213" s="4" t="s">
        <v>521</v>
      </c>
      <c r="V213" s="4" t="s">
        <v>64</v>
      </c>
      <c r="W213" s="4">
        <v>3123</v>
      </c>
      <c r="X213" s="4" t="s">
        <v>42</v>
      </c>
      <c r="Y213" s="4"/>
      <c r="Z213" s="4"/>
      <c r="AA213" s="4"/>
      <c r="AB213" s="4"/>
      <c r="AC213" s="4" t="s">
        <v>143</v>
      </c>
      <c r="AD213" s="4" t="s">
        <v>45</v>
      </c>
    </row>
    <row r="214" spans="1:30">
      <c r="A214" s="4" t="s">
        <v>30</v>
      </c>
      <c r="B214" s="4"/>
      <c r="C214" s="4">
        <v>212203</v>
      </c>
      <c r="D214" s="4" t="s">
        <v>99</v>
      </c>
      <c r="E214" s="13" t="s">
        <v>794</v>
      </c>
      <c r="F214" s="4" t="s">
        <v>795</v>
      </c>
      <c r="G214" s="4">
        <v>0</v>
      </c>
      <c r="H214" s="4" t="s">
        <v>204</v>
      </c>
      <c r="I214" s="5">
        <v>45098</v>
      </c>
      <c r="J214" s="5">
        <v>45463</v>
      </c>
      <c r="K214" s="4" t="s">
        <v>205</v>
      </c>
      <c r="L214" s="4" t="s">
        <v>206</v>
      </c>
      <c r="M214" s="7">
        <v>8870</v>
      </c>
      <c r="N214" s="16">
        <v>15.005636978579481</v>
      </c>
      <c r="O214" s="6">
        <v>1331</v>
      </c>
      <c r="P214" s="4" t="s">
        <v>37</v>
      </c>
      <c r="Q214" s="1">
        <v>443945</v>
      </c>
      <c r="R214" s="4" t="s">
        <v>38</v>
      </c>
      <c r="S214" s="4"/>
      <c r="T214" s="4" t="s">
        <v>105</v>
      </c>
      <c r="U214" s="4" t="s">
        <v>106</v>
      </c>
      <c r="V214" s="4" t="s">
        <v>107</v>
      </c>
      <c r="W214" s="4">
        <v>3075</v>
      </c>
      <c r="X214" s="4" t="s">
        <v>42</v>
      </c>
      <c r="Y214" s="4"/>
      <c r="Z214" s="4"/>
      <c r="AA214" s="4"/>
      <c r="AB214" s="4"/>
      <c r="AC214" s="4" t="s">
        <v>44</v>
      </c>
      <c r="AD214" s="4" t="s">
        <v>45</v>
      </c>
    </row>
    <row r="215" spans="1:30">
      <c r="A215" s="4" t="s">
        <v>30</v>
      </c>
      <c r="B215" s="4"/>
      <c r="C215" s="4">
        <v>510000</v>
      </c>
      <c r="D215" s="4" t="s">
        <v>46</v>
      </c>
      <c r="E215" s="13" t="s">
        <v>796</v>
      </c>
      <c r="F215" s="4" t="s">
        <v>797</v>
      </c>
      <c r="G215" s="4">
        <v>11</v>
      </c>
      <c r="H215" s="4" t="s">
        <v>233</v>
      </c>
      <c r="I215" s="5">
        <v>44681</v>
      </c>
      <c r="J215" s="5">
        <v>45045</v>
      </c>
      <c r="K215" s="4" t="s">
        <v>50</v>
      </c>
      <c r="L215" s="4" t="s">
        <v>51</v>
      </c>
      <c r="M215" s="7">
        <v>8496</v>
      </c>
      <c r="N215" s="16">
        <v>2.4952919020715632</v>
      </c>
      <c r="O215" s="6">
        <v>212</v>
      </c>
      <c r="P215" s="4" t="s">
        <v>151</v>
      </c>
      <c r="Q215" s="1">
        <v>398830</v>
      </c>
      <c r="R215" s="4" t="s">
        <v>52</v>
      </c>
      <c r="S215" s="4"/>
      <c r="T215" s="4" t="s">
        <v>152</v>
      </c>
      <c r="U215" s="4" t="s">
        <v>153</v>
      </c>
      <c r="V215" s="4" t="s">
        <v>55</v>
      </c>
      <c r="W215" s="4">
        <v>3081</v>
      </c>
      <c r="X215" s="4" t="s">
        <v>42</v>
      </c>
      <c r="Y215" s="4"/>
      <c r="Z215" s="4"/>
      <c r="AA215" s="4"/>
      <c r="AB215" s="4"/>
      <c r="AC215" s="4" t="s">
        <v>52</v>
      </c>
      <c r="AD215" s="4" t="s">
        <v>45</v>
      </c>
    </row>
    <row r="216" spans="1:30">
      <c r="A216" s="4" t="s">
        <v>30</v>
      </c>
      <c r="B216" s="4"/>
      <c r="C216" s="4">
        <v>510000</v>
      </c>
      <c r="D216" s="4" t="s">
        <v>46</v>
      </c>
      <c r="E216" s="13" t="s">
        <v>798</v>
      </c>
      <c r="F216" s="4" t="s">
        <v>799</v>
      </c>
      <c r="G216" s="4">
        <v>11</v>
      </c>
      <c r="H216" s="4" t="s">
        <v>211</v>
      </c>
      <c r="I216" s="5">
        <v>44713</v>
      </c>
      <c r="J216" s="5">
        <v>45077</v>
      </c>
      <c r="K216" s="4" t="s">
        <v>384</v>
      </c>
      <c r="L216" s="4" t="s">
        <v>385</v>
      </c>
      <c r="M216" s="7">
        <v>1063</v>
      </c>
      <c r="N216" s="16">
        <v>7.5258701787394164</v>
      </c>
      <c r="O216" s="6">
        <v>80</v>
      </c>
      <c r="P216" s="4" t="s">
        <v>125</v>
      </c>
      <c r="Q216" s="1">
        <v>402805</v>
      </c>
      <c r="R216" s="4" t="s">
        <v>52</v>
      </c>
      <c r="S216" s="4"/>
      <c r="T216" s="4" t="s">
        <v>428</v>
      </c>
      <c r="U216" s="4" t="s">
        <v>429</v>
      </c>
      <c r="V216" s="4" t="s">
        <v>55</v>
      </c>
      <c r="W216" s="4">
        <v>3081</v>
      </c>
      <c r="X216" s="4" t="s">
        <v>42</v>
      </c>
      <c r="Y216" s="4"/>
      <c r="Z216" s="4"/>
      <c r="AA216" s="4"/>
      <c r="AB216" s="4"/>
      <c r="AC216" s="4" t="s">
        <v>52</v>
      </c>
      <c r="AD216" s="4" t="s">
        <v>45</v>
      </c>
    </row>
    <row r="217" spans="1:30">
      <c r="A217" s="4" t="s">
        <v>30</v>
      </c>
      <c r="B217" s="4"/>
      <c r="C217" s="4">
        <v>212203</v>
      </c>
      <c r="D217" s="4" t="s">
        <v>99</v>
      </c>
      <c r="E217" s="13" t="s">
        <v>800</v>
      </c>
      <c r="F217" s="4" t="s">
        <v>801</v>
      </c>
      <c r="G217" s="4">
        <v>0</v>
      </c>
      <c r="H217" s="4" t="s">
        <v>204</v>
      </c>
      <c r="I217" s="5">
        <v>45097</v>
      </c>
      <c r="J217" s="5">
        <v>45462</v>
      </c>
      <c r="K217" s="4" t="s">
        <v>205</v>
      </c>
      <c r="L217" s="4" t="s">
        <v>206</v>
      </c>
      <c r="M217" s="7">
        <v>9682</v>
      </c>
      <c r="N217" s="16">
        <v>14.996901466639125</v>
      </c>
      <c r="O217" s="6">
        <v>1452</v>
      </c>
      <c r="P217" s="4" t="s">
        <v>37</v>
      </c>
      <c r="Q217" s="1" t="s">
        <v>207</v>
      </c>
      <c r="R217" s="4" t="s">
        <v>207</v>
      </c>
      <c r="S217" s="4"/>
      <c r="T217" s="4" t="s">
        <v>105</v>
      </c>
      <c r="U217" s="4" t="s">
        <v>106</v>
      </c>
      <c r="V217" s="4" t="s">
        <v>107</v>
      </c>
      <c r="W217" s="4">
        <v>3075</v>
      </c>
      <c r="X217" s="4" t="s">
        <v>42</v>
      </c>
      <c r="Y217" s="4"/>
      <c r="Z217" s="4"/>
      <c r="AA217" s="4"/>
      <c r="AB217" s="4"/>
      <c r="AC217" s="4" t="s">
        <v>207</v>
      </c>
      <c r="AD217" s="4" t="s">
        <v>45</v>
      </c>
    </row>
    <row r="218" spans="1:30">
      <c r="A218" s="4" t="s">
        <v>30</v>
      </c>
      <c r="B218" s="4"/>
      <c r="C218" s="4">
        <v>132000</v>
      </c>
      <c r="D218" s="4" t="s">
        <v>91</v>
      </c>
      <c r="E218" s="13" t="s">
        <v>802</v>
      </c>
      <c r="F218" s="4" t="s">
        <v>803</v>
      </c>
      <c r="G218" s="4">
        <v>3</v>
      </c>
      <c r="H218" s="4" t="s">
        <v>94</v>
      </c>
      <c r="I218" s="5">
        <v>44441</v>
      </c>
      <c r="J218" s="5">
        <v>44805</v>
      </c>
      <c r="K218" s="4" t="s">
        <v>326</v>
      </c>
      <c r="L218" s="4" t="s">
        <v>327</v>
      </c>
      <c r="M218" s="7">
        <v>-302411</v>
      </c>
      <c r="N218" s="16">
        <v>10.318077054075413</v>
      </c>
      <c r="O218" s="6">
        <v>-31203</v>
      </c>
      <c r="P218" s="4" t="s">
        <v>95</v>
      </c>
      <c r="Q218" s="1">
        <v>360464</v>
      </c>
      <c r="R218" s="4" t="s">
        <v>52</v>
      </c>
      <c r="S218" s="4"/>
      <c r="T218" s="4" t="s">
        <v>96</v>
      </c>
      <c r="U218" s="4" t="s">
        <v>97</v>
      </c>
      <c r="V218" s="4" t="s">
        <v>98</v>
      </c>
      <c r="W218" s="4">
        <v>3100</v>
      </c>
      <c r="X218" s="4" t="s">
        <v>42</v>
      </c>
      <c r="Y218" s="4"/>
      <c r="Z218" s="4"/>
      <c r="AA218" s="4"/>
      <c r="AB218" s="4"/>
      <c r="AC218" s="4" t="s">
        <v>52</v>
      </c>
      <c r="AD218" s="4" t="s">
        <v>45</v>
      </c>
    </row>
    <row r="219" spans="1:30">
      <c r="A219" s="4" t="s">
        <v>30</v>
      </c>
      <c r="B219" s="4"/>
      <c r="C219" s="4">
        <v>132000</v>
      </c>
      <c r="D219" s="4" t="s">
        <v>91</v>
      </c>
      <c r="E219" s="13" t="s">
        <v>804</v>
      </c>
      <c r="F219" s="4" t="s">
        <v>805</v>
      </c>
      <c r="G219" s="4">
        <v>3</v>
      </c>
      <c r="H219" s="4" t="s">
        <v>94</v>
      </c>
      <c r="I219" s="5">
        <v>44441</v>
      </c>
      <c r="J219" s="5">
        <v>44805</v>
      </c>
      <c r="K219" s="4" t="s">
        <v>85</v>
      </c>
      <c r="L219" s="4" t="s">
        <v>86</v>
      </c>
      <c r="M219" s="7">
        <v>-25416</v>
      </c>
      <c r="N219" s="16">
        <v>10.174693106704439</v>
      </c>
      <c r="O219" s="6">
        <v>-2586</v>
      </c>
      <c r="P219" s="4" t="s">
        <v>95</v>
      </c>
      <c r="Q219" s="1">
        <v>360477</v>
      </c>
      <c r="R219" s="4" t="s">
        <v>52</v>
      </c>
      <c r="S219" s="4"/>
      <c r="T219" s="4" t="s">
        <v>96</v>
      </c>
      <c r="U219" s="4" t="s">
        <v>97</v>
      </c>
      <c r="V219" s="4" t="s">
        <v>98</v>
      </c>
      <c r="W219" s="4">
        <v>3100</v>
      </c>
      <c r="X219" s="4" t="s">
        <v>42</v>
      </c>
      <c r="Y219" s="4"/>
      <c r="Z219" s="4"/>
      <c r="AA219" s="4"/>
      <c r="AB219" s="4"/>
      <c r="AC219" s="4" t="s">
        <v>52</v>
      </c>
      <c r="AD219" s="4" t="s">
        <v>45</v>
      </c>
    </row>
    <row r="220" spans="1:30">
      <c r="A220" s="4" t="s">
        <v>30</v>
      </c>
      <c r="B220" s="4"/>
      <c r="C220" s="4">
        <v>132000</v>
      </c>
      <c r="D220" s="4" t="s">
        <v>91</v>
      </c>
      <c r="E220" s="13" t="s">
        <v>806</v>
      </c>
      <c r="F220" s="4" t="s">
        <v>807</v>
      </c>
      <c r="G220" s="4">
        <v>3</v>
      </c>
      <c r="H220" s="4" t="s">
        <v>94</v>
      </c>
      <c r="I220" s="5">
        <v>44441</v>
      </c>
      <c r="J220" s="5">
        <v>44805</v>
      </c>
      <c r="K220" s="4" t="s">
        <v>85</v>
      </c>
      <c r="L220" s="4" t="s">
        <v>86</v>
      </c>
      <c r="M220" s="7">
        <v>-99663</v>
      </c>
      <c r="N220" s="16">
        <v>10.193351594874727</v>
      </c>
      <c r="O220" s="6">
        <v>-10159</v>
      </c>
      <c r="P220" s="4" t="s">
        <v>95</v>
      </c>
      <c r="Q220" s="1">
        <v>360457</v>
      </c>
      <c r="R220" s="4" t="s">
        <v>52</v>
      </c>
      <c r="S220" s="4"/>
      <c r="T220" s="4" t="s">
        <v>96</v>
      </c>
      <c r="U220" s="4" t="s">
        <v>97</v>
      </c>
      <c r="V220" s="4" t="s">
        <v>98</v>
      </c>
      <c r="W220" s="4">
        <v>3100</v>
      </c>
      <c r="X220" s="4" t="s">
        <v>42</v>
      </c>
      <c r="Y220" s="4"/>
      <c r="Z220" s="4"/>
      <c r="AA220" s="4"/>
      <c r="AB220" s="4"/>
      <c r="AC220" s="4" t="s">
        <v>52</v>
      </c>
      <c r="AD220" s="4" t="s">
        <v>45</v>
      </c>
    </row>
    <row r="221" spans="1:30">
      <c r="A221" s="4" t="s">
        <v>30</v>
      </c>
      <c r="B221" s="4"/>
      <c r="C221" s="4">
        <v>212203</v>
      </c>
      <c r="D221" s="4" t="s">
        <v>99</v>
      </c>
      <c r="E221" s="13" t="s">
        <v>808</v>
      </c>
      <c r="F221" s="4" t="s">
        <v>809</v>
      </c>
      <c r="G221" s="4">
        <v>0</v>
      </c>
      <c r="H221" s="4" t="s">
        <v>810</v>
      </c>
      <c r="I221" s="5">
        <v>45095</v>
      </c>
      <c r="J221" s="5">
        <v>45460</v>
      </c>
      <c r="K221" s="4" t="s">
        <v>199</v>
      </c>
      <c r="L221" s="4" t="s">
        <v>200</v>
      </c>
      <c r="M221" s="7">
        <v>9244</v>
      </c>
      <c r="N221" s="16">
        <v>13.370835136304631</v>
      </c>
      <c r="O221" s="6">
        <v>1236</v>
      </c>
      <c r="P221" s="4" t="s">
        <v>37</v>
      </c>
      <c r="Q221" s="1">
        <v>443829</v>
      </c>
      <c r="R221" s="4" t="s">
        <v>38</v>
      </c>
      <c r="S221" s="4"/>
      <c r="T221" s="4" t="s">
        <v>105</v>
      </c>
      <c r="U221" s="4" t="s">
        <v>106</v>
      </c>
      <c r="V221" s="4" t="s">
        <v>107</v>
      </c>
      <c r="W221" s="4">
        <v>3075</v>
      </c>
      <c r="X221" s="4" t="s">
        <v>42</v>
      </c>
      <c r="Y221" s="4"/>
      <c r="Z221" s="4"/>
      <c r="AA221" s="4" t="s">
        <v>201</v>
      </c>
      <c r="AB221" s="4"/>
      <c r="AC221" s="4" t="s">
        <v>185</v>
      </c>
      <c r="AD221" s="4" t="s">
        <v>45</v>
      </c>
    </row>
    <row r="222" spans="1:30">
      <c r="A222" s="4" t="s">
        <v>30</v>
      </c>
      <c r="B222" s="4"/>
      <c r="C222" s="4">
        <v>540000</v>
      </c>
      <c r="D222" s="4" t="s">
        <v>56</v>
      </c>
      <c r="E222" s="13" t="s">
        <v>811</v>
      </c>
      <c r="F222" s="4" t="s">
        <v>812</v>
      </c>
      <c r="G222" s="4">
        <v>14</v>
      </c>
      <c r="H222" s="4" t="s">
        <v>813</v>
      </c>
      <c r="I222" s="5">
        <v>44716</v>
      </c>
      <c r="J222" s="5">
        <v>45080</v>
      </c>
      <c r="K222" s="4" t="s">
        <v>50</v>
      </c>
      <c r="L222" s="4" t="s">
        <v>51</v>
      </c>
      <c r="M222" s="7">
        <v>17797</v>
      </c>
      <c r="N222" s="16">
        <v>7</v>
      </c>
      <c r="O222" s="6">
        <v>1245.79</v>
      </c>
      <c r="P222" s="4" t="s">
        <v>60</v>
      </c>
      <c r="Q222" s="1">
        <v>406813</v>
      </c>
      <c r="R222" s="4" t="s">
        <v>52</v>
      </c>
      <c r="S222" s="4"/>
      <c r="T222" s="4" t="s">
        <v>759</v>
      </c>
      <c r="U222" s="4" t="s">
        <v>371</v>
      </c>
      <c r="V222" s="4" t="s">
        <v>64</v>
      </c>
      <c r="W222" s="4">
        <v>3123</v>
      </c>
      <c r="X222" s="4" t="s">
        <v>42</v>
      </c>
      <c r="Y222" s="4"/>
      <c r="Z222" s="4"/>
      <c r="AA222" s="4"/>
      <c r="AB222" s="4"/>
      <c r="AC222" s="4" t="s">
        <v>52</v>
      </c>
      <c r="AD222" s="4" t="s">
        <v>45</v>
      </c>
    </row>
    <row r="223" spans="1:30">
      <c r="A223" s="4" t="s">
        <v>30</v>
      </c>
      <c r="B223" s="4"/>
      <c r="C223" s="4">
        <v>215600</v>
      </c>
      <c r="D223" s="4" t="s">
        <v>129</v>
      </c>
      <c r="E223" s="13" t="s">
        <v>814</v>
      </c>
      <c r="F223" s="4" t="s">
        <v>815</v>
      </c>
      <c r="G223" s="4">
        <v>0</v>
      </c>
      <c r="H223" s="4" t="s">
        <v>224</v>
      </c>
      <c r="I223" s="5">
        <v>45017</v>
      </c>
      <c r="J223" s="5">
        <v>45382</v>
      </c>
      <c r="K223" s="4" t="s">
        <v>225</v>
      </c>
      <c r="L223" s="4" t="s">
        <v>226</v>
      </c>
      <c r="M223" s="7">
        <v>1966</v>
      </c>
      <c r="N223" s="16">
        <v>12.512716174974567</v>
      </c>
      <c r="O223" s="6">
        <v>246</v>
      </c>
      <c r="P223" s="4" t="s">
        <v>37</v>
      </c>
      <c r="Q223" s="1">
        <v>430567</v>
      </c>
      <c r="R223" s="4" t="s">
        <v>38</v>
      </c>
      <c r="S223" s="4"/>
      <c r="T223" s="4" t="s">
        <v>227</v>
      </c>
      <c r="U223" s="4" t="s">
        <v>228</v>
      </c>
      <c r="V223" s="4" t="s">
        <v>136</v>
      </c>
      <c r="W223" s="4">
        <v>3076</v>
      </c>
      <c r="X223" s="4" t="s">
        <v>42</v>
      </c>
      <c r="Y223" s="4"/>
      <c r="Z223" s="4"/>
      <c r="AA223" s="4"/>
      <c r="AB223" s="4"/>
      <c r="AC223" s="4" t="s">
        <v>44</v>
      </c>
      <c r="AD223" s="4" t="s">
        <v>45</v>
      </c>
    </row>
    <row r="224" spans="1:30">
      <c r="A224" s="4" t="s">
        <v>30</v>
      </c>
      <c r="B224" s="4"/>
      <c r="C224" s="4">
        <v>212203</v>
      </c>
      <c r="D224" s="4" t="s">
        <v>99</v>
      </c>
      <c r="E224" s="13" t="s">
        <v>816</v>
      </c>
      <c r="F224" s="4" t="s">
        <v>817</v>
      </c>
      <c r="G224" s="4">
        <v>0</v>
      </c>
      <c r="H224" s="4" t="s">
        <v>354</v>
      </c>
      <c r="I224" s="5">
        <v>45084</v>
      </c>
      <c r="J224" s="5">
        <v>45449</v>
      </c>
      <c r="K224" s="4" t="s">
        <v>199</v>
      </c>
      <c r="L224" s="4" t="s">
        <v>200</v>
      </c>
      <c r="M224" s="7">
        <v>9410</v>
      </c>
      <c r="N224" s="16">
        <v>13.390010626992561</v>
      </c>
      <c r="O224" s="6">
        <v>1260</v>
      </c>
      <c r="P224" s="4" t="s">
        <v>37</v>
      </c>
      <c r="Q224" s="1">
        <v>443818</v>
      </c>
      <c r="R224" s="4" t="s">
        <v>38</v>
      </c>
      <c r="S224" s="4"/>
      <c r="T224" s="4" t="s">
        <v>105</v>
      </c>
      <c r="U224" s="4" t="s">
        <v>106</v>
      </c>
      <c r="V224" s="4" t="s">
        <v>107</v>
      </c>
      <c r="W224" s="4">
        <v>3075</v>
      </c>
      <c r="X224" s="4" t="s">
        <v>42</v>
      </c>
      <c r="Y224" s="4"/>
      <c r="Z224" s="4"/>
      <c r="AA224" s="4" t="s">
        <v>201</v>
      </c>
      <c r="AB224" s="4"/>
      <c r="AC224" s="4" t="s">
        <v>185</v>
      </c>
      <c r="AD224" s="4" t="s">
        <v>45</v>
      </c>
    </row>
    <row r="225" spans="1:30">
      <c r="A225" s="4" t="s">
        <v>30</v>
      </c>
      <c r="B225" s="4"/>
      <c r="C225" s="4">
        <v>212203</v>
      </c>
      <c r="D225" s="4" t="s">
        <v>99</v>
      </c>
      <c r="E225" s="13" t="s">
        <v>818</v>
      </c>
      <c r="F225" s="4" t="s">
        <v>819</v>
      </c>
      <c r="G225" s="4">
        <v>0</v>
      </c>
      <c r="H225" s="4" t="s">
        <v>198</v>
      </c>
      <c r="I225" s="5">
        <v>45084</v>
      </c>
      <c r="J225" s="5">
        <v>45449</v>
      </c>
      <c r="K225" s="4" t="s">
        <v>199</v>
      </c>
      <c r="L225" s="4" t="s">
        <v>200</v>
      </c>
      <c r="M225" s="7">
        <v>3275</v>
      </c>
      <c r="N225" s="16">
        <v>10.381679389312977</v>
      </c>
      <c r="O225" s="6">
        <v>340</v>
      </c>
      <c r="P225" s="4" t="s">
        <v>37</v>
      </c>
      <c r="Q225" s="1">
        <v>443798</v>
      </c>
      <c r="R225" s="4" t="s">
        <v>38</v>
      </c>
      <c r="S225" s="4"/>
      <c r="T225" s="4" t="s">
        <v>105</v>
      </c>
      <c r="U225" s="4" t="s">
        <v>106</v>
      </c>
      <c r="V225" s="4" t="s">
        <v>107</v>
      </c>
      <c r="W225" s="4">
        <v>3075</v>
      </c>
      <c r="X225" s="4" t="s">
        <v>42</v>
      </c>
      <c r="Y225" s="4"/>
      <c r="Z225" s="4"/>
      <c r="AA225" s="4" t="s">
        <v>201</v>
      </c>
      <c r="AB225" s="4"/>
      <c r="AC225" s="4" t="s">
        <v>185</v>
      </c>
      <c r="AD225" s="4" t="s">
        <v>45</v>
      </c>
    </row>
    <row r="226" spans="1:30">
      <c r="A226" s="4" t="s">
        <v>30</v>
      </c>
      <c r="B226" s="4"/>
      <c r="C226" s="4">
        <v>212203</v>
      </c>
      <c r="D226" s="4" t="s">
        <v>99</v>
      </c>
      <c r="E226" s="13" t="s">
        <v>820</v>
      </c>
      <c r="F226" s="4" t="s">
        <v>821</v>
      </c>
      <c r="G226" s="4">
        <v>0</v>
      </c>
      <c r="H226" s="4" t="s">
        <v>198</v>
      </c>
      <c r="I226" s="5">
        <v>45084</v>
      </c>
      <c r="J226" s="5">
        <v>45449</v>
      </c>
      <c r="K226" s="4" t="s">
        <v>199</v>
      </c>
      <c r="L226" s="4" t="s">
        <v>200</v>
      </c>
      <c r="M226" s="7">
        <v>3690</v>
      </c>
      <c r="N226" s="16">
        <v>10.894308943089431</v>
      </c>
      <c r="O226" s="6">
        <v>402</v>
      </c>
      <c r="P226" s="4" t="s">
        <v>37</v>
      </c>
      <c r="Q226" s="1">
        <v>443803</v>
      </c>
      <c r="R226" s="4" t="s">
        <v>38</v>
      </c>
      <c r="S226" s="4"/>
      <c r="T226" s="4" t="s">
        <v>105</v>
      </c>
      <c r="U226" s="4" t="s">
        <v>106</v>
      </c>
      <c r="V226" s="4" t="s">
        <v>107</v>
      </c>
      <c r="W226" s="4">
        <v>3075</v>
      </c>
      <c r="X226" s="4" t="s">
        <v>42</v>
      </c>
      <c r="Y226" s="4"/>
      <c r="Z226" s="4"/>
      <c r="AA226" s="4" t="s">
        <v>201</v>
      </c>
      <c r="AB226" s="4"/>
      <c r="AC226" s="4" t="s">
        <v>185</v>
      </c>
      <c r="AD226" s="4" t="s">
        <v>45</v>
      </c>
    </row>
    <row r="227" spans="1:30">
      <c r="A227" s="4" t="s">
        <v>30</v>
      </c>
      <c r="B227" s="4"/>
      <c r="C227" s="4">
        <v>212203</v>
      </c>
      <c r="D227" s="4" t="s">
        <v>99</v>
      </c>
      <c r="E227" s="13" t="s">
        <v>822</v>
      </c>
      <c r="F227" s="4" t="s">
        <v>823</v>
      </c>
      <c r="G227" s="4">
        <v>0</v>
      </c>
      <c r="H227" s="4" t="s">
        <v>447</v>
      </c>
      <c r="I227" s="5">
        <v>45085</v>
      </c>
      <c r="J227" s="5">
        <v>45450</v>
      </c>
      <c r="K227" s="4" t="s">
        <v>103</v>
      </c>
      <c r="L227" s="4" t="s">
        <v>104</v>
      </c>
      <c r="M227" s="7">
        <v>8914</v>
      </c>
      <c r="N227" s="16">
        <v>15.010096477451201</v>
      </c>
      <c r="O227" s="6">
        <v>1338</v>
      </c>
      <c r="P227" s="4" t="s">
        <v>37</v>
      </c>
      <c r="Q227" s="1">
        <v>443958</v>
      </c>
      <c r="R227" s="4" t="s">
        <v>38</v>
      </c>
      <c r="S227" s="4"/>
      <c r="T227" s="4" t="s">
        <v>105</v>
      </c>
      <c r="U227" s="4" t="s">
        <v>106</v>
      </c>
      <c r="V227" s="4" t="s">
        <v>107</v>
      </c>
      <c r="W227" s="4">
        <v>3075</v>
      </c>
      <c r="X227" s="4" t="s">
        <v>42</v>
      </c>
      <c r="Y227" s="4"/>
      <c r="Z227" s="4"/>
      <c r="AA227" s="4"/>
      <c r="AB227" s="4"/>
      <c r="AC227" s="4" t="s">
        <v>44</v>
      </c>
      <c r="AD227" s="4" t="s">
        <v>45</v>
      </c>
    </row>
    <row r="228" spans="1:30">
      <c r="A228" s="4" t="s">
        <v>30</v>
      </c>
      <c r="B228" s="4"/>
      <c r="C228" s="4">
        <v>212203</v>
      </c>
      <c r="D228" s="4" t="s">
        <v>99</v>
      </c>
      <c r="E228" s="13" t="s">
        <v>824</v>
      </c>
      <c r="F228" s="4" t="s">
        <v>825</v>
      </c>
      <c r="G228" s="4">
        <v>0</v>
      </c>
      <c r="H228" s="4" t="s">
        <v>198</v>
      </c>
      <c r="I228" s="5">
        <v>45084</v>
      </c>
      <c r="J228" s="5">
        <v>45449</v>
      </c>
      <c r="K228" s="4" t="s">
        <v>199</v>
      </c>
      <c r="L228" s="4" t="s">
        <v>200</v>
      </c>
      <c r="M228" s="7">
        <v>3275</v>
      </c>
      <c r="N228" s="16">
        <v>10.381679389312977</v>
      </c>
      <c r="O228" s="6">
        <v>340</v>
      </c>
      <c r="P228" s="4" t="s">
        <v>37</v>
      </c>
      <c r="Q228" s="1">
        <v>443799</v>
      </c>
      <c r="R228" s="4" t="s">
        <v>38</v>
      </c>
      <c r="S228" s="4"/>
      <c r="T228" s="4" t="s">
        <v>105</v>
      </c>
      <c r="U228" s="4" t="s">
        <v>106</v>
      </c>
      <c r="V228" s="4" t="s">
        <v>107</v>
      </c>
      <c r="W228" s="4">
        <v>3075</v>
      </c>
      <c r="X228" s="4" t="s">
        <v>42</v>
      </c>
      <c r="Y228" s="4"/>
      <c r="Z228" s="4"/>
      <c r="AA228" s="4" t="s">
        <v>201</v>
      </c>
      <c r="AB228" s="4"/>
      <c r="AC228" s="4" t="s">
        <v>185</v>
      </c>
      <c r="AD228" s="4" t="s">
        <v>45</v>
      </c>
    </row>
    <row r="229" spans="1:30">
      <c r="A229" s="4" t="s">
        <v>30</v>
      </c>
      <c r="B229" s="4"/>
      <c r="C229" s="4">
        <v>510000</v>
      </c>
      <c r="D229" s="4" t="s">
        <v>46</v>
      </c>
      <c r="E229" s="13" t="s">
        <v>826</v>
      </c>
      <c r="F229" s="4" t="s">
        <v>827</v>
      </c>
      <c r="G229" s="4">
        <v>0</v>
      </c>
      <c r="H229" s="4" t="s">
        <v>84</v>
      </c>
      <c r="I229" s="5">
        <v>45104</v>
      </c>
      <c r="J229" s="5">
        <v>45443</v>
      </c>
      <c r="K229" s="4" t="s">
        <v>828</v>
      </c>
      <c r="L229" s="4" t="s">
        <v>829</v>
      </c>
      <c r="M229" s="7">
        <v>100</v>
      </c>
      <c r="N229" s="16">
        <v>13</v>
      </c>
      <c r="O229" s="6">
        <v>13</v>
      </c>
      <c r="P229" s="4" t="s">
        <v>37</v>
      </c>
      <c r="Q229" s="1">
        <v>0</v>
      </c>
      <c r="R229" s="4">
        <v>0</v>
      </c>
      <c r="S229" s="4"/>
      <c r="T229" s="4" t="s">
        <v>87</v>
      </c>
      <c r="U229" s="4" t="s">
        <v>88</v>
      </c>
      <c r="V229" s="4" t="s">
        <v>55</v>
      </c>
      <c r="W229" s="4">
        <v>3081</v>
      </c>
      <c r="X229" s="4" t="s">
        <v>42</v>
      </c>
      <c r="Y229" s="4"/>
      <c r="Z229" s="4" t="s">
        <v>117</v>
      </c>
      <c r="AA229" s="4"/>
      <c r="AB229" s="4"/>
      <c r="AC229" s="4" t="s">
        <v>143</v>
      </c>
      <c r="AD229" s="4" t="s">
        <v>45</v>
      </c>
    </row>
    <row r="230" spans="1:30">
      <c r="A230" s="4" t="s">
        <v>30</v>
      </c>
      <c r="B230" s="4"/>
      <c r="C230" s="4">
        <v>510000</v>
      </c>
      <c r="D230" s="4" t="s">
        <v>46</v>
      </c>
      <c r="E230" s="13" t="s">
        <v>830</v>
      </c>
      <c r="F230" s="4" t="s">
        <v>831</v>
      </c>
      <c r="G230" s="4">
        <v>0</v>
      </c>
      <c r="H230" s="4" t="s">
        <v>211</v>
      </c>
      <c r="I230" s="5">
        <v>45093</v>
      </c>
      <c r="J230" s="5">
        <v>45458</v>
      </c>
      <c r="K230" s="4" t="s">
        <v>139</v>
      </c>
      <c r="L230" s="4" t="s">
        <v>140</v>
      </c>
      <c r="M230" s="7">
        <v>12686</v>
      </c>
      <c r="N230" s="16">
        <v>12.501970676336118</v>
      </c>
      <c r="O230" s="6">
        <v>1586</v>
      </c>
      <c r="P230" s="4" t="s">
        <v>125</v>
      </c>
      <c r="Q230" s="1" t="s">
        <v>52</v>
      </c>
      <c r="R230" s="4" t="s">
        <v>52</v>
      </c>
      <c r="S230" s="4"/>
      <c r="T230" s="4" t="s">
        <v>259</v>
      </c>
      <c r="U230" s="4" t="s">
        <v>260</v>
      </c>
      <c r="V230" s="4" t="s">
        <v>55</v>
      </c>
      <c r="W230" s="4">
        <v>3081</v>
      </c>
      <c r="X230" s="4" t="s">
        <v>42</v>
      </c>
      <c r="Y230" s="4"/>
      <c r="Z230" s="4" t="s">
        <v>117</v>
      </c>
      <c r="AA230" s="4"/>
      <c r="AB230" s="4"/>
      <c r="AC230" s="4" t="s">
        <v>52</v>
      </c>
      <c r="AD230" s="4" t="s">
        <v>45</v>
      </c>
    </row>
    <row r="231" spans="1:30">
      <c r="A231" s="4" t="s">
        <v>30</v>
      </c>
      <c r="B231" s="4"/>
      <c r="C231" s="4">
        <v>510000</v>
      </c>
      <c r="D231" s="4" t="s">
        <v>46</v>
      </c>
      <c r="E231" s="13" t="s">
        <v>832</v>
      </c>
      <c r="F231" s="4" t="s">
        <v>833</v>
      </c>
      <c r="G231" s="4">
        <v>0</v>
      </c>
      <c r="H231" s="4" t="s">
        <v>211</v>
      </c>
      <c r="I231" s="5">
        <v>45093</v>
      </c>
      <c r="J231" s="5">
        <v>45458</v>
      </c>
      <c r="K231" s="4" t="s">
        <v>139</v>
      </c>
      <c r="L231" s="4" t="s">
        <v>140</v>
      </c>
      <c r="M231" s="7">
        <v>12630</v>
      </c>
      <c r="N231" s="16">
        <v>12.501979414093428</v>
      </c>
      <c r="O231" s="6">
        <v>1579</v>
      </c>
      <c r="P231" s="4" t="s">
        <v>125</v>
      </c>
      <c r="Q231" s="1" t="s">
        <v>52</v>
      </c>
      <c r="R231" s="4" t="s">
        <v>52</v>
      </c>
      <c r="S231" s="4"/>
      <c r="T231" s="4" t="s">
        <v>259</v>
      </c>
      <c r="U231" s="4" t="s">
        <v>260</v>
      </c>
      <c r="V231" s="4" t="s">
        <v>55</v>
      </c>
      <c r="W231" s="4">
        <v>3081</v>
      </c>
      <c r="X231" s="4" t="s">
        <v>42</v>
      </c>
      <c r="Y231" s="4"/>
      <c r="Z231" s="4" t="s">
        <v>117</v>
      </c>
      <c r="AA231" s="4"/>
      <c r="AB231" s="4"/>
      <c r="AC231" s="4" t="s">
        <v>52</v>
      </c>
      <c r="AD231" s="4" t="s">
        <v>45</v>
      </c>
    </row>
    <row r="232" spans="1:30">
      <c r="A232" s="4" t="s">
        <v>30</v>
      </c>
      <c r="B232" s="4"/>
      <c r="C232" s="4">
        <v>421300</v>
      </c>
      <c r="D232" s="4" t="s">
        <v>161</v>
      </c>
      <c r="E232" s="13" t="s">
        <v>834</v>
      </c>
      <c r="F232" s="4" t="s">
        <v>835</v>
      </c>
      <c r="G232" s="4">
        <v>12</v>
      </c>
      <c r="H232" s="4" t="s">
        <v>467</v>
      </c>
      <c r="I232" s="5">
        <v>44655</v>
      </c>
      <c r="J232" s="5">
        <v>45019</v>
      </c>
      <c r="K232" s="4" t="s">
        <v>384</v>
      </c>
      <c r="L232" s="4" t="s">
        <v>385</v>
      </c>
      <c r="M232" s="7">
        <v>-225</v>
      </c>
      <c r="N232" s="16">
        <v>7.5555555555555554</v>
      </c>
      <c r="O232" s="6">
        <v>-17</v>
      </c>
      <c r="P232" s="4" t="s">
        <v>60</v>
      </c>
      <c r="Q232" s="1">
        <v>386195</v>
      </c>
      <c r="R232" s="4" t="s">
        <v>52</v>
      </c>
      <c r="S232" s="4"/>
      <c r="T232" s="4" t="s">
        <v>80</v>
      </c>
      <c r="U232" s="4" t="s">
        <v>468</v>
      </c>
      <c r="V232" s="4" t="s">
        <v>167</v>
      </c>
      <c r="W232" s="4">
        <v>3066</v>
      </c>
      <c r="X232" s="4" t="s">
        <v>42</v>
      </c>
      <c r="Y232" s="4"/>
      <c r="Z232" s="4"/>
      <c r="AA232" s="4"/>
      <c r="AB232" s="4"/>
      <c r="AC232" s="4" t="s">
        <v>52</v>
      </c>
      <c r="AD232" s="4" t="s">
        <v>45</v>
      </c>
    </row>
    <row r="233" spans="1:30">
      <c r="A233" s="4" t="s">
        <v>30</v>
      </c>
      <c r="B233" s="4"/>
      <c r="C233" s="4">
        <v>510000</v>
      </c>
      <c r="D233" s="4" t="s">
        <v>46</v>
      </c>
      <c r="E233" s="13" t="s">
        <v>836</v>
      </c>
      <c r="F233" s="4" t="s">
        <v>837</v>
      </c>
      <c r="G233" s="4">
        <v>0</v>
      </c>
      <c r="H233" s="4" t="s">
        <v>379</v>
      </c>
      <c r="I233" s="5">
        <v>45078</v>
      </c>
      <c r="J233" s="5">
        <v>45443</v>
      </c>
      <c r="K233" s="4" t="s">
        <v>85</v>
      </c>
      <c r="L233" s="4" t="s">
        <v>86</v>
      </c>
      <c r="M233" s="7">
        <v>341548</v>
      </c>
      <c r="N233" s="16">
        <v>16.561361799805592</v>
      </c>
      <c r="O233" s="6">
        <v>56565</v>
      </c>
      <c r="P233" s="4" t="s">
        <v>37</v>
      </c>
      <c r="Q233" s="1" t="s">
        <v>52</v>
      </c>
      <c r="R233" s="4" t="s">
        <v>52</v>
      </c>
      <c r="S233" s="4"/>
      <c r="T233" s="4" t="s">
        <v>87</v>
      </c>
      <c r="U233" s="4" t="s">
        <v>88</v>
      </c>
      <c r="V233" s="4" t="s">
        <v>55</v>
      </c>
      <c r="W233" s="4">
        <v>3081</v>
      </c>
      <c r="X233" s="4" t="s">
        <v>42</v>
      </c>
      <c r="Y233" s="4"/>
      <c r="Z233" s="4" t="s">
        <v>117</v>
      </c>
      <c r="AA233" s="4"/>
      <c r="AB233" s="4"/>
      <c r="AC233" s="4" t="s">
        <v>52</v>
      </c>
      <c r="AD233" s="4" t="s">
        <v>45</v>
      </c>
    </row>
    <row r="234" spans="1:30">
      <c r="A234" s="4" t="s">
        <v>30</v>
      </c>
      <c r="B234" s="4"/>
      <c r="C234" s="4">
        <v>510000</v>
      </c>
      <c r="D234" s="4" t="s">
        <v>46</v>
      </c>
      <c r="E234" s="13" t="s">
        <v>838</v>
      </c>
      <c r="F234" s="4" t="s">
        <v>839</v>
      </c>
      <c r="G234" s="4">
        <v>13</v>
      </c>
      <c r="H234" s="4" t="s">
        <v>558</v>
      </c>
      <c r="I234" s="5">
        <v>44667</v>
      </c>
      <c r="J234" s="5">
        <v>45031</v>
      </c>
      <c r="K234" s="4" t="s">
        <v>50</v>
      </c>
      <c r="L234" s="4" t="s">
        <v>51</v>
      </c>
      <c r="M234" s="7">
        <v>-458</v>
      </c>
      <c r="N234" s="16">
        <v>5</v>
      </c>
      <c r="O234" s="6">
        <v>-22.9</v>
      </c>
      <c r="P234" s="4" t="s">
        <v>37</v>
      </c>
      <c r="Q234" s="1">
        <v>385268</v>
      </c>
      <c r="R234" s="4" t="s">
        <v>52</v>
      </c>
      <c r="S234" s="4"/>
      <c r="T234" s="4" t="s">
        <v>559</v>
      </c>
      <c r="U234" s="4" t="s">
        <v>560</v>
      </c>
      <c r="V234" s="4" t="s">
        <v>55</v>
      </c>
      <c r="W234" s="4">
        <v>3081</v>
      </c>
      <c r="X234" s="4" t="s">
        <v>42</v>
      </c>
      <c r="Y234" s="4"/>
      <c r="Z234" s="4"/>
      <c r="AA234" s="4"/>
      <c r="AB234" s="4"/>
      <c r="AC234" s="4" t="s">
        <v>52</v>
      </c>
      <c r="AD234" s="4" t="s">
        <v>45</v>
      </c>
    </row>
    <row r="235" spans="1:30">
      <c r="A235" s="4" t="s">
        <v>30</v>
      </c>
      <c r="B235" s="4"/>
      <c r="C235" s="4">
        <v>421300</v>
      </c>
      <c r="D235" s="4" t="s">
        <v>161</v>
      </c>
      <c r="E235" s="13" t="s">
        <v>840</v>
      </c>
      <c r="F235" s="4" t="s">
        <v>841</v>
      </c>
      <c r="G235" s="4">
        <v>3</v>
      </c>
      <c r="H235" s="4" t="s">
        <v>467</v>
      </c>
      <c r="I235" s="5">
        <v>44914</v>
      </c>
      <c r="J235" s="5">
        <v>45278</v>
      </c>
      <c r="K235" s="4" t="s">
        <v>767</v>
      </c>
      <c r="L235" s="4" t="s">
        <v>768</v>
      </c>
      <c r="M235" s="7">
        <v>-39390</v>
      </c>
      <c r="N235" s="16">
        <v>7.4993653211474998</v>
      </c>
      <c r="O235" s="6">
        <v>-2954</v>
      </c>
      <c r="P235" s="4" t="s">
        <v>60</v>
      </c>
      <c r="Q235" s="1">
        <v>414980</v>
      </c>
      <c r="R235" s="4" t="s">
        <v>52</v>
      </c>
      <c r="S235" s="4"/>
      <c r="T235" s="4" t="s">
        <v>80</v>
      </c>
      <c r="U235" s="4" t="s">
        <v>468</v>
      </c>
      <c r="V235" s="4" t="s">
        <v>167</v>
      </c>
      <c r="W235" s="4">
        <v>3066</v>
      </c>
      <c r="X235" s="4" t="s">
        <v>42</v>
      </c>
      <c r="Y235" s="4"/>
      <c r="Z235" s="4"/>
      <c r="AA235" s="4"/>
      <c r="AB235" s="4"/>
      <c r="AC235" s="4" t="s">
        <v>52</v>
      </c>
      <c r="AD235" s="4" t="s">
        <v>45</v>
      </c>
    </row>
    <row r="236" spans="1:30">
      <c r="A236" s="4" t="s">
        <v>30</v>
      </c>
      <c r="B236" s="4"/>
      <c r="C236" s="4">
        <v>510000</v>
      </c>
      <c r="D236" s="4" t="s">
        <v>46</v>
      </c>
      <c r="E236" s="13" t="s">
        <v>842</v>
      </c>
      <c r="F236" s="4" t="s">
        <v>843</v>
      </c>
      <c r="G236" s="4">
        <v>0</v>
      </c>
      <c r="H236" s="4" t="s">
        <v>180</v>
      </c>
      <c r="I236" s="5">
        <v>45090</v>
      </c>
      <c r="J236" s="5">
        <v>45454</v>
      </c>
      <c r="K236" s="4" t="s">
        <v>225</v>
      </c>
      <c r="L236" s="4" t="s">
        <v>226</v>
      </c>
      <c r="M236" s="7">
        <v>2383</v>
      </c>
      <c r="N236" s="16">
        <v>12.505245488879565</v>
      </c>
      <c r="O236" s="6">
        <v>298</v>
      </c>
      <c r="P236" s="4" t="s">
        <v>37</v>
      </c>
      <c r="Q236" s="1">
        <v>441890</v>
      </c>
      <c r="R236" s="4" t="s">
        <v>38</v>
      </c>
      <c r="S236" s="4"/>
      <c r="T236" s="4" t="s">
        <v>39</v>
      </c>
      <c r="U236" s="4" t="s">
        <v>183</v>
      </c>
      <c r="V236" s="4" t="s">
        <v>55</v>
      </c>
      <c r="W236" s="4">
        <v>3081</v>
      </c>
      <c r="X236" s="4" t="s">
        <v>42</v>
      </c>
      <c r="Y236" s="4"/>
      <c r="Z236" s="4"/>
      <c r="AA236" s="4"/>
      <c r="AB236" s="4" t="s">
        <v>43</v>
      </c>
      <c r="AC236" s="4" t="s">
        <v>44</v>
      </c>
      <c r="AD236" s="4" t="s">
        <v>45</v>
      </c>
    </row>
    <row r="237" spans="1:30">
      <c r="A237" s="4" t="s">
        <v>30</v>
      </c>
      <c r="B237" s="4"/>
      <c r="C237" s="4">
        <v>540000</v>
      </c>
      <c r="D237" s="4" t="s">
        <v>56</v>
      </c>
      <c r="E237" s="13" t="s">
        <v>844</v>
      </c>
      <c r="F237" s="4" t="s">
        <v>845</v>
      </c>
      <c r="G237" s="4">
        <v>13</v>
      </c>
      <c r="H237" s="4" t="s">
        <v>79</v>
      </c>
      <c r="I237" s="5">
        <v>44668</v>
      </c>
      <c r="J237" s="5">
        <v>45032</v>
      </c>
      <c r="K237" s="4" t="s">
        <v>384</v>
      </c>
      <c r="L237" s="4" t="s">
        <v>385</v>
      </c>
      <c r="M237" s="7">
        <v>-1</v>
      </c>
      <c r="N237" s="16">
        <v>0</v>
      </c>
      <c r="O237" s="6">
        <v>0</v>
      </c>
      <c r="P237" s="4" t="s">
        <v>60</v>
      </c>
      <c r="Q237" s="1">
        <v>386406</v>
      </c>
      <c r="R237" s="4" t="s">
        <v>52</v>
      </c>
      <c r="S237" s="4"/>
      <c r="T237" s="4" t="s">
        <v>80</v>
      </c>
      <c r="U237" s="4" t="s">
        <v>81</v>
      </c>
      <c r="V237" s="4" t="s">
        <v>64</v>
      </c>
      <c r="W237" s="4">
        <v>3123</v>
      </c>
      <c r="X237" s="4" t="s">
        <v>42</v>
      </c>
      <c r="Y237" s="4"/>
      <c r="Z237" s="4"/>
      <c r="AA237" s="4"/>
      <c r="AB237" s="4"/>
      <c r="AC237" s="4" t="s">
        <v>52</v>
      </c>
      <c r="AD237" s="4" t="s">
        <v>45</v>
      </c>
    </row>
    <row r="238" spans="1:30">
      <c r="A238" s="4" t="s">
        <v>30</v>
      </c>
      <c r="B238" s="4"/>
      <c r="C238" s="4">
        <v>212203</v>
      </c>
      <c r="D238" s="4" t="s">
        <v>99</v>
      </c>
      <c r="E238" s="13" t="s">
        <v>846</v>
      </c>
      <c r="F238" s="4" t="s">
        <v>847</v>
      </c>
      <c r="G238" s="4">
        <v>1</v>
      </c>
      <c r="H238" s="4" t="s">
        <v>204</v>
      </c>
      <c r="I238" s="5">
        <v>45097</v>
      </c>
      <c r="J238" s="5">
        <v>45097</v>
      </c>
      <c r="K238" s="4" t="s">
        <v>205</v>
      </c>
      <c r="L238" s="4" t="s">
        <v>206</v>
      </c>
      <c r="M238" s="7">
        <v>-9682</v>
      </c>
      <c r="N238" s="16">
        <v>14.996901466639125</v>
      </c>
      <c r="O238" s="6">
        <v>-1452</v>
      </c>
      <c r="P238" s="4" t="s">
        <v>37</v>
      </c>
      <c r="Q238" s="1" t="s">
        <v>207</v>
      </c>
      <c r="R238" s="4" t="s">
        <v>207</v>
      </c>
      <c r="S238" s="4"/>
      <c r="T238" s="4" t="s">
        <v>105</v>
      </c>
      <c r="U238" s="4" t="s">
        <v>106</v>
      </c>
      <c r="V238" s="4" t="s">
        <v>107</v>
      </c>
      <c r="W238" s="4">
        <v>3075</v>
      </c>
      <c r="X238" s="4" t="s">
        <v>42</v>
      </c>
      <c r="Y238" s="4"/>
      <c r="Z238" s="4"/>
      <c r="AA238" s="4"/>
      <c r="AB238" s="4"/>
      <c r="AC238" s="4" t="s">
        <v>207</v>
      </c>
      <c r="AD238" s="4" t="s">
        <v>45</v>
      </c>
    </row>
    <row r="239" spans="1:30">
      <c r="A239" s="4" t="s">
        <v>30</v>
      </c>
      <c r="B239" s="4"/>
      <c r="C239" s="4">
        <v>510000</v>
      </c>
      <c r="D239" s="4" t="s">
        <v>46</v>
      </c>
      <c r="E239" s="13" t="s">
        <v>848</v>
      </c>
      <c r="F239" s="4" t="s">
        <v>849</v>
      </c>
      <c r="G239" s="4">
        <v>11</v>
      </c>
      <c r="H239" s="4" t="s">
        <v>233</v>
      </c>
      <c r="I239" s="5">
        <v>44681</v>
      </c>
      <c r="J239" s="5">
        <v>45045</v>
      </c>
      <c r="K239" s="4" t="s">
        <v>50</v>
      </c>
      <c r="L239" s="4" t="s">
        <v>51</v>
      </c>
      <c r="M239" s="7">
        <v>205910</v>
      </c>
      <c r="N239" s="16">
        <v>2.5001214122674957</v>
      </c>
      <c r="O239" s="6">
        <v>5148</v>
      </c>
      <c r="P239" s="4" t="s">
        <v>151</v>
      </c>
      <c r="Q239" s="1">
        <v>398850</v>
      </c>
      <c r="R239" s="4" t="s">
        <v>52</v>
      </c>
      <c r="S239" s="4"/>
      <c r="T239" s="4" t="s">
        <v>152</v>
      </c>
      <c r="U239" s="4" t="s">
        <v>153</v>
      </c>
      <c r="V239" s="4" t="s">
        <v>55</v>
      </c>
      <c r="W239" s="4">
        <v>3081</v>
      </c>
      <c r="X239" s="4" t="s">
        <v>42</v>
      </c>
      <c r="Y239" s="4"/>
      <c r="Z239" s="4"/>
      <c r="AA239" s="4"/>
      <c r="AB239" s="4"/>
      <c r="AC239" s="4" t="s">
        <v>52</v>
      </c>
      <c r="AD239" s="4" t="s">
        <v>45</v>
      </c>
    </row>
    <row r="240" spans="1:30">
      <c r="A240" s="4" t="s">
        <v>30</v>
      </c>
      <c r="B240" s="4"/>
      <c r="C240" s="4">
        <v>510000</v>
      </c>
      <c r="D240" s="4" t="s">
        <v>46</v>
      </c>
      <c r="E240" s="13" t="s">
        <v>850</v>
      </c>
      <c r="F240" s="4" t="s">
        <v>851</v>
      </c>
      <c r="G240" s="4">
        <v>6</v>
      </c>
      <c r="H240" s="4" t="s">
        <v>852</v>
      </c>
      <c r="I240" s="5">
        <v>44841</v>
      </c>
      <c r="J240" s="5">
        <v>45205</v>
      </c>
      <c r="K240" s="4" t="s">
        <v>50</v>
      </c>
      <c r="L240" s="4" t="s">
        <v>51</v>
      </c>
      <c r="M240" s="7">
        <v>-3657</v>
      </c>
      <c r="N240" s="16">
        <v>5</v>
      </c>
      <c r="O240" s="6">
        <v>-182.85</v>
      </c>
      <c r="P240" s="4" t="s">
        <v>37</v>
      </c>
      <c r="Q240" s="1">
        <v>412929</v>
      </c>
      <c r="R240" s="4" t="s">
        <v>52</v>
      </c>
      <c r="S240" s="4"/>
      <c r="T240" s="4" t="s">
        <v>165</v>
      </c>
      <c r="U240" s="4" t="s">
        <v>853</v>
      </c>
      <c r="V240" s="4" t="s">
        <v>55</v>
      </c>
      <c r="W240" s="4">
        <v>3081</v>
      </c>
      <c r="X240" s="4" t="s">
        <v>42</v>
      </c>
      <c r="Y240" s="4"/>
      <c r="Z240" s="4"/>
      <c r="AA240" s="4"/>
      <c r="AB240" s="4"/>
      <c r="AC240" s="4" t="s">
        <v>52</v>
      </c>
      <c r="AD240" s="4" t="s">
        <v>45</v>
      </c>
    </row>
    <row r="241" spans="1:30">
      <c r="A241" s="4" t="s">
        <v>30</v>
      </c>
      <c r="B241" s="4"/>
      <c r="C241" s="4">
        <v>510000</v>
      </c>
      <c r="D241" s="4" t="s">
        <v>46</v>
      </c>
      <c r="E241" s="13" t="s">
        <v>854</v>
      </c>
      <c r="F241" s="4" t="s">
        <v>855</v>
      </c>
      <c r="G241" s="4">
        <v>1</v>
      </c>
      <c r="H241" s="4" t="s">
        <v>584</v>
      </c>
      <c r="I241" s="5">
        <v>44960</v>
      </c>
      <c r="J241" s="5">
        <v>45324</v>
      </c>
      <c r="K241" s="4" t="s">
        <v>50</v>
      </c>
      <c r="L241" s="4" t="s">
        <v>51</v>
      </c>
      <c r="M241" s="7">
        <v>38476</v>
      </c>
      <c r="N241" s="16">
        <v>0.5</v>
      </c>
      <c r="O241" s="6">
        <v>192.38</v>
      </c>
      <c r="P241" s="4" t="s">
        <v>37</v>
      </c>
      <c r="Q241" s="1">
        <v>434507</v>
      </c>
      <c r="R241" s="4" t="s">
        <v>52</v>
      </c>
      <c r="S241" s="4"/>
      <c r="T241" s="4" t="s">
        <v>53</v>
      </c>
      <c r="U241" s="4" t="s">
        <v>54</v>
      </c>
      <c r="V241" s="4" t="s">
        <v>55</v>
      </c>
      <c r="W241" s="4">
        <v>3081</v>
      </c>
      <c r="X241" s="4" t="s">
        <v>42</v>
      </c>
      <c r="Y241" s="4"/>
      <c r="Z241" s="4"/>
      <c r="AA241" s="4"/>
      <c r="AB241" s="4"/>
      <c r="AC241" s="4" t="s">
        <v>52</v>
      </c>
      <c r="AD241" s="4" t="s">
        <v>45</v>
      </c>
    </row>
    <row r="242" spans="1:30">
      <c r="A242" s="4" t="s">
        <v>30</v>
      </c>
      <c r="B242" s="4"/>
      <c r="C242" s="4">
        <v>212203</v>
      </c>
      <c r="D242" s="4" t="s">
        <v>99</v>
      </c>
      <c r="E242" s="13" t="s">
        <v>856</v>
      </c>
      <c r="F242" s="4" t="s">
        <v>857</v>
      </c>
      <c r="G242" s="4">
        <v>0</v>
      </c>
      <c r="H242" s="4" t="s">
        <v>204</v>
      </c>
      <c r="I242" s="5">
        <v>45098</v>
      </c>
      <c r="J242" s="5">
        <v>45463</v>
      </c>
      <c r="K242" s="4" t="s">
        <v>205</v>
      </c>
      <c r="L242" s="4" t="s">
        <v>206</v>
      </c>
      <c r="M242" s="7">
        <v>8870</v>
      </c>
      <c r="N242" s="16">
        <v>15.005636978579481</v>
      </c>
      <c r="O242" s="6">
        <v>1331</v>
      </c>
      <c r="P242" s="4" t="s">
        <v>37</v>
      </c>
      <c r="Q242" s="1">
        <v>443948</v>
      </c>
      <c r="R242" s="4" t="s">
        <v>38</v>
      </c>
      <c r="S242" s="4"/>
      <c r="T242" s="4" t="s">
        <v>105</v>
      </c>
      <c r="U242" s="4" t="s">
        <v>106</v>
      </c>
      <c r="V242" s="4" t="s">
        <v>107</v>
      </c>
      <c r="W242" s="4">
        <v>3075</v>
      </c>
      <c r="X242" s="4" t="s">
        <v>42</v>
      </c>
      <c r="Y242" s="4"/>
      <c r="Z242" s="4"/>
      <c r="AA242" s="4"/>
      <c r="AB242" s="4"/>
      <c r="AC242" s="4" t="s">
        <v>44</v>
      </c>
      <c r="AD242" s="4" t="s">
        <v>45</v>
      </c>
    </row>
    <row r="243" spans="1:30">
      <c r="A243" s="4" t="s">
        <v>30</v>
      </c>
      <c r="B243" s="4"/>
      <c r="C243" s="4">
        <v>212203</v>
      </c>
      <c r="D243" s="4" t="s">
        <v>99</v>
      </c>
      <c r="E243" s="13" t="s">
        <v>858</v>
      </c>
      <c r="F243" s="4" t="s">
        <v>859</v>
      </c>
      <c r="G243" s="4">
        <v>0</v>
      </c>
      <c r="H243" s="4" t="s">
        <v>102</v>
      </c>
      <c r="I243" s="5">
        <v>45093</v>
      </c>
      <c r="J243" s="5">
        <v>45458</v>
      </c>
      <c r="K243" s="4" t="s">
        <v>103</v>
      </c>
      <c r="L243" s="4" t="s">
        <v>104</v>
      </c>
      <c r="M243" s="7">
        <v>8935</v>
      </c>
      <c r="N243" s="16">
        <v>14.997202014549526</v>
      </c>
      <c r="O243" s="6">
        <v>1340</v>
      </c>
      <c r="P243" s="4" t="s">
        <v>37</v>
      </c>
      <c r="Q243" s="1">
        <v>443964</v>
      </c>
      <c r="R243" s="4" t="s">
        <v>38</v>
      </c>
      <c r="S243" s="4"/>
      <c r="T243" s="4" t="s">
        <v>105</v>
      </c>
      <c r="U243" s="4" t="s">
        <v>106</v>
      </c>
      <c r="V243" s="4" t="s">
        <v>107</v>
      </c>
      <c r="W243" s="4">
        <v>3075</v>
      </c>
      <c r="X243" s="4" t="s">
        <v>42</v>
      </c>
      <c r="Y243" s="4"/>
      <c r="Z243" s="4"/>
      <c r="AA243" s="4"/>
      <c r="AB243" s="4"/>
      <c r="AC243" s="4" t="s">
        <v>44</v>
      </c>
      <c r="AD243" s="4" t="s">
        <v>45</v>
      </c>
    </row>
    <row r="244" spans="1:30">
      <c r="A244" s="4" t="s">
        <v>30</v>
      </c>
      <c r="B244" s="4"/>
      <c r="C244" s="4">
        <v>212203</v>
      </c>
      <c r="D244" s="4" t="s">
        <v>99</v>
      </c>
      <c r="E244" s="13" t="s">
        <v>860</v>
      </c>
      <c r="F244" s="4" t="s">
        <v>861</v>
      </c>
      <c r="G244" s="4">
        <v>0</v>
      </c>
      <c r="H244" s="4" t="s">
        <v>198</v>
      </c>
      <c r="I244" s="5">
        <v>45084</v>
      </c>
      <c r="J244" s="5">
        <v>45449</v>
      </c>
      <c r="K244" s="4" t="s">
        <v>199</v>
      </c>
      <c r="L244" s="4" t="s">
        <v>200</v>
      </c>
      <c r="M244" s="7">
        <v>3690</v>
      </c>
      <c r="N244" s="16">
        <v>10.894308943089431</v>
      </c>
      <c r="O244" s="6">
        <v>402</v>
      </c>
      <c r="P244" s="4" t="s">
        <v>37</v>
      </c>
      <c r="Q244" s="1">
        <v>443806</v>
      </c>
      <c r="R244" s="4" t="s">
        <v>38</v>
      </c>
      <c r="S244" s="4"/>
      <c r="T244" s="4" t="s">
        <v>105</v>
      </c>
      <c r="U244" s="4" t="s">
        <v>106</v>
      </c>
      <c r="V244" s="4" t="s">
        <v>107</v>
      </c>
      <c r="W244" s="4">
        <v>3075</v>
      </c>
      <c r="X244" s="4" t="s">
        <v>42</v>
      </c>
      <c r="Y244" s="4"/>
      <c r="Z244" s="4"/>
      <c r="AA244" s="4" t="s">
        <v>201</v>
      </c>
      <c r="AB244" s="4"/>
      <c r="AC244" s="4" t="s">
        <v>185</v>
      </c>
      <c r="AD244" s="4" t="s">
        <v>45</v>
      </c>
    </row>
    <row r="245" spans="1:30">
      <c r="A245" s="4" t="s">
        <v>30</v>
      </c>
      <c r="B245" s="4"/>
      <c r="C245" s="4">
        <v>510000</v>
      </c>
      <c r="D245" s="4" t="s">
        <v>46</v>
      </c>
      <c r="E245" s="13" t="s">
        <v>862</v>
      </c>
      <c r="F245" s="4" t="s">
        <v>863</v>
      </c>
      <c r="G245" s="4">
        <v>2</v>
      </c>
      <c r="H245" s="4" t="s">
        <v>864</v>
      </c>
      <c r="I245" s="5">
        <v>44977</v>
      </c>
      <c r="J245" s="5">
        <v>45341</v>
      </c>
      <c r="K245" s="4" t="s">
        <v>50</v>
      </c>
      <c r="L245" s="4" t="s">
        <v>51</v>
      </c>
      <c r="M245" s="7">
        <v>-85061</v>
      </c>
      <c r="N245" s="16">
        <v>7.5000058781345151</v>
      </c>
      <c r="O245" s="6">
        <v>-6379.58</v>
      </c>
      <c r="P245" s="4" t="s">
        <v>37</v>
      </c>
      <c r="Q245" s="1">
        <v>440259</v>
      </c>
      <c r="R245" s="4" t="s">
        <v>52</v>
      </c>
      <c r="S245" s="4"/>
      <c r="T245" s="4" t="s">
        <v>165</v>
      </c>
      <c r="U245" s="4" t="s">
        <v>576</v>
      </c>
      <c r="V245" s="4" t="s">
        <v>55</v>
      </c>
      <c r="W245" s="4">
        <v>3081</v>
      </c>
      <c r="X245" s="4" t="s">
        <v>42</v>
      </c>
      <c r="Y245" s="4"/>
      <c r="Z245" s="4"/>
      <c r="AA245" s="4"/>
      <c r="AB245" s="4"/>
      <c r="AC245" s="4" t="s">
        <v>52</v>
      </c>
      <c r="AD245" s="4" t="s">
        <v>45</v>
      </c>
    </row>
    <row r="246" spans="1:30">
      <c r="A246" s="4" t="s">
        <v>30</v>
      </c>
      <c r="B246" s="4"/>
      <c r="C246" s="4">
        <v>510000</v>
      </c>
      <c r="D246" s="4" t="s">
        <v>46</v>
      </c>
      <c r="E246" s="13" t="s">
        <v>865</v>
      </c>
      <c r="F246" s="4" t="s">
        <v>866</v>
      </c>
      <c r="G246" s="4">
        <v>0</v>
      </c>
      <c r="H246" s="4" t="s">
        <v>84</v>
      </c>
      <c r="I246" s="5">
        <v>45078</v>
      </c>
      <c r="J246" s="5">
        <v>45443</v>
      </c>
      <c r="K246" s="4" t="s">
        <v>85</v>
      </c>
      <c r="L246" s="4" t="s">
        <v>86</v>
      </c>
      <c r="M246" s="7">
        <v>58819</v>
      </c>
      <c r="N246" s="16">
        <v>13.238919396793552</v>
      </c>
      <c r="O246" s="6">
        <v>7787</v>
      </c>
      <c r="P246" s="4" t="s">
        <v>37</v>
      </c>
      <c r="Q246" s="1">
        <v>0</v>
      </c>
      <c r="R246" s="4">
        <v>0</v>
      </c>
      <c r="S246" s="4"/>
      <c r="T246" s="4" t="s">
        <v>87</v>
      </c>
      <c r="U246" s="4" t="s">
        <v>88</v>
      </c>
      <c r="V246" s="4" t="s">
        <v>55</v>
      </c>
      <c r="W246" s="4">
        <v>3081</v>
      </c>
      <c r="X246" s="4" t="s">
        <v>42</v>
      </c>
      <c r="Y246" s="4"/>
      <c r="Z246" s="4" t="s">
        <v>117</v>
      </c>
      <c r="AA246" s="4"/>
      <c r="AB246" s="4"/>
      <c r="AC246" s="4" t="s">
        <v>143</v>
      </c>
      <c r="AD246" s="4" t="s">
        <v>45</v>
      </c>
    </row>
    <row r="247" spans="1:30">
      <c r="A247" s="4" t="s">
        <v>30</v>
      </c>
      <c r="B247" s="4"/>
      <c r="C247" s="4">
        <v>540000</v>
      </c>
      <c r="D247" s="4" t="s">
        <v>56</v>
      </c>
      <c r="E247" s="13" t="s">
        <v>867</v>
      </c>
      <c r="F247" s="4" t="s">
        <v>868</v>
      </c>
      <c r="G247" s="4">
        <v>0</v>
      </c>
      <c r="H247" s="4" t="s">
        <v>869</v>
      </c>
      <c r="I247" s="5">
        <v>45096</v>
      </c>
      <c r="J247" s="5">
        <v>45461</v>
      </c>
      <c r="K247" s="4" t="s">
        <v>359</v>
      </c>
      <c r="L247" s="4" t="s">
        <v>360</v>
      </c>
      <c r="M247" s="7">
        <v>2000</v>
      </c>
      <c r="N247" s="16">
        <v>12.55</v>
      </c>
      <c r="O247" s="6">
        <v>251</v>
      </c>
      <c r="P247" s="4" t="s">
        <v>60</v>
      </c>
      <c r="Q247" s="1">
        <v>431524</v>
      </c>
      <c r="R247" s="4" t="s">
        <v>38</v>
      </c>
      <c r="S247" s="4"/>
      <c r="T247" s="4" t="s">
        <v>870</v>
      </c>
      <c r="U247" s="4" t="s">
        <v>871</v>
      </c>
      <c r="V247" s="4" t="s">
        <v>64</v>
      </c>
      <c r="W247" s="4">
        <v>3123</v>
      </c>
      <c r="X247" s="4" t="s">
        <v>42</v>
      </c>
      <c r="Y247" s="4"/>
      <c r="Z247" s="4"/>
      <c r="AA247" s="4" t="s">
        <v>184</v>
      </c>
      <c r="AB247" s="4"/>
      <c r="AC247" s="4" t="s">
        <v>185</v>
      </c>
      <c r="AD247" s="4" t="s">
        <v>45</v>
      </c>
    </row>
    <row r="248" spans="1:30">
      <c r="A248" s="4" t="s">
        <v>30</v>
      </c>
      <c r="B248" s="4"/>
      <c r="C248" s="4">
        <v>510000</v>
      </c>
      <c r="D248" s="4" t="s">
        <v>46</v>
      </c>
      <c r="E248" s="13" t="s">
        <v>872</v>
      </c>
      <c r="F248" s="4" t="s">
        <v>873</v>
      </c>
      <c r="G248" s="4">
        <v>0</v>
      </c>
      <c r="H248" s="4" t="s">
        <v>84</v>
      </c>
      <c r="I248" s="5">
        <v>45098</v>
      </c>
      <c r="J248" s="5">
        <v>45124</v>
      </c>
      <c r="K248" s="4" t="s">
        <v>623</v>
      </c>
      <c r="L248" s="4" t="s">
        <v>624</v>
      </c>
      <c r="M248" s="7">
        <v>9999</v>
      </c>
      <c r="N248" s="16">
        <v>12.501250125012502</v>
      </c>
      <c r="O248" s="6">
        <v>1250</v>
      </c>
      <c r="P248" s="4" t="s">
        <v>37</v>
      </c>
      <c r="Q248" s="1" t="s">
        <v>52</v>
      </c>
      <c r="R248" s="4" t="s">
        <v>52</v>
      </c>
      <c r="S248" s="4"/>
      <c r="T248" s="4" t="s">
        <v>87</v>
      </c>
      <c r="U248" s="4" t="s">
        <v>88</v>
      </c>
      <c r="V248" s="4" t="s">
        <v>55</v>
      </c>
      <c r="W248" s="4">
        <v>3081</v>
      </c>
      <c r="X248" s="4" t="s">
        <v>42</v>
      </c>
      <c r="Y248" s="4"/>
      <c r="Z248" s="4" t="s">
        <v>117</v>
      </c>
      <c r="AA248" s="4"/>
      <c r="AB248" s="4"/>
      <c r="AC248" s="4" t="s">
        <v>52</v>
      </c>
      <c r="AD248" s="4" t="s">
        <v>45</v>
      </c>
    </row>
    <row r="249" spans="1:30">
      <c r="A249" s="4" t="s">
        <v>30</v>
      </c>
      <c r="B249" s="4"/>
      <c r="C249" s="4">
        <v>510000</v>
      </c>
      <c r="D249" s="4" t="s">
        <v>46</v>
      </c>
      <c r="E249" s="13" t="s">
        <v>874</v>
      </c>
      <c r="F249" s="4" t="s">
        <v>875</v>
      </c>
      <c r="G249" s="4">
        <v>10</v>
      </c>
      <c r="H249" s="4" t="s">
        <v>233</v>
      </c>
      <c r="I249" s="5">
        <v>44681</v>
      </c>
      <c r="J249" s="5">
        <v>45045</v>
      </c>
      <c r="K249" s="4" t="s">
        <v>50</v>
      </c>
      <c r="L249" s="4" t="s">
        <v>51</v>
      </c>
      <c r="M249" s="7">
        <v>17441</v>
      </c>
      <c r="N249" s="16">
        <v>2.4998566595952068</v>
      </c>
      <c r="O249" s="6">
        <v>436</v>
      </c>
      <c r="P249" s="4" t="s">
        <v>151</v>
      </c>
      <c r="Q249" s="1">
        <v>397988</v>
      </c>
      <c r="R249" s="4" t="s">
        <v>52</v>
      </c>
      <c r="S249" s="4"/>
      <c r="T249" s="4" t="s">
        <v>152</v>
      </c>
      <c r="U249" s="4" t="s">
        <v>153</v>
      </c>
      <c r="V249" s="4" t="s">
        <v>55</v>
      </c>
      <c r="W249" s="4">
        <v>3081</v>
      </c>
      <c r="X249" s="4" t="s">
        <v>42</v>
      </c>
      <c r="Y249" s="4"/>
      <c r="Z249" s="4"/>
      <c r="AA249" s="4"/>
      <c r="AB249" s="4"/>
      <c r="AC249" s="4" t="s">
        <v>52</v>
      </c>
      <c r="AD249" s="4" t="s">
        <v>45</v>
      </c>
    </row>
    <row r="250" spans="1:30">
      <c r="A250" s="4" t="s">
        <v>30</v>
      </c>
      <c r="B250" s="4"/>
      <c r="C250" s="4">
        <v>510000</v>
      </c>
      <c r="D250" s="4" t="s">
        <v>46</v>
      </c>
      <c r="E250" s="13" t="s">
        <v>876</v>
      </c>
      <c r="F250" s="4" t="s">
        <v>877</v>
      </c>
      <c r="G250" s="4">
        <v>0</v>
      </c>
      <c r="H250" s="4" t="s">
        <v>84</v>
      </c>
      <c r="I250" s="5">
        <v>45078</v>
      </c>
      <c r="J250" s="5">
        <v>45443</v>
      </c>
      <c r="K250" s="4" t="s">
        <v>139</v>
      </c>
      <c r="L250" s="4" t="s">
        <v>140</v>
      </c>
      <c r="M250" s="7">
        <v>13191</v>
      </c>
      <c r="N250" s="16">
        <v>12.500947615798651</v>
      </c>
      <c r="O250" s="6">
        <v>1649</v>
      </c>
      <c r="P250" s="4" t="s">
        <v>37</v>
      </c>
      <c r="Q250" s="1" t="s">
        <v>52</v>
      </c>
      <c r="R250" s="4" t="s">
        <v>52</v>
      </c>
      <c r="S250" s="4"/>
      <c r="T250" s="4" t="s">
        <v>141</v>
      </c>
      <c r="U250" s="4" t="s">
        <v>142</v>
      </c>
      <c r="V250" s="4" t="s">
        <v>55</v>
      </c>
      <c r="W250" s="4">
        <v>3081</v>
      </c>
      <c r="X250" s="4" t="s">
        <v>42</v>
      </c>
      <c r="Y250" s="4"/>
      <c r="Z250" s="4" t="s">
        <v>117</v>
      </c>
      <c r="AA250" s="4"/>
      <c r="AB250" s="4"/>
      <c r="AC250" s="4" t="s">
        <v>52</v>
      </c>
      <c r="AD250" s="4" t="s">
        <v>45</v>
      </c>
    </row>
    <row r="251" spans="1:30">
      <c r="A251" s="4" t="s">
        <v>30</v>
      </c>
      <c r="B251" s="4"/>
      <c r="C251" s="4">
        <v>212203</v>
      </c>
      <c r="D251" s="4" t="s">
        <v>99</v>
      </c>
      <c r="E251" s="13" t="s">
        <v>878</v>
      </c>
      <c r="F251" s="4" t="s">
        <v>879</v>
      </c>
      <c r="G251" s="4">
        <v>0</v>
      </c>
      <c r="H251" s="4" t="s">
        <v>447</v>
      </c>
      <c r="I251" s="5">
        <v>45088</v>
      </c>
      <c r="J251" s="5">
        <v>45453</v>
      </c>
      <c r="K251" s="4" t="s">
        <v>199</v>
      </c>
      <c r="L251" s="4" t="s">
        <v>200</v>
      </c>
      <c r="M251" s="7">
        <v>9100</v>
      </c>
      <c r="N251" s="16">
        <v>13.340659340659341</v>
      </c>
      <c r="O251" s="6">
        <v>1214</v>
      </c>
      <c r="P251" s="4" t="s">
        <v>37</v>
      </c>
      <c r="Q251" s="1">
        <v>443819</v>
      </c>
      <c r="R251" s="4" t="s">
        <v>38</v>
      </c>
      <c r="S251" s="4"/>
      <c r="T251" s="4" t="s">
        <v>105</v>
      </c>
      <c r="U251" s="4" t="s">
        <v>106</v>
      </c>
      <c r="V251" s="4" t="s">
        <v>107</v>
      </c>
      <c r="W251" s="4">
        <v>3075</v>
      </c>
      <c r="X251" s="4" t="s">
        <v>42</v>
      </c>
      <c r="Y251" s="4"/>
      <c r="Z251" s="4"/>
      <c r="AA251" s="4" t="s">
        <v>201</v>
      </c>
      <c r="AB251" s="4"/>
      <c r="AC251" s="4" t="s">
        <v>185</v>
      </c>
      <c r="AD251" s="4" t="s">
        <v>45</v>
      </c>
    </row>
    <row r="252" spans="1:30">
      <c r="A252" s="4" t="s">
        <v>30</v>
      </c>
      <c r="B252" s="4"/>
      <c r="C252" s="4">
        <v>510000</v>
      </c>
      <c r="D252" s="4" t="s">
        <v>46</v>
      </c>
      <c r="E252" s="13" t="s">
        <v>880</v>
      </c>
      <c r="F252" s="4" t="s">
        <v>881</v>
      </c>
      <c r="G252" s="4">
        <v>10</v>
      </c>
      <c r="H252" s="4" t="s">
        <v>150</v>
      </c>
      <c r="I252" s="5">
        <v>44681</v>
      </c>
      <c r="J252" s="5">
        <v>45045</v>
      </c>
      <c r="K252" s="4" t="s">
        <v>50</v>
      </c>
      <c r="L252" s="4" t="s">
        <v>51</v>
      </c>
      <c r="M252" s="7">
        <v>12955</v>
      </c>
      <c r="N252" s="16">
        <v>2.500964878425318</v>
      </c>
      <c r="O252" s="6">
        <v>324</v>
      </c>
      <c r="P252" s="4" t="s">
        <v>151</v>
      </c>
      <c r="Q252" s="1">
        <v>398831</v>
      </c>
      <c r="R252" s="4" t="s">
        <v>52</v>
      </c>
      <c r="S252" s="4"/>
      <c r="T252" s="4" t="s">
        <v>152</v>
      </c>
      <c r="U252" s="4" t="s">
        <v>153</v>
      </c>
      <c r="V252" s="4" t="s">
        <v>55</v>
      </c>
      <c r="W252" s="4">
        <v>3081</v>
      </c>
      <c r="X252" s="4" t="s">
        <v>42</v>
      </c>
      <c r="Y252" s="4"/>
      <c r="Z252" s="4"/>
      <c r="AA252" s="4"/>
      <c r="AB252" s="4"/>
      <c r="AC252" s="4" t="s">
        <v>52</v>
      </c>
      <c r="AD252" s="4" t="s">
        <v>45</v>
      </c>
    </row>
    <row r="253" spans="1:30">
      <c r="A253" s="4" t="s">
        <v>30</v>
      </c>
      <c r="B253" s="4"/>
      <c r="C253" s="4">
        <v>222105</v>
      </c>
      <c r="D253" s="4" t="s">
        <v>68</v>
      </c>
      <c r="E253" s="13" t="s">
        <v>882</v>
      </c>
      <c r="F253" s="4" t="s">
        <v>883</v>
      </c>
      <c r="G253" s="4">
        <v>0</v>
      </c>
      <c r="H253" s="4" t="s">
        <v>884</v>
      </c>
      <c r="I253" s="5">
        <v>45110</v>
      </c>
      <c r="J253" s="5">
        <v>45475</v>
      </c>
      <c r="K253" s="4" t="s">
        <v>364</v>
      </c>
      <c r="L253" s="4" t="s">
        <v>365</v>
      </c>
      <c r="M253" s="7">
        <v>9599</v>
      </c>
      <c r="N253" s="16">
        <v>20.002083550369832</v>
      </c>
      <c r="O253" s="6">
        <v>1920</v>
      </c>
      <c r="P253" s="4" t="s">
        <v>37</v>
      </c>
      <c r="Q253" s="1">
        <v>440789</v>
      </c>
      <c r="R253" s="4" t="s">
        <v>38</v>
      </c>
      <c r="S253" s="4"/>
      <c r="T253" s="4" t="s">
        <v>74</v>
      </c>
      <c r="U253" s="4" t="s">
        <v>75</v>
      </c>
      <c r="V253" s="4" t="s">
        <v>76</v>
      </c>
      <c r="W253" s="4">
        <v>3078</v>
      </c>
      <c r="X253" s="4" t="s">
        <v>42</v>
      </c>
      <c r="Y253" s="4"/>
      <c r="Z253" s="4"/>
      <c r="AA253" s="4"/>
      <c r="AB253" s="4" t="s">
        <v>43</v>
      </c>
      <c r="AC253" s="4" t="s">
        <v>44</v>
      </c>
      <c r="AD253" s="4" t="s">
        <v>45</v>
      </c>
    </row>
    <row r="254" spans="1:30">
      <c r="A254" s="4" t="s">
        <v>30</v>
      </c>
      <c r="B254" s="4"/>
      <c r="C254" s="4">
        <v>222105</v>
      </c>
      <c r="D254" s="4" t="s">
        <v>68</v>
      </c>
      <c r="E254" s="13" t="s">
        <v>885</v>
      </c>
      <c r="F254" s="4" t="s">
        <v>886</v>
      </c>
      <c r="G254" s="4">
        <v>0</v>
      </c>
      <c r="H254" s="4" t="s">
        <v>887</v>
      </c>
      <c r="I254" s="5">
        <v>45095</v>
      </c>
      <c r="J254" s="5">
        <v>45460</v>
      </c>
      <c r="K254" s="4" t="s">
        <v>364</v>
      </c>
      <c r="L254" s="4" t="s">
        <v>365</v>
      </c>
      <c r="M254" s="7">
        <v>6359</v>
      </c>
      <c r="N254" s="16">
        <v>15.002358861456203</v>
      </c>
      <c r="O254" s="6">
        <v>954</v>
      </c>
      <c r="P254" s="4" t="s">
        <v>37</v>
      </c>
      <c r="Q254" s="1">
        <v>440364</v>
      </c>
      <c r="R254" s="4" t="s">
        <v>38</v>
      </c>
      <c r="S254" s="4"/>
      <c r="T254" s="4" t="s">
        <v>74</v>
      </c>
      <c r="U254" s="4" t="s">
        <v>75</v>
      </c>
      <c r="V254" s="4" t="s">
        <v>76</v>
      </c>
      <c r="W254" s="4">
        <v>3078</v>
      </c>
      <c r="X254" s="4" t="s">
        <v>42</v>
      </c>
      <c r="Y254" s="4"/>
      <c r="Z254" s="4"/>
      <c r="AA254" s="4"/>
      <c r="AB254" s="4"/>
      <c r="AC254" s="4" t="s">
        <v>44</v>
      </c>
      <c r="AD254" s="4" t="s">
        <v>45</v>
      </c>
    </row>
    <row r="255" spans="1:30">
      <c r="A255" s="4" t="s">
        <v>30</v>
      </c>
      <c r="B255" s="4"/>
      <c r="C255" s="4">
        <v>212203</v>
      </c>
      <c r="D255" s="4" t="s">
        <v>99</v>
      </c>
      <c r="E255" s="13" t="s">
        <v>888</v>
      </c>
      <c r="F255" s="4" t="s">
        <v>889</v>
      </c>
      <c r="G255" s="4">
        <v>0</v>
      </c>
      <c r="H255" s="4" t="s">
        <v>890</v>
      </c>
      <c r="I255" s="5">
        <v>45101</v>
      </c>
      <c r="J255" s="5">
        <v>45466</v>
      </c>
      <c r="K255" s="4" t="s">
        <v>103</v>
      </c>
      <c r="L255" s="4" t="s">
        <v>104</v>
      </c>
      <c r="M255" s="7">
        <v>8111</v>
      </c>
      <c r="N255" s="16">
        <v>14.991986191591666</v>
      </c>
      <c r="O255" s="6">
        <v>1216</v>
      </c>
      <c r="P255" s="4" t="s">
        <v>37</v>
      </c>
      <c r="Q255" s="1">
        <v>443969</v>
      </c>
      <c r="R255" s="4" t="s">
        <v>38</v>
      </c>
      <c r="S255" s="4"/>
      <c r="T255" s="4" t="s">
        <v>105</v>
      </c>
      <c r="U255" s="4" t="s">
        <v>106</v>
      </c>
      <c r="V255" s="4" t="s">
        <v>107</v>
      </c>
      <c r="W255" s="4">
        <v>3075</v>
      </c>
      <c r="X255" s="4" t="s">
        <v>42</v>
      </c>
      <c r="Y255" s="4"/>
      <c r="Z255" s="4"/>
      <c r="AA255" s="4"/>
      <c r="AB255" s="4"/>
      <c r="AC255" s="4" t="s">
        <v>44</v>
      </c>
      <c r="AD255" s="4" t="s">
        <v>45</v>
      </c>
    </row>
    <row r="256" spans="1:30">
      <c r="A256" s="4" t="s">
        <v>30</v>
      </c>
      <c r="B256" s="4"/>
      <c r="C256" s="4">
        <v>421300</v>
      </c>
      <c r="D256" s="4" t="s">
        <v>161</v>
      </c>
      <c r="E256" s="13" t="s">
        <v>891</v>
      </c>
      <c r="F256" s="4" t="s">
        <v>489</v>
      </c>
      <c r="G256" s="4">
        <v>4</v>
      </c>
      <c r="H256" s="4" t="s">
        <v>467</v>
      </c>
      <c r="I256" s="5">
        <v>44910</v>
      </c>
      <c r="J256" s="5">
        <v>45274</v>
      </c>
      <c r="K256" s="4" t="s">
        <v>50</v>
      </c>
      <c r="L256" s="4" t="s">
        <v>51</v>
      </c>
      <c r="M256" s="7">
        <v>-54197</v>
      </c>
      <c r="N256" s="16">
        <v>7.5004151521301914</v>
      </c>
      <c r="O256" s="6">
        <v>-4065</v>
      </c>
      <c r="P256" s="4" t="s">
        <v>60</v>
      </c>
      <c r="Q256" s="1">
        <v>413729</v>
      </c>
      <c r="R256" s="4" t="s">
        <v>52</v>
      </c>
      <c r="S256" s="4"/>
      <c r="T256" s="4" t="s">
        <v>80</v>
      </c>
      <c r="U256" s="4" t="s">
        <v>468</v>
      </c>
      <c r="V256" s="4" t="s">
        <v>167</v>
      </c>
      <c r="W256" s="4">
        <v>3066</v>
      </c>
      <c r="X256" s="4" t="s">
        <v>42</v>
      </c>
      <c r="Y256" s="4"/>
      <c r="Z256" s="4"/>
      <c r="AA256" s="4"/>
      <c r="AB256" s="4"/>
      <c r="AC256" s="4" t="s">
        <v>52</v>
      </c>
      <c r="AD256" s="4" t="s">
        <v>45</v>
      </c>
    </row>
    <row r="257" spans="1:30">
      <c r="A257" s="4" t="s">
        <v>30</v>
      </c>
      <c r="B257" s="4"/>
      <c r="C257" s="4">
        <v>222105</v>
      </c>
      <c r="D257" s="4" t="s">
        <v>68</v>
      </c>
      <c r="E257" s="13" t="s">
        <v>892</v>
      </c>
      <c r="F257" s="4" t="s">
        <v>893</v>
      </c>
      <c r="G257" s="4">
        <v>0</v>
      </c>
      <c r="H257" s="4" t="s">
        <v>894</v>
      </c>
      <c r="I257" s="5">
        <v>45099</v>
      </c>
      <c r="J257" s="5">
        <v>45464</v>
      </c>
      <c r="K257" s="4" t="s">
        <v>72</v>
      </c>
      <c r="L257" s="4" t="s">
        <v>73</v>
      </c>
      <c r="M257" s="7">
        <v>42202</v>
      </c>
      <c r="N257" s="16">
        <v>4.999763044405479</v>
      </c>
      <c r="O257" s="6">
        <v>2110</v>
      </c>
      <c r="P257" s="4" t="s">
        <v>95</v>
      </c>
      <c r="Q257" s="1">
        <v>440682</v>
      </c>
      <c r="R257" s="4" t="s">
        <v>38</v>
      </c>
      <c r="S257" s="4"/>
      <c r="T257" s="4" t="s">
        <v>74</v>
      </c>
      <c r="U257" s="4" t="s">
        <v>272</v>
      </c>
      <c r="V257" s="4" t="s">
        <v>76</v>
      </c>
      <c r="W257" s="4">
        <v>3078</v>
      </c>
      <c r="X257" s="4" t="s">
        <v>42</v>
      </c>
      <c r="Y257" s="4"/>
      <c r="Z257" s="4"/>
      <c r="AA257" s="4"/>
      <c r="AB257" s="4" t="s">
        <v>147</v>
      </c>
      <c r="AC257" s="4" t="s">
        <v>44</v>
      </c>
      <c r="AD257" s="4" t="s">
        <v>45</v>
      </c>
    </row>
    <row r="258" spans="1:30">
      <c r="A258" s="4" t="s">
        <v>30</v>
      </c>
      <c r="B258" s="4"/>
      <c r="C258" s="4">
        <v>111900</v>
      </c>
      <c r="D258" s="4" t="s">
        <v>168</v>
      </c>
      <c r="E258" s="13" t="s">
        <v>895</v>
      </c>
      <c r="F258" s="4" t="s">
        <v>896</v>
      </c>
      <c r="G258" s="4">
        <v>0</v>
      </c>
      <c r="H258" s="4" t="s">
        <v>897</v>
      </c>
      <c r="I258" s="5">
        <v>45100</v>
      </c>
      <c r="J258" s="5">
        <v>45129</v>
      </c>
      <c r="K258" s="4" t="s">
        <v>898</v>
      </c>
      <c r="L258" s="4" t="s">
        <v>899</v>
      </c>
      <c r="M258" s="7">
        <v>16327</v>
      </c>
      <c r="N258" s="16">
        <v>14.999693758804433</v>
      </c>
      <c r="O258" s="6">
        <v>2449</v>
      </c>
      <c r="P258" s="4" t="s">
        <v>95</v>
      </c>
      <c r="Q258" s="1" t="s">
        <v>52</v>
      </c>
      <c r="R258" s="4" t="s">
        <v>52</v>
      </c>
      <c r="S258" s="4"/>
      <c r="T258" s="4" t="s">
        <v>900</v>
      </c>
      <c r="U258" s="4" t="s">
        <v>901</v>
      </c>
      <c r="V258" s="4" t="s">
        <v>177</v>
      </c>
      <c r="W258" s="4">
        <v>3086</v>
      </c>
      <c r="X258" s="4" t="s">
        <v>42</v>
      </c>
      <c r="Y258" s="4"/>
      <c r="Z258" s="4" t="s">
        <v>117</v>
      </c>
      <c r="AA258" s="4"/>
      <c r="AB258" s="4"/>
      <c r="AC258" s="4" t="s">
        <v>52</v>
      </c>
      <c r="AD258" s="4" t="s">
        <v>45</v>
      </c>
    </row>
    <row r="259" spans="1:30">
      <c r="A259" s="4" t="s">
        <v>30</v>
      </c>
      <c r="B259" s="4"/>
      <c r="C259" s="4">
        <v>222105</v>
      </c>
      <c r="D259" s="4" t="s">
        <v>68</v>
      </c>
      <c r="E259" s="13" t="s">
        <v>902</v>
      </c>
      <c r="F259" s="4" t="s">
        <v>903</v>
      </c>
      <c r="G259" s="4">
        <v>0</v>
      </c>
      <c r="H259" s="4" t="s">
        <v>904</v>
      </c>
      <c r="I259" s="5">
        <v>45104</v>
      </c>
      <c r="J259" s="5">
        <v>45469</v>
      </c>
      <c r="K259" s="4" t="s">
        <v>72</v>
      </c>
      <c r="L259" s="4" t="s">
        <v>73</v>
      </c>
      <c r="M259" s="7">
        <v>68579</v>
      </c>
      <c r="N259" s="16">
        <v>5.0000729086163407</v>
      </c>
      <c r="O259" s="6">
        <v>3429</v>
      </c>
      <c r="P259" s="4" t="s">
        <v>37</v>
      </c>
      <c r="Q259" s="1">
        <v>441493</v>
      </c>
      <c r="R259" s="4" t="s">
        <v>38</v>
      </c>
      <c r="S259" s="4"/>
      <c r="T259" s="4" t="s">
        <v>74</v>
      </c>
      <c r="U259" s="4" t="s">
        <v>75</v>
      </c>
      <c r="V259" s="4" t="s">
        <v>76</v>
      </c>
      <c r="W259" s="4">
        <v>3078</v>
      </c>
      <c r="X259" s="4" t="s">
        <v>42</v>
      </c>
      <c r="Y259" s="4"/>
      <c r="Z259" s="4"/>
      <c r="AA259" s="4"/>
      <c r="AB259" s="4" t="s">
        <v>147</v>
      </c>
      <c r="AC259" s="4" t="s">
        <v>44</v>
      </c>
      <c r="AD259" s="4" t="s">
        <v>45</v>
      </c>
    </row>
    <row r="260" spans="1:30">
      <c r="A260" s="4" t="s">
        <v>30</v>
      </c>
      <c r="B260" s="4"/>
      <c r="C260" s="4">
        <v>540000</v>
      </c>
      <c r="D260" s="4" t="s">
        <v>56</v>
      </c>
      <c r="E260" s="13" t="s">
        <v>905</v>
      </c>
      <c r="F260" s="4" t="s">
        <v>906</v>
      </c>
      <c r="G260" s="4">
        <v>13</v>
      </c>
      <c r="H260" s="4" t="s">
        <v>164</v>
      </c>
      <c r="I260" s="5">
        <v>44719</v>
      </c>
      <c r="J260" s="5">
        <v>45083</v>
      </c>
      <c r="K260" s="4" t="s">
        <v>50</v>
      </c>
      <c r="L260" s="4" t="s">
        <v>51</v>
      </c>
      <c r="M260" s="7">
        <v>-873</v>
      </c>
      <c r="N260" s="16">
        <v>7.5005727376861397</v>
      </c>
      <c r="O260" s="6">
        <v>-65.48</v>
      </c>
      <c r="P260" s="4" t="s">
        <v>37</v>
      </c>
      <c r="Q260" s="1">
        <v>388708</v>
      </c>
      <c r="R260" s="4" t="s">
        <v>52</v>
      </c>
      <c r="S260" s="4"/>
      <c r="T260" s="4" t="s">
        <v>165</v>
      </c>
      <c r="U260" s="4" t="s">
        <v>166</v>
      </c>
      <c r="V260" s="4" t="s">
        <v>64</v>
      </c>
      <c r="W260" s="4">
        <v>3123</v>
      </c>
      <c r="X260" s="4" t="s">
        <v>42</v>
      </c>
      <c r="Y260" s="4"/>
      <c r="Z260" s="4"/>
      <c r="AA260" s="4"/>
      <c r="AB260" s="4"/>
      <c r="AC260" s="4" t="s">
        <v>52</v>
      </c>
      <c r="AD260" s="4" t="s">
        <v>45</v>
      </c>
    </row>
    <row r="261" spans="1:30">
      <c r="A261" s="4" t="s">
        <v>30</v>
      </c>
      <c r="B261" s="4"/>
      <c r="C261" s="4">
        <v>540000</v>
      </c>
      <c r="D261" s="4" t="s">
        <v>56</v>
      </c>
      <c r="E261" s="13" t="s">
        <v>907</v>
      </c>
      <c r="F261" s="4" t="s">
        <v>908</v>
      </c>
      <c r="G261" s="4">
        <v>10</v>
      </c>
      <c r="H261" s="4" t="s">
        <v>909</v>
      </c>
      <c r="I261" s="5">
        <v>44779</v>
      </c>
      <c r="J261" s="5">
        <v>45143</v>
      </c>
      <c r="K261" s="4" t="s">
        <v>50</v>
      </c>
      <c r="L261" s="4" t="s">
        <v>51</v>
      </c>
      <c r="M261" s="7">
        <v>44112</v>
      </c>
      <c r="N261" s="16">
        <v>5</v>
      </c>
      <c r="O261" s="6">
        <v>2205.6</v>
      </c>
      <c r="P261" s="4" t="s">
        <v>60</v>
      </c>
      <c r="Q261" s="1">
        <v>400929</v>
      </c>
      <c r="R261" s="4" t="s">
        <v>416</v>
      </c>
      <c r="S261" s="4"/>
      <c r="T261" s="4" t="s">
        <v>910</v>
      </c>
      <c r="U261" s="4" t="s">
        <v>911</v>
      </c>
      <c r="V261" s="4" t="s">
        <v>64</v>
      </c>
      <c r="W261" s="4">
        <v>3123</v>
      </c>
      <c r="X261" s="4" t="s">
        <v>42</v>
      </c>
      <c r="Y261" s="4"/>
      <c r="Z261" s="4"/>
      <c r="AA261" s="4"/>
      <c r="AB261" s="4"/>
      <c r="AC261" s="4" t="s">
        <v>143</v>
      </c>
      <c r="AD261" s="4" t="s">
        <v>45</v>
      </c>
    </row>
    <row r="262" spans="1:30">
      <c r="A262" s="4" t="s">
        <v>30</v>
      </c>
      <c r="B262" s="4"/>
      <c r="C262" s="4">
        <v>421100</v>
      </c>
      <c r="D262" s="4" t="s">
        <v>400</v>
      </c>
      <c r="E262" s="13" t="s">
        <v>912</v>
      </c>
      <c r="F262" s="4" t="s">
        <v>913</v>
      </c>
      <c r="G262" s="4">
        <v>13</v>
      </c>
      <c r="H262" s="4" t="s">
        <v>552</v>
      </c>
      <c r="I262" s="5">
        <v>44762</v>
      </c>
      <c r="J262" s="5">
        <v>45126</v>
      </c>
      <c r="K262" s="4" t="s">
        <v>767</v>
      </c>
      <c r="L262" s="4" t="s">
        <v>768</v>
      </c>
      <c r="M262" s="7">
        <v>-93926</v>
      </c>
      <c r="N262" s="16">
        <v>4.5003513404169242</v>
      </c>
      <c r="O262" s="6">
        <v>-4227</v>
      </c>
      <c r="P262" s="4" t="s">
        <v>125</v>
      </c>
      <c r="Q262" s="1">
        <v>406115</v>
      </c>
      <c r="R262" s="4" t="s">
        <v>52</v>
      </c>
      <c r="S262" s="4"/>
      <c r="T262" s="4" t="s">
        <v>428</v>
      </c>
      <c r="U262" s="4" t="s">
        <v>914</v>
      </c>
      <c r="V262" s="4" t="s">
        <v>406</v>
      </c>
      <c r="W262" s="4">
        <v>3065</v>
      </c>
      <c r="X262" s="4" t="s">
        <v>42</v>
      </c>
      <c r="Y262" s="4"/>
      <c r="Z262" s="4"/>
      <c r="AA262" s="4"/>
      <c r="AB262" s="4"/>
      <c r="AC262" s="4" t="s">
        <v>52</v>
      </c>
      <c r="AD262" s="4" t="s">
        <v>45</v>
      </c>
    </row>
    <row r="263" spans="1:30">
      <c r="A263" s="4" t="s">
        <v>30</v>
      </c>
      <c r="B263" s="4"/>
      <c r="C263" s="4">
        <v>212203</v>
      </c>
      <c r="D263" s="4" t="s">
        <v>99</v>
      </c>
      <c r="E263" s="13" t="s">
        <v>915</v>
      </c>
      <c r="F263" s="4" t="s">
        <v>916</v>
      </c>
      <c r="G263" s="4">
        <v>0</v>
      </c>
      <c r="H263" s="4" t="s">
        <v>447</v>
      </c>
      <c r="I263" s="5">
        <v>45088</v>
      </c>
      <c r="J263" s="5">
        <v>45453</v>
      </c>
      <c r="K263" s="4" t="s">
        <v>199</v>
      </c>
      <c r="L263" s="4" t="s">
        <v>200</v>
      </c>
      <c r="M263" s="7">
        <v>9100</v>
      </c>
      <c r="N263" s="16">
        <v>13.340659340659341</v>
      </c>
      <c r="O263" s="6">
        <v>1214</v>
      </c>
      <c r="P263" s="4" t="s">
        <v>37</v>
      </c>
      <c r="Q263" s="1">
        <v>443820</v>
      </c>
      <c r="R263" s="4" t="s">
        <v>38</v>
      </c>
      <c r="S263" s="4"/>
      <c r="T263" s="4" t="s">
        <v>105</v>
      </c>
      <c r="U263" s="4" t="s">
        <v>106</v>
      </c>
      <c r="V263" s="4" t="s">
        <v>107</v>
      </c>
      <c r="W263" s="4">
        <v>3075</v>
      </c>
      <c r="X263" s="4" t="s">
        <v>42</v>
      </c>
      <c r="Y263" s="4"/>
      <c r="Z263" s="4"/>
      <c r="AA263" s="4" t="s">
        <v>201</v>
      </c>
      <c r="AB263" s="4"/>
      <c r="AC263" s="4" t="s">
        <v>185</v>
      </c>
      <c r="AD263" s="4" t="s">
        <v>45</v>
      </c>
    </row>
    <row r="264" spans="1:30">
      <c r="A264" s="4" t="s">
        <v>30</v>
      </c>
      <c r="B264" s="4"/>
      <c r="C264" s="4">
        <v>510000</v>
      </c>
      <c r="D264" s="4" t="s">
        <v>46</v>
      </c>
      <c r="E264" s="13" t="s">
        <v>917</v>
      </c>
      <c r="F264" s="4" t="s">
        <v>918</v>
      </c>
      <c r="G264" s="4">
        <v>0</v>
      </c>
      <c r="H264" s="4" t="s">
        <v>211</v>
      </c>
      <c r="I264" s="5">
        <v>45097</v>
      </c>
      <c r="J264" s="5">
        <v>45462</v>
      </c>
      <c r="K264" s="4" t="s">
        <v>139</v>
      </c>
      <c r="L264" s="4" t="s">
        <v>140</v>
      </c>
      <c r="M264" s="7">
        <v>14466</v>
      </c>
      <c r="N264" s="16">
        <v>12.498271809760819</v>
      </c>
      <c r="O264" s="6">
        <v>1808</v>
      </c>
      <c r="P264" s="4" t="s">
        <v>125</v>
      </c>
      <c r="Q264" s="1" t="s">
        <v>52</v>
      </c>
      <c r="R264" s="4" t="s">
        <v>52</v>
      </c>
      <c r="S264" s="4"/>
      <c r="T264" s="4" t="s">
        <v>259</v>
      </c>
      <c r="U264" s="4" t="s">
        <v>260</v>
      </c>
      <c r="V264" s="4" t="s">
        <v>55</v>
      </c>
      <c r="W264" s="4">
        <v>3081</v>
      </c>
      <c r="X264" s="4" t="s">
        <v>42</v>
      </c>
      <c r="Y264" s="4"/>
      <c r="Z264" s="4" t="s">
        <v>117</v>
      </c>
      <c r="AA264" s="4"/>
      <c r="AB264" s="4"/>
      <c r="AC264" s="4" t="s">
        <v>52</v>
      </c>
      <c r="AD264" s="4" t="s">
        <v>45</v>
      </c>
    </row>
    <row r="265" spans="1:30">
      <c r="A265" s="4" t="s">
        <v>30</v>
      </c>
      <c r="B265" s="4"/>
      <c r="C265" s="4">
        <v>510000</v>
      </c>
      <c r="D265" s="4" t="s">
        <v>46</v>
      </c>
      <c r="E265" s="13" t="s">
        <v>919</v>
      </c>
      <c r="F265" s="4" t="s">
        <v>920</v>
      </c>
      <c r="G265" s="4">
        <v>10</v>
      </c>
      <c r="H265" s="4" t="s">
        <v>211</v>
      </c>
      <c r="I265" s="5">
        <v>44713</v>
      </c>
      <c r="J265" s="5">
        <v>45077</v>
      </c>
      <c r="K265" s="4" t="s">
        <v>384</v>
      </c>
      <c r="L265" s="4" t="s">
        <v>385</v>
      </c>
      <c r="M265" s="7">
        <v>307</v>
      </c>
      <c r="N265" s="16">
        <v>7.4918566775244306</v>
      </c>
      <c r="O265" s="6">
        <v>23</v>
      </c>
      <c r="P265" s="4" t="s">
        <v>37</v>
      </c>
      <c r="Q265" s="1">
        <v>387265</v>
      </c>
      <c r="R265" s="4" t="s">
        <v>52</v>
      </c>
      <c r="S265" s="4"/>
      <c r="T265" s="4" t="s">
        <v>428</v>
      </c>
      <c r="U265" s="4" t="s">
        <v>429</v>
      </c>
      <c r="V265" s="4" t="s">
        <v>55</v>
      </c>
      <c r="W265" s="4">
        <v>3081</v>
      </c>
      <c r="X265" s="4" t="s">
        <v>42</v>
      </c>
      <c r="Y265" s="4"/>
      <c r="Z265" s="4"/>
      <c r="AA265" s="4"/>
      <c r="AB265" s="4"/>
      <c r="AC265" s="4" t="s">
        <v>52</v>
      </c>
      <c r="AD265" s="4" t="s">
        <v>45</v>
      </c>
    </row>
    <row r="266" spans="1:30">
      <c r="A266" s="4" t="s">
        <v>30</v>
      </c>
      <c r="B266" s="4"/>
      <c r="C266" s="4">
        <v>510000</v>
      </c>
      <c r="D266" s="4" t="s">
        <v>46</v>
      </c>
      <c r="E266" s="13" t="s">
        <v>921</v>
      </c>
      <c r="F266" s="4" t="s">
        <v>922</v>
      </c>
      <c r="G266" s="4">
        <v>0</v>
      </c>
      <c r="H266" s="4" t="s">
        <v>84</v>
      </c>
      <c r="I266" s="5">
        <v>45078</v>
      </c>
      <c r="J266" s="5">
        <v>45443</v>
      </c>
      <c r="K266" s="4" t="s">
        <v>923</v>
      </c>
      <c r="L266" s="4" t="s">
        <v>924</v>
      </c>
      <c r="M266" s="7">
        <v>36570718</v>
      </c>
      <c r="N266" s="16">
        <v>9.9999978124574973</v>
      </c>
      <c r="O266" s="6">
        <v>3657071</v>
      </c>
      <c r="P266" s="4" t="s">
        <v>37</v>
      </c>
      <c r="Q266" s="1">
        <v>441855</v>
      </c>
      <c r="R266" s="4" t="s">
        <v>38</v>
      </c>
      <c r="S266" s="4"/>
      <c r="T266" s="4" t="s">
        <v>87</v>
      </c>
      <c r="U266" s="4" t="s">
        <v>88</v>
      </c>
      <c r="V266" s="4" t="s">
        <v>55</v>
      </c>
      <c r="W266" s="4">
        <v>3081</v>
      </c>
      <c r="X266" s="4" t="s">
        <v>42</v>
      </c>
      <c r="Y266" s="4"/>
      <c r="Z266" s="4"/>
      <c r="AA266" s="4"/>
      <c r="AB266" s="4" t="s">
        <v>43</v>
      </c>
      <c r="AC266" s="4" t="s">
        <v>44</v>
      </c>
      <c r="AD266" s="4" t="s">
        <v>45</v>
      </c>
    </row>
    <row r="267" spans="1:30">
      <c r="A267" s="4" t="s">
        <v>30</v>
      </c>
      <c r="B267" s="4"/>
      <c r="C267" s="4">
        <v>212203</v>
      </c>
      <c r="D267" s="4" t="s">
        <v>99</v>
      </c>
      <c r="E267" s="13" t="s">
        <v>925</v>
      </c>
      <c r="F267" s="4" t="s">
        <v>926</v>
      </c>
      <c r="G267" s="4">
        <v>0</v>
      </c>
      <c r="H267" s="4" t="s">
        <v>102</v>
      </c>
      <c r="I267" s="5">
        <v>45093</v>
      </c>
      <c r="J267" s="5">
        <v>45458</v>
      </c>
      <c r="K267" s="4" t="s">
        <v>103</v>
      </c>
      <c r="L267" s="4" t="s">
        <v>104</v>
      </c>
      <c r="M267" s="7">
        <v>8935</v>
      </c>
      <c r="N267" s="16">
        <v>14.997202014549526</v>
      </c>
      <c r="O267" s="6">
        <v>1340</v>
      </c>
      <c r="P267" s="4" t="s">
        <v>37</v>
      </c>
      <c r="Q267" s="1">
        <v>443965</v>
      </c>
      <c r="R267" s="4" t="s">
        <v>38</v>
      </c>
      <c r="S267" s="4"/>
      <c r="T267" s="4" t="s">
        <v>105</v>
      </c>
      <c r="U267" s="4" t="s">
        <v>106</v>
      </c>
      <c r="V267" s="4" t="s">
        <v>107</v>
      </c>
      <c r="W267" s="4">
        <v>3075</v>
      </c>
      <c r="X267" s="4" t="s">
        <v>42</v>
      </c>
      <c r="Y267" s="4"/>
      <c r="Z267" s="4"/>
      <c r="AA267" s="4"/>
      <c r="AB267" s="4"/>
      <c r="AC267" s="4" t="s">
        <v>44</v>
      </c>
      <c r="AD267" s="4" t="s">
        <v>45</v>
      </c>
    </row>
    <row r="268" spans="1:30">
      <c r="A268" s="4" t="s">
        <v>30</v>
      </c>
      <c r="B268" s="4"/>
      <c r="C268" s="4">
        <v>212200</v>
      </c>
      <c r="D268" s="4" t="s">
        <v>108</v>
      </c>
      <c r="E268" s="13" t="s">
        <v>927</v>
      </c>
      <c r="F268" s="4" t="s">
        <v>928</v>
      </c>
      <c r="G268" s="4">
        <v>0</v>
      </c>
      <c r="H268" s="4" t="s">
        <v>111</v>
      </c>
      <c r="I268" s="5">
        <v>45090</v>
      </c>
      <c r="J268" s="5">
        <v>45455</v>
      </c>
      <c r="K268" s="4" t="s">
        <v>359</v>
      </c>
      <c r="L268" s="4" t="s">
        <v>360</v>
      </c>
      <c r="M268" s="7">
        <v>1250</v>
      </c>
      <c r="N268" s="16">
        <v>12.64</v>
      </c>
      <c r="O268" s="6">
        <v>158</v>
      </c>
      <c r="P268" s="4" t="s">
        <v>37</v>
      </c>
      <c r="Q268" s="1" t="s">
        <v>52</v>
      </c>
      <c r="R268" s="4" t="s">
        <v>52</v>
      </c>
      <c r="S268" s="4"/>
      <c r="T268" s="4" t="s">
        <v>114</v>
      </c>
      <c r="U268" s="4" t="s">
        <v>115</v>
      </c>
      <c r="V268" s="4" t="s">
        <v>116</v>
      </c>
      <c r="W268" s="4">
        <v>3074</v>
      </c>
      <c r="X268" s="4" t="s">
        <v>42</v>
      </c>
      <c r="Y268" s="4"/>
      <c r="Z268" s="4" t="s">
        <v>117</v>
      </c>
      <c r="AA268" s="4"/>
      <c r="AB268" s="4"/>
      <c r="AC268" s="4" t="s">
        <v>52</v>
      </c>
      <c r="AD268" s="4" t="s">
        <v>45</v>
      </c>
    </row>
    <row r="269" spans="1:30">
      <c r="A269" s="4" t="s">
        <v>30</v>
      </c>
      <c r="B269" s="4"/>
      <c r="C269" s="4">
        <v>215600</v>
      </c>
      <c r="D269" s="4" t="s">
        <v>129</v>
      </c>
      <c r="E269" s="13" t="s">
        <v>929</v>
      </c>
      <c r="F269" s="4" t="s">
        <v>930</v>
      </c>
      <c r="G269" s="4">
        <v>0</v>
      </c>
      <c r="H269" s="4" t="s">
        <v>699</v>
      </c>
      <c r="I269" s="5">
        <v>45017</v>
      </c>
      <c r="J269" s="5">
        <v>45382</v>
      </c>
      <c r="K269" s="4" t="s">
        <v>225</v>
      </c>
      <c r="L269" s="4" t="s">
        <v>226</v>
      </c>
      <c r="M269" s="7">
        <v>4740</v>
      </c>
      <c r="N269" s="16">
        <v>12.510548523206751</v>
      </c>
      <c r="O269" s="6">
        <v>593</v>
      </c>
      <c r="P269" s="4" t="s">
        <v>37</v>
      </c>
      <c r="Q269" s="1">
        <v>426840</v>
      </c>
      <c r="R269" s="4" t="s">
        <v>38</v>
      </c>
      <c r="S269" s="4"/>
      <c r="T269" s="4" t="s">
        <v>227</v>
      </c>
      <c r="U269" s="4" t="s">
        <v>228</v>
      </c>
      <c r="V269" s="4" t="s">
        <v>136</v>
      </c>
      <c r="W269" s="4">
        <v>3076</v>
      </c>
      <c r="X269" s="4" t="s">
        <v>42</v>
      </c>
      <c r="Y269" s="4"/>
      <c r="Z269" s="4"/>
      <c r="AA269" s="4" t="s">
        <v>184</v>
      </c>
      <c r="AB269" s="4"/>
      <c r="AC269" s="4" t="s">
        <v>185</v>
      </c>
      <c r="AD269" s="4" t="s">
        <v>45</v>
      </c>
    </row>
    <row r="270" spans="1:30">
      <c r="A270" s="4" t="s">
        <v>30</v>
      </c>
      <c r="B270" s="4"/>
      <c r="C270" s="4">
        <v>212203</v>
      </c>
      <c r="D270" s="4" t="s">
        <v>99</v>
      </c>
      <c r="E270" s="13" t="s">
        <v>931</v>
      </c>
      <c r="F270" s="4" t="s">
        <v>932</v>
      </c>
      <c r="G270" s="4">
        <v>0</v>
      </c>
      <c r="H270" s="4" t="s">
        <v>933</v>
      </c>
      <c r="I270" s="5">
        <v>45084</v>
      </c>
      <c r="J270" s="5">
        <v>45449</v>
      </c>
      <c r="K270" s="4" t="s">
        <v>199</v>
      </c>
      <c r="L270" s="4" t="s">
        <v>200</v>
      </c>
      <c r="M270" s="7">
        <v>3690</v>
      </c>
      <c r="N270" s="16">
        <v>10.894308943089431</v>
      </c>
      <c r="O270" s="6">
        <v>402</v>
      </c>
      <c r="P270" s="4" t="s">
        <v>37</v>
      </c>
      <c r="Q270" s="1">
        <v>443796</v>
      </c>
      <c r="R270" s="4" t="s">
        <v>38</v>
      </c>
      <c r="S270" s="4"/>
      <c r="T270" s="4" t="s">
        <v>105</v>
      </c>
      <c r="U270" s="4" t="s">
        <v>106</v>
      </c>
      <c r="V270" s="4" t="s">
        <v>107</v>
      </c>
      <c r="W270" s="4">
        <v>3075</v>
      </c>
      <c r="X270" s="4" t="s">
        <v>42</v>
      </c>
      <c r="Y270" s="4"/>
      <c r="Z270" s="4"/>
      <c r="AA270" s="4" t="s">
        <v>201</v>
      </c>
      <c r="AB270" s="4"/>
      <c r="AC270" s="4" t="s">
        <v>185</v>
      </c>
      <c r="AD270" s="4" t="s">
        <v>45</v>
      </c>
    </row>
    <row r="271" spans="1:30">
      <c r="A271" s="4" t="s">
        <v>30</v>
      </c>
      <c r="B271" s="4"/>
      <c r="C271" s="4">
        <v>212203</v>
      </c>
      <c r="D271" s="4" t="s">
        <v>99</v>
      </c>
      <c r="E271" s="13" t="s">
        <v>934</v>
      </c>
      <c r="F271" s="4" t="s">
        <v>935</v>
      </c>
      <c r="G271" s="4">
        <v>0</v>
      </c>
      <c r="H271" s="4" t="s">
        <v>198</v>
      </c>
      <c r="I271" s="5">
        <v>45084</v>
      </c>
      <c r="J271" s="5">
        <v>45449</v>
      </c>
      <c r="K271" s="4" t="s">
        <v>199</v>
      </c>
      <c r="L271" s="4" t="s">
        <v>200</v>
      </c>
      <c r="M271" s="7">
        <v>3690</v>
      </c>
      <c r="N271" s="16">
        <v>10.894308943089431</v>
      </c>
      <c r="O271" s="6">
        <v>402</v>
      </c>
      <c r="P271" s="4" t="s">
        <v>37</v>
      </c>
      <c r="Q271" s="1">
        <v>443808</v>
      </c>
      <c r="R271" s="4" t="s">
        <v>38</v>
      </c>
      <c r="S271" s="4"/>
      <c r="T271" s="4" t="s">
        <v>105</v>
      </c>
      <c r="U271" s="4" t="s">
        <v>106</v>
      </c>
      <c r="V271" s="4" t="s">
        <v>107</v>
      </c>
      <c r="W271" s="4">
        <v>3075</v>
      </c>
      <c r="X271" s="4" t="s">
        <v>42</v>
      </c>
      <c r="Y271" s="4"/>
      <c r="Z271" s="4"/>
      <c r="AA271" s="4" t="s">
        <v>201</v>
      </c>
      <c r="AB271" s="4"/>
      <c r="AC271" s="4" t="s">
        <v>185</v>
      </c>
      <c r="AD271" s="4" t="s">
        <v>45</v>
      </c>
    </row>
    <row r="272" spans="1:30">
      <c r="A272" s="4" t="s">
        <v>30</v>
      </c>
      <c r="B272" s="4"/>
      <c r="C272" s="4">
        <v>212203</v>
      </c>
      <c r="D272" s="4" t="s">
        <v>99</v>
      </c>
      <c r="E272" s="13" t="s">
        <v>936</v>
      </c>
      <c r="F272" s="4" t="s">
        <v>937</v>
      </c>
      <c r="G272" s="4">
        <v>0</v>
      </c>
      <c r="H272" s="4" t="s">
        <v>938</v>
      </c>
      <c r="I272" s="5">
        <v>45069</v>
      </c>
      <c r="J272" s="5">
        <v>45434</v>
      </c>
      <c r="K272" s="4" t="s">
        <v>623</v>
      </c>
      <c r="L272" s="4" t="s">
        <v>624</v>
      </c>
      <c r="M272" s="7">
        <v>452193</v>
      </c>
      <c r="N272" s="16">
        <v>16.500034277399251</v>
      </c>
      <c r="O272" s="6">
        <v>74612</v>
      </c>
      <c r="P272" s="4" t="s">
        <v>37</v>
      </c>
      <c r="Q272" s="1" t="s">
        <v>52</v>
      </c>
      <c r="R272" s="4" t="s">
        <v>52</v>
      </c>
      <c r="S272" s="4"/>
      <c r="T272" s="4" t="s">
        <v>939</v>
      </c>
      <c r="U272" s="4" t="s">
        <v>939</v>
      </c>
      <c r="V272" s="4" t="s">
        <v>107</v>
      </c>
      <c r="W272" s="4">
        <v>3075</v>
      </c>
      <c r="X272" s="4" t="s">
        <v>42</v>
      </c>
      <c r="Y272" s="4"/>
      <c r="Z272" s="4" t="s">
        <v>117</v>
      </c>
      <c r="AA272" s="4"/>
      <c r="AB272" s="4"/>
      <c r="AC272" s="4" t="s">
        <v>52</v>
      </c>
      <c r="AD272" s="4" t="s">
        <v>45</v>
      </c>
    </row>
    <row r="273" spans="1:30">
      <c r="A273" s="4" t="s">
        <v>30</v>
      </c>
      <c r="B273" s="4"/>
      <c r="C273" s="4">
        <v>510000</v>
      </c>
      <c r="D273" s="4" t="s">
        <v>46</v>
      </c>
      <c r="E273" s="13" t="s">
        <v>940</v>
      </c>
      <c r="F273" s="4" t="s">
        <v>941</v>
      </c>
      <c r="G273" s="4">
        <v>2</v>
      </c>
      <c r="H273" s="4" t="s">
        <v>942</v>
      </c>
      <c r="I273" s="5">
        <v>44960</v>
      </c>
      <c r="J273" s="5">
        <v>45324</v>
      </c>
      <c r="K273" s="4" t="s">
        <v>50</v>
      </c>
      <c r="L273" s="4" t="s">
        <v>51</v>
      </c>
      <c r="M273" s="7">
        <v>36309</v>
      </c>
      <c r="N273" s="16">
        <v>0.50001377069046249</v>
      </c>
      <c r="O273" s="6">
        <v>181.55</v>
      </c>
      <c r="P273" s="4" t="s">
        <v>37</v>
      </c>
      <c r="Q273" s="1">
        <v>434028</v>
      </c>
      <c r="R273" s="4" t="s">
        <v>52</v>
      </c>
      <c r="S273" s="4"/>
      <c r="T273" s="4" t="s">
        <v>53</v>
      </c>
      <c r="U273" s="4" t="s">
        <v>54</v>
      </c>
      <c r="V273" s="4" t="s">
        <v>55</v>
      </c>
      <c r="W273" s="4">
        <v>3081</v>
      </c>
      <c r="X273" s="4" t="s">
        <v>42</v>
      </c>
      <c r="Y273" s="4"/>
      <c r="Z273" s="4"/>
      <c r="AA273" s="4"/>
      <c r="AB273" s="4"/>
      <c r="AC273" s="4" t="s">
        <v>52</v>
      </c>
      <c r="AD273" s="4" t="s">
        <v>45</v>
      </c>
    </row>
    <row r="274" spans="1:30">
      <c r="A274" s="4" t="s">
        <v>30</v>
      </c>
      <c r="B274" s="4"/>
      <c r="C274" s="4">
        <v>414890</v>
      </c>
      <c r="D274" s="4" t="s">
        <v>317</v>
      </c>
      <c r="E274" s="13" t="s">
        <v>943</v>
      </c>
      <c r="F274" s="4" t="s">
        <v>944</v>
      </c>
      <c r="G274" s="4">
        <v>0</v>
      </c>
      <c r="H274" s="4" t="s">
        <v>945</v>
      </c>
      <c r="I274" s="5">
        <v>45086</v>
      </c>
      <c r="J274" s="5">
        <v>45451</v>
      </c>
      <c r="K274" s="4" t="s">
        <v>199</v>
      </c>
      <c r="L274" s="4" t="s">
        <v>200</v>
      </c>
      <c r="M274" s="7">
        <v>10399</v>
      </c>
      <c r="N274" s="16">
        <v>12.16463121453986</v>
      </c>
      <c r="O274" s="6">
        <v>1265</v>
      </c>
      <c r="P274" s="4" t="s">
        <v>151</v>
      </c>
      <c r="Q274" s="1">
        <v>437362</v>
      </c>
      <c r="R274" s="4" t="s">
        <v>38</v>
      </c>
      <c r="S274" s="4"/>
      <c r="T274" s="4" t="s">
        <v>239</v>
      </c>
      <c r="U274" s="4" t="s">
        <v>240</v>
      </c>
      <c r="V274" s="4" t="s">
        <v>323</v>
      </c>
      <c r="W274" s="4">
        <v>3071</v>
      </c>
      <c r="X274" s="4" t="s">
        <v>42</v>
      </c>
      <c r="Y274" s="4"/>
      <c r="Z274" s="4"/>
      <c r="AA274" s="4"/>
      <c r="AB274" s="4" t="s">
        <v>43</v>
      </c>
      <c r="AC274" s="4" t="s">
        <v>44</v>
      </c>
      <c r="AD274" s="4" t="s">
        <v>45</v>
      </c>
    </row>
    <row r="275" spans="1:30">
      <c r="A275" s="4" t="s">
        <v>30</v>
      </c>
      <c r="B275" s="4"/>
      <c r="C275" s="4">
        <v>212200</v>
      </c>
      <c r="D275" s="4" t="s">
        <v>108</v>
      </c>
      <c r="E275" s="13" t="s">
        <v>946</v>
      </c>
      <c r="F275" s="4" t="s">
        <v>947</v>
      </c>
      <c r="G275" s="4">
        <v>0</v>
      </c>
      <c r="H275" s="4" t="s">
        <v>111</v>
      </c>
      <c r="I275" s="5">
        <v>45092</v>
      </c>
      <c r="J275" s="5">
        <v>45457</v>
      </c>
      <c r="K275" s="4" t="s">
        <v>85</v>
      </c>
      <c r="L275" s="4" t="s">
        <v>86</v>
      </c>
      <c r="M275" s="7">
        <v>112251</v>
      </c>
      <c r="N275" s="16">
        <v>17.298732305280133</v>
      </c>
      <c r="O275" s="6">
        <v>19418</v>
      </c>
      <c r="P275" s="4" t="s">
        <v>37</v>
      </c>
      <c r="Q275" s="1" t="s">
        <v>52</v>
      </c>
      <c r="R275" s="4" t="s">
        <v>52</v>
      </c>
      <c r="S275" s="4"/>
      <c r="T275" s="4" t="s">
        <v>114</v>
      </c>
      <c r="U275" s="4" t="s">
        <v>115</v>
      </c>
      <c r="V275" s="4" t="s">
        <v>116</v>
      </c>
      <c r="W275" s="4">
        <v>3074</v>
      </c>
      <c r="X275" s="4" t="s">
        <v>42</v>
      </c>
      <c r="Y275" s="4"/>
      <c r="Z275" s="4" t="s">
        <v>117</v>
      </c>
      <c r="AA275" s="4"/>
      <c r="AB275" s="4"/>
      <c r="AC275" s="4" t="s">
        <v>52</v>
      </c>
      <c r="AD275" s="4" t="s">
        <v>45</v>
      </c>
    </row>
    <row r="276" spans="1:30">
      <c r="A276" s="4" t="s">
        <v>30</v>
      </c>
      <c r="B276" s="4"/>
      <c r="C276" s="4">
        <v>442600</v>
      </c>
      <c r="D276" s="4" t="s">
        <v>390</v>
      </c>
      <c r="E276" s="13" t="s">
        <v>948</v>
      </c>
      <c r="F276" s="4" t="s">
        <v>949</v>
      </c>
      <c r="G276" s="4">
        <v>0</v>
      </c>
      <c r="H276" s="4" t="s">
        <v>950</v>
      </c>
      <c r="I276" s="5">
        <v>45080</v>
      </c>
      <c r="J276" s="5">
        <v>45445</v>
      </c>
      <c r="K276" s="4" t="s">
        <v>35</v>
      </c>
      <c r="L276" s="4" t="s">
        <v>36</v>
      </c>
      <c r="M276" s="7">
        <v>12019</v>
      </c>
      <c r="N276" s="16">
        <v>15.492137449039022</v>
      </c>
      <c r="O276" s="6">
        <v>1862</v>
      </c>
      <c r="P276" s="4" t="s">
        <v>95</v>
      </c>
      <c r="Q276" s="1">
        <v>439156</v>
      </c>
      <c r="R276" s="4" t="s">
        <v>38</v>
      </c>
      <c r="S276" s="4"/>
      <c r="T276" s="4" t="s">
        <v>900</v>
      </c>
      <c r="U276" s="4" t="s">
        <v>951</v>
      </c>
      <c r="V276" s="4" t="s">
        <v>396</v>
      </c>
      <c r="W276" s="4">
        <v>3073</v>
      </c>
      <c r="X276" s="4" t="s">
        <v>42</v>
      </c>
      <c r="Y276" s="4"/>
      <c r="Z276" s="4"/>
      <c r="AA276" s="4"/>
      <c r="AB276" s="4" t="s">
        <v>43</v>
      </c>
      <c r="AC276" s="4" t="s">
        <v>44</v>
      </c>
      <c r="AD276" s="4" t="s">
        <v>45</v>
      </c>
    </row>
    <row r="277" spans="1:30">
      <c r="A277" s="4" t="s">
        <v>30</v>
      </c>
      <c r="B277" s="4"/>
      <c r="C277" s="4">
        <v>510000</v>
      </c>
      <c r="D277" s="4" t="s">
        <v>46</v>
      </c>
      <c r="E277" s="13" t="s">
        <v>952</v>
      </c>
      <c r="F277" s="4" t="s">
        <v>787</v>
      </c>
      <c r="G277" s="4">
        <v>3</v>
      </c>
      <c r="H277" s="4" t="s">
        <v>788</v>
      </c>
      <c r="I277" s="5">
        <v>44964</v>
      </c>
      <c r="J277" s="5">
        <v>45291</v>
      </c>
      <c r="K277" s="4" t="s">
        <v>50</v>
      </c>
      <c r="L277" s="4" t="s">
        <v>51</v>
      </c>
      <c r="M277" s="7">
        <v>5071</v>
      </c>
      <c r="N277" s="16">
        <v>5</v>
      </c>
      <c r="O277" s="6">
        <v>253.55</v>
      </c>
      <c r="P277" s="4" t="s">
        <v>37</v>
      </c>
      <c r="Q277" s="1">
        <v>430631</v>
      </c>
      <c r="R277" s="4" t="s">
        <v>52</v>
      </c>
      <c r="S277" s="4"/>
      <c r="T277" s="4" t="s">
        <v>53</v>
      </c>
      <c r="U277" s="4" t="s">
        <v>54</v>
      </c>
      <c r="V277" s="4" t="s">
        <v>55</v>
      </c>
      <c r="W277" s="4">
        <v>3081</v>
      </c>
      <c r="X277" s="4" t="s">
        <v>42</v>
      </c>
      <c r="Y277" s="4"/>
      <c r="Z277" s="4"/>
      <c r="AA277" s="4"/>
      <c r="AB277" s="4"/>
      <c r="AC277" s="4" t="s">
        <v>52</v>
      </c>
      <c r="AD277" s="4" t="s">
        <v>45</v>
      </c>
    </row>
    <row r="278" spans="1:30">
      <c r="A278" s="4" t="s">
        <v>30</v>
      </c>
      <c r="B278" s="4"/>
      <c r="C278" s="4">
        <v>510000</v>
      </c>
      <c r="D278" s="4" t="s">
        <v>46</v>
      </c>
      <c r="E278" s="13" t="s">
        <v>953</v>
      </c>
      <c r="F278" s="4" t="s">
        <v>954</v>
      </c>
      <c r="G278" s="4">
        <v>0</v>
      </c>
      <c r="H278" s="4" t="s">
        <v>84</v>
      </c>
      <c r="I278" s="5">
        <v>45078</v>
      </c>
      <c r="J278" s="5">
        <v>45443</v>
      </c>
      <c r="K278" s="4" t="s">
        <v>139</v>
      </c>
      <c r="L278" s="4" t="s">
        <v>140</v>
      </c>
      <c r="M278" s="7">
        <v>13217</v>
      </c>
      <c r="N278" s="16">
        <v>12.499054248316563</v>
      </c>
      <c r="O278" s="6">
        <v>1652</v>
      </c>
      <c r="P278" s="4" t="s">
        <v>37</v>
      </c>
      <c r="Q278" s="1" t="s">
        <v>52</v>
      </c>
      <c r="R278" s="4" t="s">
        <v>52</v>
      </c>
      <c r="S278" s="4"/>
      <c r="T278" s="4" t="s">
        <v>141</v>
      </c>
      <c r="U278" s="4" t="s">
        <v>142</v>
      </c>
      <c r="V278" s="4" t="s">
        <v>55</v>
      </c>
      <c r="W278" s="4">
        <v>3081</v>
      </c>
      <c r="X278" s="4" t="s">
        <v>42</v>
      </c>
      <c r="Y278" s="4"/>
      <c r="Z278" s="4" t="s">
        <v>117</v>
      </c>
      <c r="AA278" s="4"/>
      <c r="AB278" s="4"/>
      <c r="AC278" s="4" t="s">
        <v>52</v>
      </c>
      <c r="AD278" s="4" t="s">
        <v>45</v>
      </c>
    </row>
    <row r="279" spans="1:30">
      <c r="A279" s="4" t="s">
        <v>30</v>
      </c>
      <c r="B279" s="4"/>
      <c r="C279" s="4">
        <v>212203</v>
      </c>
      <c r="D279" s="4" t="s">
        <v>99</v>
      </c>
      <c r="E279" s="13" t="s">
        <v>955</v>
      </c>
      <c r="F279" s="4" t="s">
        <v>956</v>
      </c>
      <c r="G279" s="4">
        <v>0</v>
      </c>
      <c r="H279" s="4" t="s">
        <v>579</v>
      </c>
      <c r="I279" s="5">
        <v>45104</v>
      </c>
      <c r="J279" s="5">
        <v>45469</v>
      </c>
      <c r="K279" s="4" t="s">
        <v>205</v>
      </c>
      <c r="L279" s="4" t="s">
        <v>206</v>
      </c>
      <c r="M279" s="7">
        <v>7710</v>
      </c>
      <c r="N279" s="16">
        <v>15.006485084306098</v>
      </c>
      <c r="O279" s="6">
        <v>1157</v>
      </c>
      <c r="P279" s="4" t="s">
        <v>37</v>
      </c>
      <c r="Q279" s="1">
        <v>443951</v>
      </c>
      <c r="R279" s="4" t="s">
        <v>38</v>
      </c>
      <c r="S279" s="4"/>
      <c r="T279" s="4" t="s">
        <v>105</v>
      </c>
      <c r="U279" s="4" t="s">
        <v>106</v>
      </c>
      <c r="V279" s="4" t="s">
        <v>107</v>
      </c>
      <c r="W279" s="4">
        <v>3075</v>
      </c>
      <c r="X279" s="4" t="s">
        <v>42</v>
      </c>
      <c r="Y279" s="4"/>
      <c r="Z279" s="4"/>
      <c r="AA279" s="4"/>
      <c r="AB279" s="4"/>
      <c r="AC279" s="4" t="s">
        <v>44</v>
      </c>
      <c r="AD279" s="4" t="s">
        <v>45</v>
      </c>
    </row>
    <row r="280" spans="1:30">
      <c r="A280" s="4" t="s">
        <v>30</v>
      </c>
      <c r="B280" s="4"/>
      <c r="C280" s="4">
        <v>540000</v>
      </c>
      <c r="D280" s="4" t="s">
        <v>56</v>
      </c>
      <c r="E280" s="13" t="s">
        <v>957</v>
      </c>
      <c r="F280" s="4" t="s">
        <v>958</v>
      </c>
      <c r="G280" s="4">
        <v>6</v>
      </c>
      <c r="H280" s="4" t="s">
        <v>959</v>
      </c>
      <c r="I280" s="5">
        <v>44904</v>
      </c>
      <c r="J280" s="5">
        <v>45268</v>
      </c>
      <c r="K280" s="4" t="s">
        <v>50</v>
      </c>
      <c r="L280" s="4" t="s">
        <v>51</v>
      </c>
      <c r="M280" s="7">
        <v>-28317</v>
      </c>
      <c r="N280" s="16">
        <v>7.5000176572377022</v>
      </c>
      <c r="O280" s="6">
        <v>-2123.7800000000002</v>
      </c>
      <c r="P280" s="4" t="s">
        <v>60</v>
      </c>
      <c r="Q280" s="1">
        <v>416160</v>
      </c>
      <c r="R280" s="4" t="s">
        <v>438</v>
      </c>
      <c r="S280" s="4"/>
      <c r="T280" s="4" t="s">
        <v>80</v>
      </c>
      <c r="U280" s="4" t="s">
        <v>468</v>
      </c>
      <c r="V280" s="4" t="s">
        <v>64</v>
      </c>
      <c r="W280" s="4">
        <v>3123</v>
      </c>
      <c r="X280" s="4" t="s">
        <v>42</v>
      </c>
      <c r="Y280" s="4"/>
      <c r="Z280" s="4"/>
      <c r="AA280" s="4"/>
      <c r="AB280" s="4"/>
      <c r="AC280" s="4" t="s">
        <v>44</v>
      </c>
      <c r="AD280" s="4" t="s">
        <v>45</v>
      </c>
    </row>
    <row r="281" spans="1:30">
      <c r="A281" s="4" t="s">
        <v>30</v>
      </c>
      <c r="B281" s="4"/>
      <c r="C281" s="4">
        <v>510000</v>
      </c>
      <c r="D281" s="4" t="s">
        <v>46</v>
      </c>
      <c r="E281" s="13" t="s">
        <v>960</v>
      </c>
      <c r="F281" s="4" t="s">
        <v>961</v>
      </c>
      <c r="G281" s="4">
        <v>3</v>
      </c>
      <c r="H281" s="4" t="s">
        <v>962</v>
      </c>
      <c r="I281" s="5">
        <v>44956</v>
      </c>
      <c r="J281" s="5">
        <v>45280</v>
      </c>
      <c r="K281" s="4" t="s">
        <v>50</v>
      </c>
      <c r="L281" s="4" t="s">
        <v>51</v>
      </c>
      <c r="M281" s="7">
        <v>-2208</v>
      </c>
      <c r="N281" s="16">
        <v>2.1798007246376816</v>
      </c>
      <c r="O281" s="6">
        <v>-48.13</v>
      </c>
      <c r="P281" s="4" t="s">
        <v>37</v>
      </c>
      <c r="Q281" s="1">
        <v>423175</v>
      </c>
      <c r="R281" s="4" t="s">
        <v>52</v>
      </c>
      <c r="S281" s="4"/>
      <c r="T281" s="4" t="s">
        <v>165</v>
      </c>
      <c r="U281" s="4" t="s">
        <v>576</v>
      </c>
      <c r="V281" s="4" t="s">
        <v>55</v>
      </c>
      <c r="W281" s="4">
        <v>3081</v>
      </c>
      <c r="X281" s="4" t="s">
        <v>42</v>
      </c>
      <c r="Y281" s="4"/>
      <c r="Z281" s="4"/>
      <c r="AA281" s="4"/>
      <c r="AB281" s="4"/>
      <c r="AC281" s="4" t="s">
        <v>52</v>
      </c>
      <c r="AD281" s="4" t="s">
        <v>45</v>
      </c>
    </row>
    <row r="282" spans="1:30">
      <c r="A282" s="4" t="s">
        <v>30</v>
      </c>
      <c r="B282" s="4"/>
      <c r="C282" s="4">
        <v>215600</v>
      </c>
      <c r="D282" s="4" t="s">
        <v>129</v>
      </c>
      <c r="E282" s="13" t="s">
        <v>963</v>
      </c>
      <c r="F282" s="4" t="s">
        <v>964</v>
      </c>
      <c r="G282" s="4">
        <v>1</v>
      </c>
      <c r="H282" s="4" t="s">
        <v>965</v>
      </c>
      <c r="I282" s="5">
        <v>45017</v>
      </c>
      <c r="J282" s="5">
        <v>45382</v>
      </c>
      <c r="K282" s="4" t="s">
        <v>359</v>
      </c>
      <c r="L282" s="4" t="s">
        <v>360</v>
      </c>
      <c r="M282" s="7">
        <v>2869</v>
      </c>
      <c r="N282" s="16">
        <v>12.50017427675148</v>
      </c>
      <c r="O282" s="6">
        <v>358.63</v>
      </c>
      <c r="P282" s="4" t="s">
        <v>37</v>
      </c>
      <c r="Q282" s="1">
        <v>429074</v>
      </c>
      <c r="R282" s="4" t="s">
        <v>52</v>
      </c>
      <c r="S282" s="4"/>
      <c r="T282" s="4" t="s">
        <v>227</v>
      </c>
      <c r="U282" s="4" t="s">
        <v>228</v>
      </c>
      <c r="V282" s="4" t="s">
        <v>136</v>
      </c>
      <c r="W282" s="4">
        <v>3076</v>
      </c>
      <c r="X282" s="4" t="s">
        <v>42</v>
      </c>
      <c r="Y282" s="4"/>
      <c r="Z282" s="4"/>
      <c r="AA282" s="4"/>
      <c r="AB282" s="4"/>
      <c r="AC282" s="4" t="s">
        <v>52</v>
      </c>
      <c r="AD282" s="4" t="s">
        <v>45</v>
      </c>
    </row>
    <row r="283" spans="1:30">
      <c r="A283" s="4" t="s">
        <v>30</v>
      </c>
      <c r="B283" s="4"/>
      <c r="C283" s="4">
        <v>421300</v>
      </c>
      <c r="D283" s="4" t="s">
        <v>161</v>
      </c>
      <c r="E283" s="13" t="s">
        <v>966</v>
      </c>
      <c r="F283" s="4" t="s">
        <v>967</v>
      </c>
      <c r="G283" s="4">
        <v>6</v>
      </c>
      <c r="H283" s="4" t="s">
        <v>968</v>
      </c>
      <c r="I283" s="5">
        <v>44850</v>
      </c>
      <c r="J283" s="5">
        <v>45214</v>
      </c>
      <c r="K283" s="4" t="s">
        <v>50</v>
      </c>
      <c r="L283" s="4" t="s">
        <v>51</v>
      </c>
      <c r="M283" s="7">
        <v>-47099</v>
      </c>
      <c r="N283" s="16">
        <v>7.4990976453852518</v>
      </c>
      <c r="O283" s="6">
        <v>-3532</v>
      </c>
      <c r="P283" s="4" t="s">
        <v>60</v>
      </c>
      <c r="Q283" s="1" t="s">
        <v>52</v>
      </c>
      <c r="R283" s="4" t="s">
        <v>52</v>
      </c>
      <c r="S283" s="4"/>
      <c r="T283" s="4" t="s">
        <v>80</v>
      </c>
      <c r="U283" s="4" t="s">
        <v>468</v>
      </c>
      <c r="V283" s="4" t="s">
        <v>167</v>
      </c>
      <c r="W283" s="4">
        <v>3066</v>
      </c>
      <c r="X283" s="4" t="s">
        <v>42</v>
      </c>
      <c r="Y283" s="4"/>
      <c r="Z283" s="4"/>
      <c r="AA283" s="4"/>
      <c r="AB283" s="4"/>
      <c r="AC283" s="4" t="s">
        <v>52</v>
      </c>
      <c r="AD283" s="4" t="s">
        <v>45</v>
      </c>
    </row>
    <row r="284" spans="1:30">
      <c r="A284" s="4" t="s">
        <v>30</v>
      </c>
      <c r="B284" s="4"/>
      <c r="C284" s="4">
        <v>510000</v>
      </c>
      <c r="D284" s="4" t="s">
        <v>46</v>
      </c>
      <c r="E284" s="13" t="s">
        <v>969</v>
      </c>
      <c r="F284" s="4" t="s">
        <v>408</v>
      </c>
      <c r="G284" s="4">
        <v>4</v>
      </c>
      <c r="H284" s="4" t="s">
        <v>409</v>
      </c>
      <c r="I284" s="5">
        <v>44938</v>
      </c>
      <c r="J284" s="5">
        <v>45291</v>
      </c>
      <c r="K284" s="4" t="s">
        <v>50</v>
      </c>
      <c r="L284" s="4" t="s">
        <v>51</v>
      </c>
      <c r="M284" s="7">
        <v>-34710</v>
      </c>
      <c r="N284" s="16">
        <v>5</v>
      </c>
      <c r="O284" s="6">
        <v>-1735.5</v>
      </c>
      <c r="P284" s="4" t="s">
        <v>37</v>
      </c>
      <c r="Q284" s="1">
        <v>430579</v>
      </c>
      <c r="R284" s="4" t="s">
        <v>52</v>
      </c>
      <c r="S284" s="4"/>
      <c r="T284" s="4" t="s">
        <v>53</v>
      </c>
      <c r="U284" s="4" t="s">
        <v>54</v>
      </c>
      <c r="V284" s="4" t="s">
        <v>55</v>
      </c>
      <c r="W284" s="4">
        <v>3081</v>
      </c>
      <c r="X284" s="4" t="s">
        <v>42</v>
      </c>
      <c r="Y284" s="4"/>
      <c r="Z284" s="4"/>
      <c r="AA284" s="4"/>
      <c r="AB284" s="4"/>
      <c r="AC284" s="4" t="s">
        <v>52</v>
      </c>
      <c r="AD284" s="4" t="s">
        <v>45</v>
      </c>
    </row>
    <row r="285" spans="1:30">
      <c r="A285" s="4" t="s">
        <v>30</v>
      </c>
      <c r="B285" s="4"/>
      <c r="C285" s="4">
        <v>132000</v>
      </c>
      <c r="D285" s="4" t="s">
        <v>91</v>
      </c>
      <c r="E285" s="13" t="s">
        <v>970</v>
      </c>
      <c r="F285" s="4" t="s">
        <v>971</v>
      </c>
      <c r="G285" s="4">
        <v>5</v>
      </c>
      <c r="H285" s="4" t="s">
        <v>94</v>
      </c>
      <c r="I285" s="5">
        <v>44441</v>
      </c>
      <c r="J285" s="5">
        <v>44805</v>
      </c>
      <c r="K285" s="4" t="s">
        <v>85</v>
      </c>
      <c r="L285" s="4" t="s">
        <v>86</v>
      </c>
      <c r="M285" s="7">
        <v>-55005</v>
      </c>
      <c r="N285" s="16">
        <v>10.342696118534679</v>
      </c>
      <c r="O285" s="6">
        <v>-5689</v>
      </c>
      <c r="P285" s="4" t="s">
        <v>95</v>
      </c>
      <c r="Q285" s="1">
        <v>360474</v>
      </c>
      <c r="R285" s="4" t="s">
        <v>52</v>
      </c>
      <c r="S285" s="4"/>
      <c r="T285" s="4" t="s">
        <v>96</v>
      </c>
      <c r="U285" s="4" t="s">
        <v>97</v>
      </c>
      <c r="V285" s="4" t="s">
        <v>98</v>
      </c>
      <c r="W285" s="4">
        <v>3100</v>
      </c>
      <c r="X285" s="4" t="s">
        <v>42</v>
      </c>
      <c r="Y285" s="4"/>
      <c r="Z285" s="4"/>
      <c r="AA285" s="4"/>
      <c r="AB285" s="4"/>
      <c r="AC285" s="4" t="s">
        <v>52</v>
      </c>
      <c r="AD285" s="4" t="s">
        <v>45</v>
      </c>
    </row>
    <row r="286" spans="1:30">
      <c r="A286" s="4" t="s">
        <v>30</v>
      </c>
      <c r="B286" s="4"/>
      <c r="C286" s="4">
        <v>510000</v>
      </c>
      <c r="D286" s="4" t="s">
        <v>46</v>
      </c>
      <c r="E286" s="13" t="s">
        <v>972</v>
      </c>
      <c r="F286" s="4" t="s">
        <v>973</v>
      </c>
      <c r="G286" s="4">
        <v>12</v>
      </c>
      <c r="H286" s="4" t="s">
        <v>84</v>
      </c>
      <c r="I286" s="5">
        <v>44713</v>
      </c>
      <c r="J286" s="5">
        <v>45077</v>
      </c>
      <c r="K286" s="4" t="s">
        <v>384</v>
      </c>
      <c r="L286" s="4" t="s">
        <v>385</v>
      </c>
      <c r="M286" s="7">
        <v>1251</v>
      </c>
      <c r="N286" s="16">
        <v>7.434052757793765</v>
      </c>
      <c r="O286" s="6">
        <v>93</v>
      </c>
      <c r="P286" s="4" t="s">
        <v>37</v>
      </c>
      <c r="Q286" s="1">
        <v>387264</v>
      </c>
      <c r="R286" s="4" t="s">
        <v>52</v>
      </c>
      <c r="S286" s="4"/>
      <c r="T286" s="4" t="s">
        <v>428</v>
      </c>
      <c r="U286" s="4" t="s">
        <v>429</v>
      </c>
      <c r="V286" s="4" t="s">
        <v>55</v>
      </c>
      <c r="W286" s="4">
        <v>3081</v>
      </c>
      <c r="X286" s="4" t="s">
        <v>42</v>
      </c>
      <c r="Y286" s="4"/>
      <c r="Z286" s="4"/>
      <c r="AA286" s="4"/>
      <c r="AB286" s="4"/>
      <c r="AC286" s="4" t="s">
        <v>52</v>
      </c>
      <c r="AD286" s="4" t="s">
        <v>45</v>
      </c>
    </row>
    <row r="287" spans="1:30">
      <c r="A287" s="4" t="s">
        <v>30</v>
      </c>
      <c r="B287" s="4"/>
      <c r="C287" s="4">
        <v>510000</v>
      </c>
      <c r="D287" s="4" t="s">
        <v>46</v>
      </c>
      <c r="E287" s="13" t="s">
        <v>974</v>
      </c>
      <c r="F287" s="4" t="s">
        <v>975</v>
      </c>
      <c r="G287" s="4">
        <v>0</v>
      </c>
      <c r="H287" s="4" t="s">
        <v>211</v>
      </c>
      <c r="I287" s="5">
        <v>45099</v>
      </c>
      <c r="J287" s="5">
        <v>45464</v>
      </c>
      <c r="K287" s="4" t="s">
        <v>139</v>
      </c>
      <c r="L287" s="4" t="s">
        <v>140</v>
      </c>
      <c r="M287" s="7">
        <v>29742</v>
      </c>
      <c r="N287" s="16">
        <v>12.497478313496066</v>
      </c>
      <c r="O287" s="6">
        <v>3717</v>
      </c>
      <c r="P287" s="4" t="s">
        <v>125</v>
      </c>
      <c r="Q287" s="1" t="s">
        <v>52</v>
      </c>
      <c r="R287" s="4" t="s">
        <v>52</v>
      </c>
      <c r="S287" s="4"/>
      <c r="T287" s="4" t="s">
        <v>259</v>
      </c>
      <c r="U287" s="4" t="s">
        <v>260</v>
      </c>
      <c r="V287" s="4" t="s">
        <v>55</v>
      </c>
      <c r="W287" s="4">
        <v>3081</v>
      </c>
      <c r="X287" s="4" t="s">
        <v>42</v>
      </c>
      <c r="Y287" s="4"/>
      <c r="Z287" s="4" t="s">
        <v>117</v>
      </c>
      <c r="AA287" s="4"/>
      <c r="AB287" s="4"/>
      <c r="AC287" s="4" t="s">
        <v>52</v>
      </c>
      <c r="AD287" s="4" t="s">
        <v>45</v>
      </c>
    </row>
    <row r="288" spans="1:30">
      <c r="A288" s="4" t="s">
        <v>30</v>
      </c>
      <c r="B288" s="4"/>
      <c r="C288" s="4">
        <v>510000</v>
      </c>
      <c r="D288" s="4" t="s">
        <v>46</v>
      </c>
      <c r="E288" s="13" t="s">
        <v>976</v>
      </c>
      <c r="F288" s="4" t="s">
        <v>977</v>
      </c>
      <c r="G288" s="4">
        <v>2</v>
      </c>
      <c r="H288" s="4" t="s">
        <v>464</v>
      </c>
      <c r="I288" s="5">
        <v>44960</v>
      </c>
      <c r="J288" s="5">
        <v>45324</v>
      </c>
      <c r="K288" s="4" t="s">
        <v>50</v>
      </c>
      <c r="L288" s="4" t="s">
        <v>51</v>
      </c>
      <c r="M288" s="7">
        <v>-184355</v>
      </c>
      <c r="N288" s="16">
        <v>0.50000271215860703</v>
      </c>
      <c r="O288" s="6">
        <v>-921.78</v>
      </c>
      <c r="P288" s="4" t="s">
        <v>37</v>
      </c>
      <c r="Q288" s="1">
        <v>434505</v>
      </c>
      <c r="R288" s="4" t="s">
        <v>52</v>
      </c>
      <c r="S288" s="4"/>
      <c r="T288" s="4" t="s">
        <v>53</v>
      </c>
      <c r="U288" s="4" t="s">
        <v>54</v>
      </c>
      <c r="V288" s="4" t="s">
        <v>55</v>
      </c>
      <c r="W288" s="4">
        <v>3081</v>
      </c>
      <c r="X288" s="4" t="s">
        <v>42</v>
      </c>
      <c r="Y288" s="4"/>
      <c r="Z288" s="4"/>
      <c r="AA288" s="4"/>
      <c r="AB288" s="4"/>
      <c r="AC288" s="4" t="s">
        <v>52</v>
      </c>
      <c r="AD288" s="4" t="s">
        <v>45</v>
      </c>
    </row>
    <row r="289" spans="1:30">
      <c r="A289" s="4" t="s">
        <v>30</v>
      </c>
      <c r="B289" s="4"/>
      <c r="C289" s="4">
        <v>212200</v>
      </c>
      <c r="D289" s="4" t="s">
        <v>108</v>
      </c>
      <c r="E289" s="13" t="s">
        <v>978</v>
      </c>
      <c r="F289" s="4" t="s">
        <v>979</v>
      </c>
      <c r="G289" s="4">
        <v>0</v>
      </c>
      <c r="H289" s="4" t="s">
        <v>111</v>
      </c>
      <c r="I289" s="5">
        <v>45092</v>
      </c>
      <c r="J289" s="5">
        <v>45457</v>
      </c>
      <c r="K289" s="4" t="s">
        <v>35</v>
      </c>
      <c r="L289" s="4" t="s">
        <v>36</v>
      </c>
      <c r="M289" s="7">
        <v>18781</v>
      </c>
      <c r="N289" s="16">
        <v>16.804217027847294</v>
      </c>
      <c r="O289" s="6">
        <v>3156</v>
      </c>
      <c r="P289" s="4" t="s">
        <v>37</v>
      </c>
      <c r="Q289" s="1" t="s">
        <v>52</v>
      </c>
      <c r="R289" s="4" t="s">
        <v>52</v>
      </c>
      <c r="S289" s="4"/>
      <c r="T289" s="4" t="s">
        <v>114</v>
      </c>
      <c r="U289" s="4" t="s">
        <v>115</v>
      </c>
      <c r="V289" s="4" t="s">
        <v>116</v>
      </c>
      <c r="W289" s="4">
        <v>3074</v>
      </c>
      <c r="X289" s="4" t="s">
        <v>42</v>
      </c>
      <c r="Y289" s="4"/>
      <c r="Z289" s="4" t="s">
        <v>117</v>
      </c>
      <c r="AA289" s="4"/>
      <c r="AB289" s="4"/>
      <c r="AC289" s="4" t="s">
        <v>52</v>
      </c>
      <c r="AD289" s="4" t="s">
        <v>45</v>
      </c>
    </row>
    <row r="290" spans="1:30">
      <c r="A290" s="4" t="s">
        <v>30</v>
      </c>
      <c r="B290" s="4"/>
      <c r="C290" s="4">
        <v>215600</v>
      </c>
      <c r="D290" s="4" t="s">
        <v>129</v>
      </c>
      <c r="E290" s="13" t="s">
        <v>980</v>
      </c>
      <c r="F290" s="4" t="s">
        <v>981</v>
      </c>
      <c r="G290" s="4">
        <v>0</v>
      </c>
      <c r="H290" s="4" t="s">
        <v>564</v>
      </c>
      <c r="I290" s="5">
        <v>45017</v>
      </c>
      <c r="J290" s="5">
        <v>45382</v>
      </c>
      <c r="K290" s="4" t="s">
        <v>225</v>
      </c>
      <c r="L290" s="4" t="s">
        <v>226</v>
      </c>
      <c r="M290" s="7">
        <v>690</v>
      </c>
      <c r="N290" s="16">
        <v>12.463768115942027</v>
      </c>
      <c r="O290" s="6">
        <v>86</v>
      </c>
      <c r="P290" s="4" t="s">
        <v>37</v>
      </c>
      <c r="Q290" s="1">
        <v>426837</v>
      </c>
      <c r="R290" s="4" t="s">
        <v>38</v>
      </c>
      <c r="S290" s="4"/>
      <c r="T290" s="4" t="s">
        <v>227</v>
      </c>
      <c r="U290" s="4" t="s">
        <v>228</v>
      </c>
      <c r="V290" s="4" t="s">
        <v>136</v>
      </c>
      <c r="W290" s="4">
        <v>3076</v>
      </c>
      <c r="X290" s="4" t="s">
        <v>42</v>
      </c>
      <c r="Y290" s="4"/>
      <c r="Z290" s="4"/>
      <c r="AA290" s="4"/>
      <c r="AB290" s="4"/>
      <c r="AC290" s="4" t="s">
        <v>44</v>
      </c>
      <c r="AD290" s="4" t="s">
        <v>45</v>
      </c>
    </row>
    <row r="291" spans="1:30">
      <c r="A291" s="4" t="s">
        <v>30</v>
      </c>
      <c r="B291" s="4"/>
      <c r="C291" s="4">
        <v>212203</v>
      </c>
      <c r="D291" s="4" t="s">
        <v>99</v>
      </c>
      <c r="E291" s="13" t="s">
        <v>982</v>
      </c>
      <c r="F291" s="4" t="s">
        <v>983</v>
      </c>
      <c r="G291" s="4">
        <v>0</v>
      </c>
      <c r="H291" s="4" t="s">
        <v>218</v>
      </c>
      <c r="I291" s="5">
        <v>45081</v>
      </c>
      <c r="J291" s="5">
        <v>45446</v>
      </c>
      <c r="K291" s="4" t="s">
        <v>199</v>
      </c>
      <c r="L291" s="4" t="s">
        <v>200</v>
      </c>
      <c r="M291" s="7">
        <v>8512</v>
      </c>
      <c r="N291" s="16">
        <v>0</v>
      </c>
      <c r="O291" s="6">
        <v>0</v>
      </c>
      <c r="P291" s="4" t="s">
        <v>37</v>
      </c>
      <c r="Q291" s="1">
        <v>443784</v>
      </c>
      <c r="R291" s="4" t="s">
        <v>38</v>
      </c>
      <c r="S291" s="4"/>
      <c r="T291" s="4" t="s">
        <v>105</v>
      </c>
      <c r="U291" s="4" t="s">
        <v>106</v>
      </c>
      <c r="V291" s="4" t="s">
        <v>107</v>
      </c>
      <c r="W291" s="4">
        <v>3075</v>
      </c>
      <c r="X291" s="4" t="s">
        <v>42</v>
      </c>
      <c r="Y291" s="4"/>
      <c r="Z291" s="4"/>
      <c r="AA291" s="4"/>
      <c r="AB291" s="4" t="s">
        <v>147</v>
      </c>
      <c r="AC291" s="4" t="s">
        <v>44</v>
      </c>
      <c r="AD291" s="4" t="s">
        <v>45</v>
      </c>
    </row>
    <row r="292" spans="1:30">
      <c r="A292" s="4" t="s">
        <v>30</v>
      </c>
      <c r="B292" s="4"/>
      <c r="C292" s="4">
        <v>510000</v>
      </c>
      <c r="D292" s="4" t="s">
        <v>46</v>
      </c>
      <c r="E292" s="13" t="s">
        <v>984</v>
      </c>
      <c r="F292" s="4" t="s">
        <v>985</v>
      </c>
      <c r="G292" s="4">
        <v>0</v>
      </c>
      <c r="H292" s="4" t="s">
        <v>84</v>
      </c>
      <c r="I292" s="5">
        <v>45078</v>
      </c>
      <c r="J292" s="5">
        <v>45443</v>
      </c>
      <c r="K292" s="4" t="s">
        <v>139</v>
      </c>
      <c r="L292" s="4" t="s">
        <v>140</v>
      </c>
      <c r="M292" s="7">
        <v>12817</v>
      </c>
      <c r="N292" s="16">
        <v>12.499024732776782</v>
      </c>
      <c r="O292" s="6">
        <v>1602</v>
      </c>
      <c r="P292" s="4" t="s">
        <v>37</v>
      </c>
      <c r="Q292" s="1" t="s">
        <v>52</v>
      </c>
      <c r="R292" s="4" t="s">
        <v>52</v>
      </c>
      <c r="S292" s="4"/>
      <c r="T292" s="4" t="s">
        <v>141</v>
      </c>
      <c r="U292" s="4" t="s">
        <v>142</v>
      </c>
      <c r="V292" s="4" t="s">
        <v>55</v>
      </c>
      <c r="W292" s="4">
        <v>3081</v>
      </c>
      <c r="X292" s="4" t="s">
        <v>42</v>
      </c>
      <c r="Y292" s="4"/>
      <c r="Z292" s="4" t="s">
        <v>117</v>
      </c>
      <c r="AA292" s="4"/>
      <c r="AB292" s="4"/>
      <c r="AC292" s="4" t="s">
        <v>52</v>
      </c>
      <c r="AD292" s="4" t="s">
        <v>45</v>
      </c>
    </row>
    <row r="293" spans="1:30">
      <c r="A293" s="4" t="s">
        <v>30</v>
      </c>
      <c r="B293" s="4"/>
      <c r="C293" s="4">
        <v>510000</v>
      </c>
      <c r="D293" s="4" t="s">
        <v>46</v>
      </c>
      <c r="E293" s="13" t="s">
        <v>986</v>
      </c>
      <c r="F293" s="4" t="s">
        <v>987</v>
      </c>
      <c r="G293" s="4">
        <v>0</v>
      </c>
      <c r="H293" s="4" t="s">
        <v>84</v>
      </c>
      <c r="I293" s="5">
        <v>45078</v>
      </c>
      <c r="J293" s="5">
        <v>45443</v>
      </c>
      <c r="K293" s="4" t="s">
        <v>988</v>
      </c>
      <c r="L293" s="4" t="s">
        <v>989</v>
      </c>
      <c r="M293" s="7">
        <v>4000</v>
      </c>
      <c r="N293" s="16">
        <v>15</v>
      </c>
      <c r="O293" s="6">
        <v>600</v>
      </c>
      <c r="P293" s="4" t="s">
        <v>37</v>
      </c>
      <c r="Q293" s="1">
        <v>0</v>
      </c>
      <c r="R293" s="4">
        <v>0</v>
      </c>
      <c r="S293" s="4"/>
      <c r="T293" s="4" t="s">
        <v>87</v>
      </c>
      <c r="U293" s="4" t="s">
        <v>88</v>
      </c>
      <c r="V293" s="4" t="s">
        <v>55</v>
      </c>
      <c r="W293" s="4">
        <v>3081</v>
      </c>
      <c r="X293" s="4" t="s">
        <v>42</v>
      </c>
      <c r="Y293" s="4"/>
      <c r="Z293" s="4" t="s">
        <v>117</v>
      </c>
      <c r="AA293" s="4"/>
      <c r="AB293" s="4"/>
      <c r="AC293" s="4" t="s">
        <v>143</v>
      </c>
      <c r="AD293" s="4" t="s">
        <v>45</v>
      </c>
    </row>
    <row r="294" spans="1:30">
      <c r="A294" s="4" t="s">
        <v>30</v>
      </c>
      <c r="B294" s="4"/>
      <c r="C294" s="4">
        <v>510000</v>
      </c>
      <c r="D294" s="4" t="s">
        <v>46</v>
      </c>
      <c r="E294" s="13" t="s">
        <v>990</v>
      </c>
      <c r="F294" s="4" t="s">
        <v>991</v>
      </c>
      <c r="G294" s="4">
        <v>1</v>
      </c>
      <c r="H294" s="4" t="s">
        <v>409</v>
      </c>
      <c r="I294" s="5">
        <v>44960</v>
      </c>
      <c r="J294" s="5">
        <v>45324</v>
      </c>
      <c r="K294" s="4" t="s">
        <v>50</v>
      </c>
      <c r="L294" s="4" t="s">
        <v>51</v>
      </c>
      <c r="M294" s="7">
        <v>14985</v>
      </c>
      <c r="N294" s="16">
        <v>0.5000333667000334</v>
      </c>
      <c r="O294" s="6">
        <v>74.930000000000007</v>
      </c>
      <c r="P294" s="4" t="s">
        <v>37</v>
      </c>
      <c r="Q294" s="1">
        <v>434047</v>
      </c>
      <c r="R294" s="4" t="s">
        <v>52</v>
      </c>
      <c r="S294" s="4"/>
      <c r="T294" s="4" t="s">
        <v>53</v>
      </c>
      <c r="U294" s="4" t="s">
        <v>54</v>
      </c>
      <c r="V294" s="4" t="s">
        <v>55</v>
      </c>
      <c r="W294" s="4">
        <v>3081</v>
      </c>
      <c r="X294" s="4" t="s">
        <v>42</v>
      </c>
      <c r="Y294" s="4"/>
      <c r="Z294" s="4"/>
      <c r="AA294" s="4"/>
      <c r="AB294" s="4"/>
      <c r="AC294" s="4" t="s">
        <v>52</v>
      </c>
      <c r="AD294" s="4" t="s">
        <v>45</v>
      </c>
    </row>
    <row r="295" spans="1:30">
      <c r="A295" s="4" t="s">
        <v>30</v>
      </c>
      <c r="B295" s="4"/>
      <c r="C295" s="4">
        <v>510000</v>
      </c>
      <c r="D295" s="4" t="s">
        <v>46</v>
      </c>
      <c r="E295" s="13" t="s">
        <v>992</v>
      </c>
      <c r="F295" s="4" t="s">
        <v>993</v>
      </c>
      <c r="G295" s="4">
        <v>3</v>
      </c>
      <c r="H295" s="4" t="s">
        <v>994</v>
      </c>
      <c r="I295" s="5">
        <v>44964</v>
      </c>
      <c r="J295" s="5">
        <v>45291</v>
      </c>
      <c r="K295" s="4" t="s">
        <v>50</v>
      </c>
      <c r="L295" s="4" t="s">
        <v>51</v>
      </c>
      <c r="M295" s="7">
        <v>-2124</v>
      </c>
      <c r="N295" s="16">
        <v>5.0000000000000009</v>
      </c>
      <c r="O295" s="6">
        <v>-106.2</v>
      </c>
      <c r="P295" s="4" t="s">
        <v>37</v>
      </c>
      <c r="Q295" s="1">
        <v>430687</v>
      </c>
      <c r="R295" s="4" t="s">
        <v>52</v>
      </c>
      <c r="S295" s="4"/>
      <c r="T295" s="4" t="s">
        <v>53</v>
      </c>
      <c r="U295" s="4" t="s">
        <v>54</v>
      </c>
      <c r="V295" s="4" t="s">
        <v>55</v>
      </c>
      <c r="W295" s="4">
        <v>3081</v>
      </c>
      <c r="X295" s="4" t="s">
        <v>42</v>
      </c>
      <c r="Y295" s="4"/>
      <c r="Z295" s="4"/>
      <c r="AA295" s="4"/>
      <c r="AB295" s="4"/>
      <c r="AC295" s="4" t="s">
        <v>52</v>
      </c>
      <c r="AD295" s="4" t="s">
        <v>45</v>
      </c>
    </row>
    <row r="296" spans="1:30">
      <c r="A296" s="4" t="s">
        <v>30</v>
      </c>
      <c r="B296" s="4"/>
      <c r="C296" s="4">
        <v>510000</v>
      </c>
      <c r="D296" s="4" t="s">
        <v>46</v>
      </c>
      <c r="E296" s="13" t="s">
        <v>995</v>
      </c>
      <c r="F296" s="4" t="s">
        <v>996</v>
      </c>
      <c r="G296" s="4">
        <v>0</v>
      </c>
      <c r="H296" s="4" t="s">
        <v>245</v>
      </c>
      <c r="I296" s="5">
        <v>45046</v>
      </c>
      <c r="J296" s="5">
        <v>45411</v>
      </c>
      <c r="K296" s="4" t="s">
        <v>50</v>
      </c>
      <c r="L296" s="4" t="s">
        <v>51</v>
      </c>
      <c r="M296" s="7">
        <v>4850000</v>
      </c>
      <c r="N296" s="16">
        <v>1.08</v>
      </c>
      <c r="O296" s="6">
        <v>52380</v>
      </c>
      <c r="P296" s="4" t="s">
        <v>95</v>
      </c>
      <c r="Q296" s="1">
        <v>430283</v>
      </c>
      <c r="R296" s="4" t="s">
        <v>38</v>
      </c>
      <c r="S296" s="4"/>
      <c r="T296" s="4" t="s">
        <v>247</v>
      </c>
      <c r="U296" s="4" t="s">
        <v>248</v>
      </c>
      <c r="V296" s="4" t="s">
        <v>55</v>
      </c>
      <c r="W296" s="4">
        <v>3081</v>
      </c>
      <c r="X296" s="4" t="s">
        <v>42</v>
      </c>
      <c r="Y296" s="4"/>
      <c r="Z296" s="4"/>
      <c r="AA296" s="4"/>
      <c r="AB296" s="4" t="s">
        <v>147</v>
      </c>
      <c r="AC296" s="4" t="s">
        <v>44</v>
      </c>
      <c r="AD296" s="4" t="s">
        <v>45</v>
      </c>
    </row>
    <row r="297" spans="1:30">
      <c r="A297" s="4" t="s">
        <v>30</v>
      </c>
      <c r="B297" s="4"/>
      <c r="C297" s="4">
        <v>510000</v>
      </c>
      <c r="D297" s="4" t="s">
        <v>46</v>
      </c>
      <c r="E297" s="13" t="s">
        <v>997</v>
      </c>
      <c r="F297" s="4" t="s">
        <v>784</v>
      </c>
      <c r="G297" s="4">
        <v>1</v>
      </c>
      <c r="H297" s="4" t="s">
        <v>652</v>
      </c>
      <c r="I297" s="5">
        <v>45017</v>
      </c>
      <c r="J297" s="5">
        <v>45382</v>
      </c>
      <c r="K297" s="4" t="s">
        <v>50</v>
      </c>
      <c r="L297" s="4" t="s">
        <v>51</v>
      </c>
      <c r="M297" s="7">
        <v>117773</v>
      </c>
      <c r="N297" s="16">
        <v>0</v>
      </c>
      <c r="O297" s="6">
        <v>0</v>
      </c>
      <c r="P297" s="4" t="s">
        <v>37</v>
      </c>
      <c r="Q297" s="1">
        <v>435884</v>
      </c>
      <c r="R297" s="4" t="s">
        <v>52</v>
      </c>
      <c r="S297" s="4"/>
      <c r="T297" s="4" t="s">
        <v>134</v>
      </c>
      <c r="U297" s="4" t="s">
        <v>135</v>
      </c>
      <c r="V297" s="4" t="s">
        <v>55</v>
      </c>
      <c r="W297" s="4">
        <v>3081</v>
      </c>
      <c r="X297" s="4" t="s">
        <v>42</v>
      </c>
      <c r="Y297" s="4"/>
      <c r="Z297" s="4"/>
      <c r="AA297" s="4"/>
      <c r="AB297" s="4"/>
      <c r="AC297" s="4" t="s">
        <v>52</v>
      </c>
      <c r="AD297" s="4" t="s">
        <v>45</v>
      </c>
    </row>
    <row r="298" spans="1:30">
      <c r="A298" s="4" t="s">
        <v>30</v>
      </c>
      <c r="B298" s="4"/>
      <c r="C298" s="4">
        <v>212203</v>
      </c>
      <c r="D298" s="4" t="s">
        <v>99</v>
      </c>
      <c r="E298" s="13" t="s">
        <v>998</v>
      </c>
      <c r="F298" s="4" t="s">
        <v>999</v>
      </c>
      <c r="G298" s="4">
        <v>0</v>
      </c>
      <c r="H298" s="4" t="s">
        <v>810</v>
      </c>
      <c r="I298" s="5">
        <v>45095</v>
      </c>
      <c r="J298" s="5">
        <v>45460</v>
      </c>
      <c r="K298" s="4" t="s">
        <v>199</v>
      </c>
      <c r="L298" s="4" t="s">
        <v>200</v>
      </c>
      <c r="M298" s="7">
        <v>9244</v>
      </c>
      <c r="N298" s="16">
        <v>13.370835136304631</v>
      </c>
      <c r="O298" s="6">
        <v>1236</v>
      </c>
      <c r="P298" s="4" t="s">
        <v>37</v>
      </c>
      <c r="Q298" s="1">
        <v>443828</v>
      </c>
      <c r="R298" s="4" t="s">
        <v>38</v>
      </c>
      <c r="S298" s="4"/>
      <c r="T298" s="4" t="s">
        <v>105</v>
      </c>
      <c r="U298" s="4" t="s">
        <v>106</v>
      </c>
      <c r="V298" s="4" t="s">
        <v>107</v>
      </c>
      <c r="W298" s="4">
        <v>3075</v>
      </c>
      <c r="X298" s="4" t="s">
        <v>42</v>
      </c>
      <c r="Y298" s="4"/>
      <c r="Z298" s="4"/>
      <c r="AA298" s="4" t="s">
        <v>201</v>
      </c>
      <c r="AB298" s="4"/>
      <c r="AC298" s="4" t="s">
        <v>185</v>
      </c>
      <c r="AD298" s="4" t="s">
        <v>45</v>
      </c>
    </row>
    <row r="299" spans="1:30">
      <c r="A299" s="4" t="s">
        <v>30</v>
      </c>
      <c r="B299" s="4"/>
      <c r="C299" s="4">
        <v>215600</v>
      </c>
      <c r="D299" s="4" t="s">
        <v>129</v>
      </c>
      <c r="E299" s="13" t="s">
        <v>1000</v>
      </c>
      <c r="F299" s="4" t="s">
        <v>1001</v>
      </c>
      <c r="G299" s="4">
        <v>0</v>
      </c>
      <c r="H299" s="4" t="s">
        <v>441</v>
      </c>
      <c r="I299" s="5">
        <v>45093</v>
      </c>
      <c r="J299" s="5">
        <v>45458</v>
      </c>
      <c r="K299" s="4" t="s">
        <v>442</v>
      </c>
      <c r="L299" s="4" t="s">
        <v>443</v>
      </c>
      <c r="M299" s="7">
        <v>78419</v>
      </c>
      <c r="N299" s="16">
        <v>7.9993368953952482</v>
      </c>
      <c r="O299" s="6">
        <v>6273</v>
      </c>
      <c r="P299" s="4" t="s">
        <v>37</v>
      </c>
      <c r="Q299" s="1" t="s">
        <v>52</v>
      </c>
      <c r="R299" s="4" t="s">
        <v>52</v>
      </c>
      <c r="S299" s="4"/>
      <c r="T299" s="4" t="s">
        <v>105</v>
      </c>
      <c r="U299" s="4" t="s">
        <v>444</v>
      </c>
      <c r="V299" s="4" t="s">
        <v>136</v>
      </c>
      <c r="W299" s="4">
        <v>3076</v>
      </c>
      <c r="X299" s="4" t="s">
        <v>42</v>
      </c>
      <c r="Y299" s="4"/>
      <c r="Z299" s="4" t="s">
        <v>117</v>
      </c>
      <c r="AA299" s="4"/>
      <c r="AB299" s="4"/>
      <c r="AC299" s="4" t="s">
        <v>52</v>
      </c>
      <c r="AD299" s="4" t="s">
        <v>45</v>
      </c>
    </row>
    <row r="300" spans="1:30">
      <c r="A300" s="4" t="s">
        <v>30</v>
      </c>
      <c r="B300" s="4"/>
      <c r="C300" s="4">
        <v>212203</v>
      </c>
      <c r="D300" s="4" t="s">
        <v>99</v>
      </c>
      <c r="E300" s="13" t="s">
        <v>1002</v>
      </c>
      <c r="F300" s="4" t="s">
        <v>1003</v>
      </c>
      <c r="G300" s="4">
        <v>0</v>
      </c>
      <c r="H300" s="4" t="s">
        <v>198</v>
      </c>
      <c r="I300" s="5">
        <v>45084</v>
      </c>
      <c r="J300" s="5">
        <v>45449</v>
      </c>
      <c r="K300" s="4" t="s">
        <v>199</v>
      </c>
      <c r="L300" s="4" t="s">
        <v>200</v>
      </c>
      <c r="M300" s="7">
        <v>8955</v>
      </c>
      <c r="N300" s="16">
        <v>13.310999441652708</v>
      </c>
      <c r="O300" s="6">
        <v>1192</v>
      </c>
      <c r="P300" s="4" t="s">
        <v>37</v>
      </c>
      <c r="Q300" s="1">
        <v>443816</v>
      </c>
      <c r="R300" s="4" t="s">
        <v>38</v>
      </c>
      <c r="S300" s="4"/>
      <c r="T300" s="4" t="s">
        <v>105</v>
      </c>
      <c r="U300" s="4" t="s">
        <v>106</v>
      </c>
      <c r="V300" s="4" t="s">
        <v>107</v>
      </c>
      <c r="W300" s="4">
        <v>3075</v>
      </c>
      <c r="X300" s="4" t="s">
        <v>42</v>
      </c>
      <c r="Y300" s="4"/>
      <c r="Z300" s="4"/>
      <c r="AA300" s="4" t="s">
        <v>201</v>
      </c>
      <c r="AB300" s="4"/>
      <c r="AC300" s="4" t="s">
        <v>185</v>
      </c>
      <c r="AD300" s="4" t="s">
        <v>45</v>
      </c>
    </row>
    <row r="301" spans="1:30">
      <c r="A301" s="4" t="s">
        <v>30</v>
      </c>
      <c r="B301" s="4"/>
      <c r="C301" s="4">
        <v>212203</v>
      </c>
      <c r="D301" s="4" t="s">
        <v>99</v>
      </c>
      <c r="E301" s="13" t="s">
        <v>1004</v>
      </c>
      <c r="F301" s="4" t="s">
        <v>1005</v>
      </c>
      <c r="G301" s="4">
        <v>0</v>
      </c>
      <c r="H301" s="4" t="s">
        <v>265</v>
      </c>
      <c r="I301" s="5">
        <v>45082</v>
      </c>
      <c r="J301" s="5">
        <v>45447</v>
      </c>
      <c r="K301" s="4" t="s">
        <v>199</v>
      </c>
      <c r="L301" s="4" t="s">
        <v>200</v>
      </c>
      <c r="M301" s="7">
        <v>8471</v>
      </c>
      <c r="N301" s="16">
        <v>0</v>
      </c>
      <c r="O301" s="6">
        <v>0</v>
      </c>
      <c r="P301" s="4" t="s">
        <v>37</v>
      </c>
      <c r="Q301" s="1">
        <v>443789</v>
      </c>
      <c r="R301" s="4" t="s">
        <v>38</v>
      </c>
      <c r="S301" s="4"/>
      <c r="T301" s="4" t="s">
        <v>105</v>
      </c>
      <c r="U301" s="4" t="s">
        <v>106</v>
      </c>
      <c r="V301" s="4" t="s">
        <v>107</v>
      </c>
      <c r="W301" s="4">
        <v>3075</v>
      </c>
      <c r="X301" s="4" t="s">
        <v>42</v>
      </c>
      <c r="Y301" s="4"/>
      <c r="Z301" s="4"/>
      <c r="AA301" s="4"/>
      <c r="AB301" s="4" t="s">
        <v>147</v>
      </c>
      <c r="AC301" s="4" t="s">
        <v>44</v>
      </c>
      <c r="AD301" s="4" t="s">
        <v>45</v>
      </c>
    </row>
    <row r="302" spans="1:30">
      <c r="A302" s="4" t="s">
        <v>30</v>
      </c>
      <c r="B302" s="4"/>
      <c r="C302" s="4">
        <v>510000</v>
      </c>
      <c r="D302" s="4" t="s">
        <v>46</v>
      </c>
      <c r="E302" s="13" t="s">
        <v>1006</v>
      </c>
      <c r="F302" s="4" t="s">
        <v>1007</v>
      </c>
      <c r="G302" s="4">
        <v>0</v>
      </c>
      <c r="H302" s="4" t="s">
        <v>84</v>
      </c>
      <c r="I302" s="5">
        <v>45078</v>
      </c>
      <c r="J302" s="5">
        <v>45443</v>
      </c>
      <c r="K302" s="4" t="s">
        <v>139</v>
      </c>
      <c r="L302" s="4" t="s">
        <v>140</v>
      </c>
      <c r="M302" s="7">
        <v>13369</v>
      </c>
      <c r="N302" s="16">
        <v>12.499065001121998</v>
      </c>
      <c r="O302" s="6">
        <v>1671</v>
      </c>
      <c r="P302" s="4" t="s">
        <v>37</v>
      </c>
      <c r="Q302" s="1" t="s">
        <v>52</v>
      </c>
      <c r="R302" s="4" t="s">
        <v>52</v>
      </c>
      <c r="S302" s="4"/>
      <c r="T302" s="4" t="s">
        <v>141</v>
      </c>
      <c r="U302" s="4" t="s">
        <v>142</v>
      </c>
      <c r="V302" s="4" t="s">
        <v>55</v>
      </c>
      <c r="W302" s="4">
        <v>3081</v>
      </c>
      <c r="X302" s="4" t="s">
        <v>42</v>
      </c>
      <c r="Y302" s="4"/>
      <c r="Z302" s="4" t="s">
        <v>117</v>
      </c>
      <c r="AA302" s="4"/>
      <c r="AB302" s="4"/>
      <c r="AC302" s="4" t="s">
        <v>52</v>
      </c>
      <c r="AD302" s="4" t="s">
        <v>45</v>
      </c>
    </row>
    <row r="303" spans="1:30">
      <c r="A303" s="4" t="s">
        <v>30</v>
      </c>
      <c r="B303" s="4"/>
      <c r="C303" s="4">
        <v>510000</v>
      </c>
      <c r="D303" s="4" t="s">
        <v>46</v>
      </c>
      <c r="E303" s="13" t="s">
        <v>1008</v>
      </c>
      <c r="F303" s="4" t="s">
        <v>1009</v>
      </c>
      <c r="G303" s="4">
        <v>0</v>
      </c>
      <c r="H303" s="4" t="s">
        <v>180</v>
      </c>
      <c r="I303" s="5">
        <v>45090</v>
      </c>
      <c r="J303" s="5">
        <v>45454</v>
      </c>
      <c r="K303" s="4" t="s">
        <v>359</v>
      </c>
      <c r="L303" s="4" t="s">
        <v>360</v>
      </c>
      <c r="M303" s="7">
        <v>918</v>
      </c>
      <c r="N303" s="16">
        <v>12.418300653594772</v>
      </c>
      <c r="O303" s="6">
        <v>114</v>
      </c>
      <c r="P303" s="4" t="s">
        <v>37</v>
      </c>
      <c r="Q303" s="1">
        <v>441892</v>
      </c>
      <c r="R303" s="4" t="s">
        <v>38</v>
      </c>
      <c r="S303" s="4"/>
      <c r="T303" s="4" t="s">
        <v>39</v>
      </c>
      <c r="U303" s="4" t="s">
        <v>183</v>
      </c>
      <c r="V303" s="4" t="s">
        <v>55</v>
      </c>
      <c r="W303" s="4">
        <v>3081</v>
      </c>
      <c r="X303" s="4" t="s">
        <v>42</v>
      </c>
      <c r="Y303" s="4"/>
      <c r="Z303" s="4"/>
      <c r="AA303" s="4"/>
      <c r="AB303" s="4" t="s">
        <v>43</v>
      </c>
      <c r="AC303" s="4" t="s">
        <v>44</v>
      </c>
      <c r="AD303" s="4" t="s">
        <v>45</v>
      </c>
    </row>
    <row r="304" spans="1:30">
      <c r="A304" s="4" t="s">
        <v>30</v>
      </c>
      <c r="B304" s="4"/>
      <c r="C304" s="4">
        <v>510000</v>
      </c>
      <c r="D304" s="4" t="s">
        <v>46</v>
      </c>
      <c r="E304" s="13" t="s">
        <v>1010</v>
      </c>
      <c r="F304" s="4" t="s">
        <v>1011</v>
      </c>
      <c r="G304" s="4">
        <v>0</v>
      </c>
      <c r="H304" s="4" t="s">
        <v>180</v>
      </c>
      <c r="I304" s="5">
        <v>45089</v>
      </c>
      <c r="J304" s="5">
        <v>45454</v>
      </c>
      <c r="K304" s="4" t="s">
        <v>1012</v>
      </c>
      <c r="L304" s="4" t="s">
        <v>1013</v>
      </c>
      <c r="M304" s="7">
        <v>2641580</v>
      </c>
      <c r="N304" s="16">
        <v>16.500011356839469</v>
      </c>
      <c r="O304" s="6">
        <v>435861</v>
      </c>
      <c r="P304" s="4" t="s">
        <v>37</v>
      </c>
      <c r="Q304" s="1">
        <v>441883</v>
      </c>
      <c r="R304" s="4" t="s">
        <v>38</v>
      </c>
      <c r="S304" s="4"/>
      <c r="T304" s="4" t="s">
        <v>39</v>
      </c>
      <c r="U304" s="4" t="s">
        <v>183</v>
      </c>
      <c r="V304" s="4" t="s">
        <v>55</v>
      </c>
      <c r="W304" s="4">
        <v>3081</v>
      </c>
      <c r="X304" s="4" t="s">
        <v>42</v>
      </c>
      <c r="Y304" s="4"/>
      <c r="Z304" s="4"/>
      <c r="AA304" s="4"/>
      <c r="AB304" s="4" t="s">
        <v>43</v>
      </c>
      <c r="AC304" s="4" t="s">
        <v>44</v>
      </c>
      <c r="AD304" s="4" t="s">
        <v>45</v>
      </c>
    </row>
    <row r="305" spans="1:30">
      <c r="A305" s="4" t="s">
        <v>30</v>
      </c>
      <c r="B305" s="4"/>
      <c r="C305" s="4">
        <v>411700</v>
      </c>
      <c r="D305" s="4" t="s">
        <v>234</v>
      </c>
      <c r="E305" s="13" t="s">
        <v>1014</v>
      </c>
      <c r="F305" s="4" t="s">
        <v>1015</v>
      </c>
      <c r="G305" s="4">
        <v>9</v>
      </c>
      <c r="H305" s="4" t="s">
        <v>237</v>
      </c>
      <c r="I305" s="5">
        <v>44835</v>
      </c>
      <c r="J305" s="5">
        <v>45199</v>
      </c>
      <c r="K305" s="4" t="s">
        <v>384</v>
      </c>
      <c r="L305" s="4" t="s">
        <v>385</v>
      </c>
      <c r="M305" s="7">
        <v>-6262</v>
      </c>
      <c r="N305" s="16">
        <v>7.4896199297349089</v>
      </c>
      <c r="O305" s="6">
        <v>-469</v>
      </c>
      <c r="P305" s="4" t="s">
        <v>151</v>
      </c>
      <c r="Q305" s="1">
        <v>407984</v>
      </c>
      <c r="R305" s="4" t="s">
        <v>520</v>
      </c>
      <c r="S305" s="4"/>
      <c r="T305" s="4" t="s">
        <v>239</v>
      </c>
      <c r="U305" s="4" t="s">
        <v>240</v>
      </c>
      <c r="V305" s="4" t="s">
        <v>241</v>
      </c>
      <c r="W305" s="4">
        <v>3069</v>
      </c>
      <c r="X305" s="4" t="s">
        <v>42</v>
      </c>
      <c r="Y305" s="4"/>
      <c r="Z305" s="4"/>
      <c r="AA305" s="4"/>
      <c r="AB305" s="4"/>
      <c r="AC305" s="4" t="s">
        <v>242</v>
      </c>
      <c r="AD305" s="4" t="s">
        <v>45</v>
      </c>
    </row>
    <row r="306" spans="1:30">
      <c r="A306" s="4" t="s">
        <v>30</v>
      </c>
      <c r="B306" s="4"/>
      <c r="C306" s="4">
        <v>163900</v>
      </c>
      <c r="D306" s="4" t="s">
        <v>612</v>
      </c>
      <c r="E306" s="13" t="s">
        <v>1016</v>
      </c>
      <c r="F306" s="4" t="s">
        <v>1017</v>
      </c>
      <c r="G306" s="4">
        <v>11</v>
      </c>
      <c r="H306" s="4" t="s">
        <v>1018</v>
      </c>
      <c r="I306" s="5">
        <v>44797</v>
      </c>
      <c r="J306" s="5">
        <v>45161</v>
      </c>
      <c r="K306" s="4" t="s">
        <v>50</v>
      </c>
      <c r="L306" s="4" t="s">
        <v>51</v>
      </c>
      <c r="M306" s="7">
        <v>15339</v>
      </c>
      <c r="N306" s="16">
        <v>7.5000325966490653</v>
      </c>
      <c r="O306" s="6">
        <v>1150.43</v>
      </c>
      <c r="P306" s="4" t="s">
        <v>125</v>
      </c>
      <c r="Q306" s="1">
        <v>404476</v>
      </c>
      <c r="R306" s="4" t="s">
        <v>52</v>
      </c>
      <c r="S306" s="4"/>
      <c r="T306" s="4" t="s">
        <v>428</v>
      </c>
      <c r="U306" s="4" t="s">
        <v>616</v>
      </c>
      <c r="V306" s="4" t="s">
        <v>617</v>
      </c>
      <c r="W306" s="4">
        <v>3091</v>
      </c>
      <c r="X306" s="4" t="s">
        <v>42</v>
      </c>
      <c r="Y306" s="4"/>
      <c r="Z306" s="4"/>
      <c r="AA306" s="4"/>
      <c r="AB306" s="4"/>
      <c r="AC306" s="4" t="s">
        <v>52</v>
      </c>
      <c r="AD306" s="4" t="s">
        <v>45</v>
      </c>
    </row>
    <row r="307" spans="1:30">
      <c r="A307" s="4" t="s">
        <v>30</v>
      </c>
      <c r="B307" s="4"/>
      <c r="C307" s="4">
        <v>212203</v>
      </c>
      <c r="D307" s="4" t="s">
        <v>99</v>
      </c>
      <c r="E307" s="13" t="s">
        <v>1019</v>
      </c>
      <c r="F307" s="4" t="s">
        <v>1020</v>
      </c>
      <c r="G307" s="4">
        <v>0</v>
      </c>
      <c r="H307" s="4" t="s">
        <v>1021</v>
      </c>
      <c r="I307" s="5">
        <v>45080</v>
      </c>
      <c r="J307" s="5">
        <v>45445</v>
      </c>
      <c r="K307" s="4" t="s">
        <v>103</v>
      </c>
      <c r="L307" s="4" t="s">
        <v>104</v>
      </c>
      <c r="M307" s="7">
        <v>8914</v>
      </c>
      <c r="N307" s="16">
        <v>15.010096477451201</v>
      </c>
      <c r="O307" s="6">
        <v>1338</v>
      </c>
      <c r="P307" s="4" t="s">
        <v>37</v>
      </c>
      <c r="Q307" s="1">
        <v>443955</v>
      </c>
      <c r="R307" s="4" t="s">
        <v>38</v>
      </c>
      <c r="S307" s="4"/>
      <c r="T307" s="4" t="s">
        <v>105</v>
      </c>
      <c r="U307" s="4" t="s">
        <v>106</v>
      </c>
      <c r="V307" s="4" t="s">
        <v>107</v>
      </c>
      <c r="W307" s="4">
        <v>3075</v>
      </c>
      <c r="X307" s="4" t="s">
        <v>42</v>
      </c>
      <c r="Y307" s="4"/>
      <c r="Z307" s="4"/>
      <c r="AA307" s="4"/>
      <c r="AB307" s="4"/>
      <c r="AC307" s="4" t="s">
        <v>44</v>
      </c>
      <c r="AD307" s="4" t="s">
        <v>45</v>
      </c>
    </row>
    <row r="308" spans="1:30">
      <c r="A308" s="4" t="s">
        <v>30</v>
      </c>
      <c r="B308" s="4"/>
      <c r="C308" s="4">
        <v>212203</v>
      </c>
      <c r="D308" s="4" t="s">
        <v>99</v>
      </c>
      <c r="E308" s="13" t="s">
        <v>1022</v>
      </c>
      <c r="F308" s="4" t="s">
        <v>1023</v>
      </c>
      <c r="G308" s="4">
        <v>0</v>
      </c>
      <c r="H308" s="4" t="s">
        <v>204</v>
      </c>
      <c r="I308" s="5">
        <v>45098</v>
      </c>
      <c r="J308" s="5">
        <v>45463</v>
      </c>
      <c r="K308" s="4" t="s">
        <v>205</v>
      </c>
      <c r="L308" s="4" t="s">
        <v>206</v>
      </c>
      <c r="M308" s="7">
        <v>8870</v>
      </c>
      <c r="N308" s="16">
        <v>15.005636978579481</v>
      </c>
      <c r="O308" s="6">
        <v>1331</v>
      </c>
      <c r="P308" s="4" t="s">
        <v>37</v>
      </c>
      <c r="Q308" s="1">
        <v>443947</v>
      </c>
      <c r="R308" s="4">
        <v>0</v>
      </c>
      <c r="S308" s="4"/>
      <c r="T308" s="4" t="s">
        <v>105</v>
      </c>
      <c r="U308" s="4" t="s">
        <v>106</v>
      </c>
      <c r="V308" s="4" t="s">
        <v>107</v>
      </c>
      <c r="W308" s="4">
        <v>3075</v>
      </c>
      <c r="X308" s="4" t="s">
        <v>42</v>
      </c>
      <c r="Y308" s="4"/>
      <c r="Z308" s="4"/>
      <c r="AA308" s="4"/>
      <c r="AB308" s="4"/>
      <c r="AC308" s="4" t="s">
        <v>44</v>
      </c>
      <c r="AD308" s="4" t="s">
        <v>45</v>
      </c>
    </row>
    <row r="309" spans="1:30">
      <c r="A309" s="4" t="s">
        <v>30</v>
      </c>
      <c r="B309" s="4"/>
      <c r="C309" s="4">
        <v>212203</v>
      </c>
      <c r="D309" s="4" t="s">
        <v>99</v>
      </c>
      <c r="E309" s="13" t="s">
        <v>1024</v>
      </c>
      <c r="F309" s="4" t="s">
        <v>1025</v>
      </c>
      <c r="G309" s="4">
        <v>0</v>
      </c>
      <c r="H309" s="4" t="s">
        <v>198</v>
      </c>
      <c r="I309" s="5">
        <v>45084</v>
      </c>
      <c r="J309" s="5">
        <v>45449</v>
      </c>
      <c r="K309" s="4" t="s">
        <v>199</v>
      </c>
      <c r="L309" s="4" t="s">
        <v>200</v>
      </c>
      <c r="M309" s="7">
        <v>3690</v>
      </c>
      <c r="N309" s="16">
        <v>10.894308943089431</v>
      </c>
      <c r="O309" s="6">
        <v>402</v>
      </c>
      <c r="P309" s="4" t="s">
        <v>37</v>
      </c>
      <c r="Q309" s="1">
        <v>443811</v>
      </c>
      <c r="R309" s="4" t="s">
        <v>38</v>
      </c>
      <c r="S309" s="4"/>
      <c r="T309" s="4" t="s">
        <v>105</v>
      </c>
      <c r="U309" s="4" t="s">
        <v>106</v>
      </c>
      <c r="V309" s="4" t="s">
        <v>107</v>
      </c>
      <c r="W309" s="4">
        <v>3075</v>
      </c>
      <c r="X309" s="4" t="s">
        <v>42</v>
      </c>
      <c r="Y309" s="4"/>
      <c r="Z309" s="4"/>
      <c r="AA309" s="4" t="s">
        <v>201</v>
      </c>
      <c r="AB309" s="4"/>
      <c r="AC309" s="4" t="s">
        <v>185</v>
      </c>
      <c r="AD309" s="4" t="s">
        <v>45</v>
      </c>
    </row>
    <row r="310" spans="1:30">
      <c r="A310" s="4" t="s">
        <v>30</v>
      </c>
      <c r="B310" s="4"/>
      <c r="C310" s="4">
        <v>442600</v>
      </c>
      <c r="D310" s="4" t="s">
        <v>390</v>
      </c>
      <c r="E310" s="13" t="s">
        <v>1026</v>
      </c>
      <c r="F310" s="4" t="s">
        <v>1027</v>
      </c>
      <c r="G310" s="4">
        <v>0</v>
      </c>
      <c r="H310" s="4" t="s">
        <v>950</v>
      </c>
      <c r="I310" s="5">
        <v>45080</v>
      </c>
      <c r="J310" s="5">
        <v>45445</v>
      </c>
      <c r="K310" s="4" t="s">
        <v>359</v>
      </c>
      <c r="L310" s="4" t="s">
        <v>360</v>
      </c>
      <c r="M310" s="7">
        <v>200</v>
      </c>
      <c r="N310" s="16">
        <v>12.5</v>
      </c>
      <c r="O310" s="6">
        <v>25</v>
      </c>
      <c r="P310" s="4" t="s">
        <v>95</v>
      </c>
      <c r="Q310" s="1">
        <v>439158</v>
      </c>
      <c r="R310" s="4" t="s">
        <v>38</v>
      </c>
      <c r="S310" s="4"/>
      <c r="T310" s="4" t="s">
        <v>900</v>
      </c>
      <c r="U310" s="4" t="s">
        <v>951</v>
      </c>
      <c r="V310" s="4" t="s">
        <v>396</v>
      </c>
      <c r="W310" s="4">
        <v>3073</v>
      </c>
      <c r="X310" s="4" t="s">
        <v>42</v>
      </c>
      <c r="Y310" s="4"/>
      <c r="Z310" s="4"/>
      <c r="AA310" s="4"/>
      <c r="AB310" s="4"/>
      <c r="AC310" s="4" t="s">
        <v>44</v>
      </c>
      <c r="AD310" s="4" t="s">
        <v>45</v>
      </c>
    </row>
    <row r="311" spans="1:30">
      <c r="A311" s="4" t="s">
        <v>30</v>
      </c>
      <c r="B311" s="4"/>
      <c r="C311" s="4">
        <v>510000</v>
      </c>
      <c r="D311" s="4" t="s">
        <v>46</v>
      </c>
      <c r="E311" s="13" t="s">
        <v>1028</v>
      </c>
      <c r="F311" s="4" t="s">
        <v>1029</v>
      </c>
      <c r="G311" s="4">
        <v>11</v>
      </c>
      <c r="H311" s="4" t="s">
        <v>150</v>
      </c>
      <c r="I311" s="5">
        <v>44681</v>
      </c>
      <c r="J311" s="5">
        <v>45045</v>
      </c>
      <c r="K311" s="4" t="s">
        <v>50</v>
      </c>
      <c r="L311" s="4" t="s">
        <v>51</v>
      </c>
      <c r="M311" s="7">
        <v>-12109</v>
      </c>
      <c r="N311" s="16">
        <v>2.5022710380708562</v>
      </c>
      <c r="O311" s="6">
        <v>-303</v>
      </c>
      <c r="P311" s="4" t="s">
        <v>151</v>
      </c>
      <c r="Q311" s="1">
        <v>398848</v>
      </c>
      <c r="R311" s="4" t="s">
        <v>52</v>
      </c>
      <c r="S311" s="4"/>
      <c r="T311" s="4" t="s">
        <v>152</v>
      </c>
      <c r="U311" s="4" t="s">
        <v>153</v>
      </c>
      <c r="V311" s="4" t="s">
        <v>55</v>
      </c>
      <c r="W311" s="4">
        <v>3081</v>
      </c>
      <c r="X311" s="4" t="s">
        <v>42</v>
      </c>
      <c r="Y311" s="4"/>
      <c r="Z311" s="4"/>
      <c r="AA311" s="4"/>
      <c r="AB311" s="4"/>
      <c r="AC311" s="4" t="s">
        <v>52</v>
      </c>
      <c r="AD311" s="4" t="s">
        <v>45</v>
      </c>
    </row>
    <row r="312" spans="1:30">
      <c r="A312" s="4" t="s">
        <v>30</v>
      </c>
      <c r="B312" s="4"/>
      <c r="C312" s="4">
        <v>212203</v>
      </c>
      <c r="D312" s="4" t="s">
        <v>99</v>
      </c>
      <c r="E312" s="13" t="s">
        <v>1030</v>
      </c>
      <c r="F312" s="4" t="s">
        <v>1031</v>
      </c>
      <c r="G312" s="4">
        <v>0</v>
      </c>
      <c r="H312" s="4" t="s">
        <v>159</v>
      </c>
      <c r="I312" s="5">
        <v>45111</v>
      </c>
      <c r="J312" s="5">
        <v>45476</v>
      </c>
      <c r="K312" s="4" t="s">
        <v>103</v>
      </c>
      <c r="L312" s="4" t="s">
        <v>104</v>
      </c>
      <c r="M312" s="7">
        <v>8111</v>
      </c>
      <c r="N312" s="16">
        <v>14.991986191591666</v>
      </c>
      <c r="O312" s="6">
        <v>1216</v>
      </c>
      <c r="P312" s="4" t="s">
        <v>37</v>
      </c>
      <c r="Q312" s="1" t="s">
        <v>52</v>
      </c>
      <c r="R312" s="4" t="s">
        <v>52</v>
      </c>
      <c r="S312" s="4"/>
      <c r="T312" s="4" t="s">
        <v>160</v>
      </c>
      <c r="U312" s="4" t="s">
        <v>160</v>
      </c>
      <c r="V312" s="4" t="s">
        <v>107</v>
      </c>
      <c r="W312" s="4">
        <v>3075</v>
      </c>
      <c r="X312" s="4" t="s">
        <v>42</v>
      </c>
      <c r="Y312" s="4"/>
      <c r="Z312" s="4" t="s">
        <v>117</v>
      </c>
      <c r="AA312" s="4"/>
      <c r="AB312" s="4"/>
      <c r="AC312" s="4" t="s">
        <v>52</v>
      </c>
      <c r="AD312" s="4" t="s">
        <v>45</v>
      </c>
    </row>
    <row r="313" spans="1:30">
      <c r="A313" s="4" t="s">
        <v>30</v>
      </c>
      <c r="B313" s="4"/>
      <c r="C313" s="4">
        <v>412300</v>
      </c>
      <c r="D313" s="4" t="s">
        <v>482</v>
      </c>
      <c r="E313" s="13" t="s">
        <v>1032</v>
      </c>
      <c r="F313" s="4" t="s">
        <v>718</v>
      </c>
      <c r="G313" s="4">
        <v>10</v>
      </c>
      <c r="H313" s="4" t="s">
        <v>485</v>
      </c>
      <c r="I313" s="5">
        <v>44873</v>
      </c>
      <c r="J313" s="5">
        <v>45237</v>
      </c>
      <c r="K313" s="4" t="s">
        <v>384</v>
      </c>
      <c r="L313" s="4" t="s">
        <v>385</v>
      </c>
      <c r="M313" s="7">
        <v>-534</v>
      </c>
      <c r="N313" s="16">
        <v>7.4906367041198507</v>
      </c>
      <c r="O313" s="6">
        <v>-40</v>
      </c>
      <c r="P313" s="4" t="s">
        <v>151</v>
      </c>
      <c r="Q313" s="1">
        <v>405492</v>
      </c>
      <c r="R313" s="4" t="s">
        <v>1033</v>
      </c>
      <c r="S313" s="4"/>
      <c r="T313" s="4" t="s">
        <v>239</v>
      </c>
      <c r="U313" s="4" t="s">
        <v>486</v>
      </c>
      <c r="V313" s="4" t="s">
        <v>487</v>
      </c>
      <c r="W313" s="4">
        <v>3070</v>
      </c>
      <c r="X313" s="4" t="s">
        <v>42</v>
      </c>
      <c r="Y313" s="4"/>
      <c r="Z313" s="4"/>
      <c r="AA313" s="4"/>
      <c r="AB313" s="4"/>
      <c r="AC313" s="4" t="s">
        <v>44</v>
      </c>
      <c r="AD313" s="4" t="s">
        <v>45</v>
      </c>
    </row>
    <row r="314" spans="1:30">
      <c r="A314" s="4" t="s">
        <v>30</v>
      </c>
      <c r="B314" s="4"/>
      <c r="C314" s="4">
        <v>163600</v>
      </c>
      <c r="D314" s="4" t="s">
        <v>119</v>
      </c>
      <c r="E314" s="13" t="s">
        <v>1034</v>
      </c>
      <c r="F314" s="4" t="s">
        <v>1035</v>
      </c>
      <c r="G314" s="4">
        <v>1</v>
      </c>
      <c r="H314" s="4" t="s">
        <v>122</v>
      </c>
      <c r="I314" s="5">
        <v>45047</v>
      </c>
      <c r="J314" s="5">
        <v>45412</v>
      </c>
      <c r="K314" s="4" t="s">
        <v>364</v>
      </c>
      <c r="L314" s="4" t="s">
        <v>365</v>
      </c>
      <c r="M314" s="7">
        <v>3935</v>
      </c>
      <c r="N314" s="16">
        <v>14.993646759847522</v>
      </c>
      <c r="O314" s="6">
        <v>590</v>
      </c>
      <c r="P314" s="4" t="s">
        <v>125</v>
      </c>
      <c r="Q314" s="1" t="s">
        <v>52</v>
      </c>
      <c r="R314" s="4" t="s">
        <v>52</v>
      </c>
      <c r="S314" s="4"/>
      <c r="T314" s="4" t="s">
        <v>126</v>
      </c>
      <c r="U314" s="4" t="s">
        <v>127</v>
      </c>
      <c r="V314" s="4" t="s">
        <v>128</v>
      </c>
      <c r="W314" s="4">
        <v>3090</v>
      </c>
      <c r="X314" s="4" t="s">
        <v>42</v>
      </c>
      <c r="Y314" s="4"/>
      <c r="Z314" s="4"/>
      <c r="AA314" s="4"/>
      <c r="AB314" s="4"/>
      <c r="AC314" s="4" t="s">
        <v>52</v>
      </c>
      <c r="AD314" s="4" t="s">
        <v>45</v>
      </c>
    </row>
    <row r="315" spans="1:30">
      <c r="A315" s="4" t="s">
        <v>30</v>
      </c>
      <c r="B315" s="4"/>
      <c r="C315" s="4">
        <v>222105</v>
      </c>
      <c r="D315" s="4" t="s">
        <v>68</v>
      </c>
      <c r="E315" s="13" t="s">
        <v>1036</v>
      </c>
      <c r="F315" s="4" t="s">
        <v>1037</v>
      </c>
      <c r="G315" s="4">
        <v>0</v>
      </c>
      <c r="H315" s="4" t="s">
        <v>1038</v>
      </c>
      <c r="I315" s="5">
        <v>45104</v>
      </c>
      <c r="J315" s="5">
        <v>45469</v>
      </c>
      <c r="K315" s="4" t="s">
        <v>72</v>
      </c>
      <c r="L315" s="4" t="s">
        <v>73</v>
      </c>
      <c r="M315" s="7">
        <v>26761</v>
      </c>
      <c r="N315" s="16">
        <v>19.999252643772653</v>
      </c>
      <c r="O315" s="6">
        <v>5352</v>
      </c>
      <c r="P315" s="4" t="s">
        <v>37</v>
      </c>
      <c r="Q315" s="1">
        <v>442892</v>
      </c>
      <c r="R315" s="4" t="s">
        <v>38</v>
      </c>
      <c r="S315" s="4"/>
      <c r="T315" s="4" t="s">
        <v>74</v>
      </c>
      <c r="U315" s="4" t="s">
        <v>75</v>
      </c>
      <c r="V315" s="4" t="s">
        <v>76</v>
      </c>
      <c r="W315" s="4">
        <v>3078</v>
      </c>
      <c r="X315" s="4" t="s">
        <v>42</v>
      </c>
      <c r="Y315" s="4"/>
      <c r="Z315" s="4"/>
      <c r="AA315" s="4"/>
      <c r="AB315" s="4" t="s">
        <v>43</v>
      </c>
      <c r="AC315" s="4" t="s">
        <v>44</v>
      </c>
      <c r="AD315" s="4" t="s">
        <v>45</v>
      </c>
    </row>
    <row r="316" spans="1:30">
      <c r="A316" s="4" t="s">
        <v>30</v>
      </c>
      <c r="B316" s="4"/>
      <c r="C316" s="4">
        <v>412300</v>
      </c>
      <c r="D316" s="4" t="s">
        <v>482</v>
      </c>
      <c r="E316" s="13" t="s">
        <v>1039</v>
      </c>
      <c r="F316" s="4" t="s">
        <v>484</v>
      </c>
      <c r="G316" s="4">
        <v>13</v>
      </c>
      <c r="H316" s="4" t="s">
        <v>485</v>
      </c>
      <c r="I316" s="5">
        <v>44835</v>
      </c>
      <c r="J316" s="5">
        <v>45199</v>
      </c>
      <c r="K316" s="4" t="s">
        <v>50</v>
      </c>
      <c r="L316" s="4" t="s">
        <v>51</v>
      </c>
      <c r="M316" s="7">
        <v>-10638</v>
      </c>
      <c r="N316" s="16">
        <v>7.5000000000000009</v>
      </c>
      <c r="O316" s="6">
        <v>-797.85</v>
      </c>
      <c r="P316" s="4" t="s">
        <v>151</v>
      </c>
      <c r="Q316" s="1">
        <v>405493</v>
      </c>
      <c r="R316" s="4" t="s">
        <v>1040</v>
      </c>
      <c r="S316" s="4"/>
      <c r="T316" s="4" t="s">
        <v>239</v>
      </c>
      <c r="U316" s="4" t="s">
        <v>486</v>
      </c>
      <c r="V316" s="4" t="s">
        <v>487</v>
      </c>
      <c r="W316" s="4">
        <v>3070</v>
      </c>
      <c r="X316" s="4" t="s">
        <v>42</v>
      </c>
      <c r="Y316" s="4"/>
      <c r="Z316" s="4"/>
      <c r="AA316" s="4"/>
      <c r="AB316" s="4"/>
      <c r="AC316" s="4" t="s">
        <v>44</v>
      </c>
      <c r="AD316" s="4" t="s">
        <v>45</v>
      </c>
    </row>
    <row r="317" spans="1:30">
      <c r="A317" s="4" t="s">
        <v>30</v>
      </c>
      <c r="B317" s="4"/>
      <c r="C317" s="4">
        <v>412300</v>
      </c>
      <c r="D317" s="4" t="s">
        <v>482</v>
      </c>
      <c r="E317" s="13" t="s">
        <v>1041</v>
      </c>
      <c r="F317" s="4" t="s">
        <v>718</v>
      </c>
      <c r="G317" s="4">
        <v>11</v>
      </c>
      <c r="H317" s="4" t="s">
        <v>485</v>
      </c>
      <c r="I317" s="5">
        <v>44873</v>
      </c>
      <c r="J317" s="5">
        <v>45237</v>
      </c>
      <c r="K317" s="4" t="s">
        <v>384</v>
      </c>
      <c r="L317" s="4" t="s">
        <v>385</v>
      </c>
      <c r="M317" s="7">
        <v>837</v>
      </c>
      <c r="N317" s="16">
        <v>7.5268817204301079</v>
      </c>
      <c r="O317" s="6">
        <v>63</v>
      </c>
      <c r="P317" s="4" t="s">
        <v>151</v>
      </c>
      <c r="Q317" s="1">
        <v>405492</v>
      </c>
      <c r="R317" s="4" t="s">
        <v>1040</v>
      </c>
      <c r="S317" s="4"/>
      <c r="T317" s="4" t="s">
        <v>239</v>
      </c>
      <c r="U317" s="4" t="s">
        <v>486</v>
      </c>
      <c r="V317" s="4" t="s">
        <v>487</v>
      </c>
      <c r="W317" s="4">
        <v>3070</v>
      </c>
      <c r="X317" s="4" t="s">
        <v>42</v>
      </c>
      <c r="Y317" s="4"/>
      <c r="Z317" s="4"/>
      <c r="AA317" s="4"/>
      <c r="AB317" s="4"/>
      <c r="AC317" s="4" t="s">
        <v>44</v>
      </c>
      <c r="AD317" s="4" t="s">
        <v>45</v>
      </c>
    </row>
    <row r="318" spans="1:30">
      <c r="A318" s="4" t="s">
        <v>30</v>
      </c>
      <c r="B318" s="4"/>
      <c r="C318" s="4">
        <v>510000</v>
      </c>
      <c r="D318" s="4" t="s">
        <v>46</v>
      </c>
      <c r="E318" s="13" t="s">
        <v>1042</v>
      </c>
      <c r="F318" s="4" t="s">
        <v>1043</v>
      </c>
      <c r="G318" s="4">
        <v>10</v>
      </c>
      <c r="H318" s="4" t="s">
        <v>233</v>
      </c>
      <c r="I318" s="5">
        <v>44681</v>
      </c>
      <c r="J318" s="5">
        <v>45045</v>
      </c>
      <c r="K318" s="4" t="s">
        <v>50</v>
      </c>
      <c r="L318" s="4" t="s">
        <v>51</v>
      </c>
      <c r="M318" s="7">
        <v>-49921</v>
      </c>
      <c r="N318" s="16">
        <v>2.4999499208749825</v>
      </c>
      <c r="O318" s="6">
        <v>-1248</v>
      </c>
      <c r="P318" s="4" t="s">
        <v>151</v>
      </c>
      <c r="Q318" s="1">
        <v>398764</v>
      </c>
      <c r="R318" s="4" t="s">
        <v>52</v>
      </c>
      <c r="S318" s="4"/>
      <c r="T318" s="4" t="s">
        <v>152</v>
      </c>
      <c r="U318" s="4" t="s">
        <v>153</v>
      </c>
      <c r="V318" s="4" t="s">
        <v>55</v>
      </c>
      <c r="W318" s="4">
        <v>3081</v>
      </c>
      <c r="X318" s="4" t="s">
        <v>42</v>
      </c>
      <c r="Y318" s="4"/>
      <c r="Z318" s="4"/>
      <c r="AA318" s="4"/>
      <c r="AB318" s="4"/>
      <c r="AC318" s="4" t="s">
        <v>52</v>
      </c>
      <c r="AD318" s="4" t="s">
        <v>45</v>
      </c>
    </row>
    <row r="319" spans="1:30">
      <c r="A319" s="4" t="s">
        <v>30</v>
      </c>
      <c r="B319" s="4"/>
      <c r="C319" s="4">
        <v>222104</v>
      </c>
      <c r="D319" s="4" t="s">
        <v>1044</v>
      </c>
      <c r="E319" s="13" t="s">
        <v>1045</v>
      </c>
      <c r="F319" s="4" t="s">
        <v>1046</v>
      </c>
      <c r="G319" s="4">
        <v>3</v>
      </c>
      <c r="H319" s="4" t="s">
        <v>1047</v>
      </c>
      <c r="I319" s="5">
        <v>44858</v>
      </c>
      <c r="J319" s="5">
        <v>45222</v>
      </c>
      <c r="K319" s="4" t="s">
        <v>384</v>
      </c>
      <c r="L319" s="4" t="s">
        <v>385</v>
      </c>
      <c r="M319" s="7">
        <v>48897</v>
      </c>
      <c r="N319" s="16">
        <v>7.5000102255762116</v>
      </c>
      <c r="O319" s="6">
        <v>3667.28</v>
      </c>
      <c r="P319" s="4" t="s">
        <v>37</v>
      </c>
      <c r="Q319" s="1">
        <v>406280</v>
      </c>
      <c r="R319" s="4" t="s">
        <v>52</v>
      </c>
      <c r="S319" s="4"/>
      <c r="T319" s="4" t="s">
        <v>559</v>
      </c>
      <c r="U319" s="4" t="s">
        <v>1048</v>
      </c>
      <c r="V319" s="4" t="s">
        <v>136</v>
      </c>
      <c r="W319" s="4">
        <v>3076</v>
      </c>
      <c r="X319" s="4" t="s">
        <v>42</v>
      </c>
      <c r="Y319" s="4"/>
      <c r="Z319" s="4"/>
      <c r="AA319" s="4"/>
      <c r="AB319" s="4"/>
      <c r="AC319" s="4" t="s">
        <v>52</v>
      </c>
      <c r="AD319" s="4" t="s">
        <v>45</v>
      </c>
    </row>
    <row r="320" spans="1:30">
      <c r="A320" s="4" t="s">
        <v>30</v>
      </c>
      <c r="B320" s="4"/>
      <c r="C320" s="4">
        <v>421200</v>
      </c>
      <c r="D320" s="4" t="s">
        <v>662</v>
      </c>
      <c r="E320" s="13" t="s">
        <v>1049</v>
      </c>
      <c r="F320" s="4" t="s">
        <v>1050</v>
      </c>
      <c r="G320" s="4">
        <v>6</v>
      </c>
      <c r="H320" s="4" t="s">
        <v>1051</v>
      </c>
      <c r="I320" s="5">
        <v>44936</v>
      </c>
      <c r="J320" s="5">
        <v>45300</v>
      </c>
      <c r="K320" s="4" t="s">
        <v>50</v>
      </c>
      <c r="L320" s="4" t="s">
        <v>51</v>
      </c>
      <c r="M320" s="7">
        <v>-251668</v>
      </c>
      <c r="N320" s="16">
        <v>7.499960265111179</v>
      </c>
      <c r="O320" s="6">
        <v>-18875</v>
      </c>
      <c r="P320" s="4" t="s">
        <v>95</v>
      </c>
      <c r="Q320" s="1">
        <v>441195</v>
      </c>
      <c r="R320" s="4" t="s">
        <v>416</v>
      </c>
      <c r="S320" s="4"/>
      <c r="T320" s="4" t="s">
        <v>666</v>
      </c>
      <c r="U320" s="4" t="s">
        <v>667</v>
      </c>
      <c r="V320" s="4" t="s">
        <v>668</v>
      </c>
      <c r="W320" s="4">
        <v>3098</v>
      </c>
      <c r="X320" s="4" t="s">
        <v>42</v>
      </c>
      <c r="Y320" s="4"/>
      <c r="Z320" s="4"/>
      <c r="AA320" s="4" t="s">
        <v>184</v>
      </c>
      <c r="AB320" s="4"/>
      <c r="AC320" s="4" t="s">
        <v>185</v>
      </c>
      <c r="AD320" s="4" t="s">
        <v>45</v>
      </c>
    </row>
    <row r="321" spans="1:30">
      <c r="A321" s="4" t="s">
        <v>30</v>
      </c>
      <c r="B321" s="4"/>
      <c r="C321" s="4">
        <v>272200</v>
      </c>
      <c r="D321" s="4" t="s">
        <v>208</v>
      </c>
      <c r="E321" s="13" t="s">
        <v>1052</v>
      </c>
      <c r="F321" s="4" t="s">
        <v>1053</v>
      </c>
      <c r="G321" s="4">
        <v>0</v>
      </c>
      <c r="H321" s="4" t="s">
        <v>211</v>
      </c>
      <c r="I321" s="5">
        <v>45083</v>
      </c>
      <c r="J321" s="5">
        <v>45448</v>
      </c>
      <c r="K321" s="4" t="s">
        <v>139</v>
      </c>
      <c r="L321" s="4" t="s">
        <v>140</v>
      </c>
      <c r="M321" s="7">
        <v>12981</v>
      </c>
      <c r="N321" s="16">
        <v>12.495185270780372</v>
      </c>
      <c r="O321" s="6">
        <v>1622</v>
      </c>
      <c r="P321" s="4" t="s">
        <v>37</v>
      </c>
      <c r="Q321" s="1" t="s">
        <v>52</v>
      </c>
      <c r="R321" s="4" t="s">
        <v>52</v>
      </c>
      <c r="S321" s="4"/>
      <c r="T321" s="4" t="s">
        <v>141</v>
      </c>
      <c r="U321" s="4" t="s">
        <v>142</v>
      </c>
      <c r="V321" s="4" t="s">
        <v>212</v>
      </c>
      <c r="W321" s="4">
        <v>3079</v>
      </c>
      <c r="X321" s="4" t="s">
        <v>42</v>
      </c>
      <c r="Y321" s="4"/>
      <c r="Z321" s="4" t="s">
        <v>117</v>
      </c>
      <c r="AA321" s="4"/>
      <c r="AB321" s="4"/>
      <c r="AC321" s="4" t="s">
        <v>52</v>
      </c>
      <c r="AD321" s="4" t="s">
        <v>45</v>
      </c>
    </row>
    <row r="322" spans="1:30">
      <c r="A322" s="4" t="s">
        <v>30</v>
      </c>
      <c r="B322" s="4"/>
      <c r="C322" s="4">
        <v>212203</v>
      </c>
      <c r="D322" s="4" t="s">
        <v>99</v>
      </c>
      <c r="E322" s="13" t="s">
        <v>1054</v>
      </c>
      <c r="F322" s="4" t="s">
        <v>1055</v>
      </c>
      <c r="G322" s="4">
        <v>0</v>
      </c>
      <c r="H322" s="4" t="s">
        <v>579</v>
      </c>
      <c r="I322" s="5">
        <v>45105</v>
      </c>
      <c r="J322" s="5">
        <v>45470</v>
      </c>
      <c r="K322" s="4" t="s">
        <v>205</v>
      </c>
      <c r="L322" s="4" t="s">
        <v>206</v>
      </c>
      <c r="M322" s="7">
        <v>9434</v>
      </c>
      <c r="N322" s="16">
        <v>14.998940004239982</v>
      </c>
      <c r="O322" s="6">
        <v>1415</v>
      </c>
      <c r="P322" s="4" t="s">
        <v>37</v>
      </c>
      <c r="Q322" s="1">
        <v>443954</v>
      </c>
      <c r="R322" s="4" t="s">
        <v>38</v>
      </c>
      <c r="S322" s="4"/>
      <c r="T322" s="4" t="s">
        <v>105</v>
      </c>
      <c r="U322" s="4" t="s">
        <v>106</v>
      </c>
      <c r="V322" s="4" t="s">
        <v>107</v>
      </c>
      <c r="W322" s="4">
        <v>3075</v>
      </c>
      <c r="X322" s="4" t="s">
        <v>42</v>
      </c>
      <c r="Y322" s="4"/>
      <c r="Z322" s="4"/>
      <c r="AA322" s="4"/>
      <c r="AB322" s="4"/>
      <c r="AC322" s="4" t="s">
        <v>44</v>
      </c>
      <c r="AD322" s="4" t="s">
        <v>45</v>
      </c>
    </row>
    <row r="323" spans="1:30">
      <c r="A323" s="4" t="s">
        <v>30</v>
      </c>
      <c r="B323" s="4"/>
      <c r="C323" s="4">
        <v>272300</v>
      </c>
      <c r="D323" s="4" t="s">
        <v>31</v>
      </c>
      <c r="E323" s="13" t="s">
        <v>1056</v>
      </c>
      <c r="F323" s="4" t="s">
        <v>1057</v>
      </c>
      <c r="G323" s="4">
        <v>0</v>
      </c>
      <c r="H323" s="4" t="s">
        <v>1058</v>
      </c>
      <c r="I323" s="5">
        <v>45103</v>
      </c>
      <c r="J323" s="5">
        <v>45468</v>
      </c>
      <c r="K323" s="4" t="s">
        <v>623</v>
      </c>
      <c r="L323" s="4" t="s">
        <v>624</v>
      </c>
      <c r="M323" s="7">
        <v>367500</v>
      </c>
      <c r="N323" s="16">
        <v>12.500136054421768</v>
      </c>
      <c r="O323" s="6">
        <v>45938</v>
      </c>
      <c r="P323" s="4" t="s">
        <v>37</v>
      </c>
      <c r="Q323" s="1" t="s">
        <v>52</v>
      </c>
      <c r="R323" s="4" t="s">
        <v>52</v>
      </c>
      <c r="S323" s="4"/>
      <c r="T323" s="4" t="s">
        <v>1059</v>
      </c>
      <c r="U323" s="4" t="s">
        <v>1060</v>
      </c>
      <c r="V323" s="4" t="s">
        <v>41</v>
      </c>
      <c r="W323" s="4">
        <v>3080</v>
      </c>
      <c r="X323" s="4" t="s">
        <v>42</v>
      </c>
      <c r="Y323" s="4">
        <v>213155</v>
      </c>
      <c r="Z323" s="4" t="s">
        <v>89</v>
      </c>
      <c r="AA323" s="4"/>
      <c r="AB323" s="4"/>
      <c r="AC323" s="4" t="s">
        <v>90</v>
      </c>
      <c r="AD323" s="4" t="s">
        <v>45</v>
      </c>
    </row>
    <row r="324" spans="1:30">
      <c r="A324" s="4" t="s">
        <v>30</v>
      </c>
      <c r="B324" s="4"/>
      <c r="C324" s="4">
        <v>411700</v>
      </c>
      <c r="D324" s="4" t="s">
        <v>234</v>
      </c>
      <c r="E324" s="13" t="s">
        <v>1061</v>
      </c>
      <c r="F324" s="4" t="s">
        <v>1062</v>
      </c>
      <c r="G324" s="4">
        <v>10</v>
      </c>
      <c r="H324" s="4" t="s">
        <v>237</v>
      </c>
      <c r="I324" s="5">
        <v>44835</v>
      </c>
      <c r="J324" s="5">
        <v>45199</v>
      </c>
      <c r="K324" s="4" t="s">
        <v>50</v>
      </c>
      <c r="L324" s="4" t="s">
        <v>51</v>
      </c>
      <c r="M324" s="7">
        <v>-3184</v>
      </c>
      <c r="N324" s="16">
        <v>1.0050251256281406</v>
      </c>
      <c r="O324" s="6">
        <v>-32</v>
      </c>
      <c r="P324" s="4" t="s">
        <v>151</v>
      </c>
      <c r="Q324" s="1">
        <v>409179</v>
      </c>
      <c r="R324" s="4" t="s">
        <v>238</v>
      </c>
      <c r="S324" s="4"/>
      <c r="T324" s="4" t="s">
        <v>239</v>
      </c>
      <c r="U324" s="4" t="s">
        <v>240</v>
      </c>
      <c r="V324" s="4" t="s">
        <v>241</v>
      </c>
      <c r="W324" s="4">
        <v>3069</v>
      </c>
      <c r="X324" s="4" t="s">
        <v>42</v>
      </c>
      <c r="Y324" s="4"/>
      <c r="Z324" s="4"/>
      <c r="AA324" s="4"/>
      <c r="AB324" s="4"/>
      <c r="AC324" s="4" t="s">
        <v>242</v>
      </c>
      <c r="AD324" s="4" t="s">
        <v>45</v>
      </c>
    </row>
    <row r="325" spans="1:30">
      <c r="A325" s="4" t="s">
        <v>30</v>
      </c>
      <c r="B325" s="4"/>
      <c r="C325" s="4">
        <v>510000</v>
      </c>
      <c r="D325" s="4" t="s">
        <v>46</v>
      </c>
      <c r="E325" s="13" t="s">
        <v>1063</v>
      </c>
      <c r="F325" s="4" t="s">
        <v>1064</v>
      </c>
      <c r="G325" s="4">
        <v>0</v>
      </c>
      <c r="H325" s="4" t="s">
        <v>84</v>
      </c>
      <c r="I325" s="5">
        <v>45078</v>
      </c>
      <c r="J325" s="5">
        <v>45443</v>
      </c>
      <c r="K325" s="4" t="s">
        <v>35</v>
      </c>
      <c r="L325" s="4" t="s">
        <v>36</v>
      </c>
      <c r="M325" s="7">
        <v>12878</v>
      </c>
      <c r="N325" s="16">
        <v>13.24739866438888</v>
      </c>
      <c r="O325" s="6">
        <v>1706</v>
      </c>
      <c r="P325" s="4" t="s">
        <v>37</v>
      </c>
      <c r="Q325" s="1">
        <v>0</v>
      </c>
      <c r="R325" s="4">
        <v>0</v>
      </c>
      <c r="S325" s="4"/>
      <c r="T325" s="4" t="s">
        <v>87</v>
      </c>
      <c r="U325" s="4" t="s">
        <v>88</v>
      </c>
      <c r="V325" s="4" t="s">
        <v>55</v>
      </c>
      <c r="W325" s="4">
        <v>3081</v>
      </c>
      <c r="X325" s="4" t="s">
        <v>42</v>
      </c>
      <c r="Y325" s="4"/>
      <c r="Z325" s="4" t="s">
        <v>117</v>
      </c>
      <c r="AA325" s="4"/>
      <c r="AB325" s="4"/>
      <c r="AC325" s="4" t="s">
        <v>143</v>
      </c>
      <c r="AD325" s="4" t="s">
        <v>45</v>
      </c>
    </row>
    <row r="326" spans="1:30">
      <c r="A326" s="4" t="s">
        <v>30</v>
      </c>
      <c r="B326" s="4"/>
      <c r="C326" s="4">
        <v>540000</v>
      </c>
      <c r="D326" s="4" t="s">
        <v>56</v>
      </c>
      <c r="E326" s="13" t="s">
        <v>1065</v>
      </c>
      <c r="F326" s="4" t="s">
        <v>1066</v>
      </c>
      <c r="G326" s="4">
        <v>3</v>
      </c>
      <c r="H326" s="4" t="s">
        <v>1067</v>
      </c>
      <c r="I326" s="5">
        <v>44866</v>
      </c>
      <c r="J326" s="5">
        <v>45230</v>
      </c>
      <c r="K326" s="4" t="s">
        <v>50</v>
      </c>
      <c r="L326" s="4" t="s">
        <v>51</v>
      </c>
      <c r="M326" s="7">
        <v>-25489</v>
      </c>
      <c r="N326" s="16">
        <v>7.5000196163050736</v>
      </c>
      <c r="O326" s="6">
        <v>-1911.68</v>
      </c>
      <c r="P326" s="4" t="s">
        <v>60</v>
      </c>
      <c r="Q326" s="1">
        <v>437793</v>
      </c>
      <c r="R326" s="4" t="s">
        <v>174</v>
      </c>
      <c r="S326" s="4"/>
      <c r="T326" s="4" t="s">
        <v>910</v>
      </c>
      <c r="U326" s="4" t="s">
        <v>1068</v>
      </c>
      <c r="V326" s="4" t="s">
        <v>64</v>
      </c>
      <c r="W326" s="4">
        <v>3123</v>
      </c>
      <c r="X326" s="4" t="s">
        <v>42</v>
      </c>
      <c r="Y326" s="4"/>
      <c r="Z326" s="4"/>
      <c r="AA326" s="4"/>
      <c r="AB326" s="4"/>
      <c r="AC326" s="4" t="s">
        <v>44</v>
      </c>
      <c r="AD326" s="4" t="s">
        <v>45</v>
      </c>
    </row>
    <row r="327" spans="1:30">
      <c r="A327" s="4" t="s">
        <v>30</v>
      </c>
      <c r="B327" s="4"/>
      <c r="C327" s="4">
        <v>212203</v>
      </c>
      <c r="D327" s="4" t="s">
        <v>99</v>
      </c>
      <c r="E327" s="13" t="s">
        <v>1069</v>
      </c>
      <c r="F327" s="4" t="s">
        <v>1070</v>
      </c>
      <c r="G327" s="4">
        <v>0</v>
      </c>
      <c r="H327" s="4" t="s">
        <v>1071</v>
      </c>
      <c r="I327" s="5">
        <v>45086</v>
      </c>
      <c r="J327" s="5">
        <v>45451</v>
      </c>
      <c r="K327" s="4" t="s">
        <v>103</v>
      </c>
      <c r="L327" s="4" t="s">
        <v>104</v>
      </c>
      <c r="M327" s="7">
        <v>8851</v>
      </c>
      <c r="N327" s="16">
        <v>14.992656197039882</v>
      </c>
      <c r="O327" s="6">
        <v>1327</v>
      </c>
      <c r="P327" s="4" t="s">
        <v>37</v>
      </c>
      <c r="Q327" s="1">
        <v>443960</v>
      </c>
      <c r="R327" s="4" t="s">
        <v>38</v>
      </c>
      <c r="S327" s="4"/>
      <c r="T327" s="4" t="s">
        <v>105</v>
      </c>
      <c r="U327" s="4" t="s">
        <v>106</v>
      </c>
      <c r="V327" s="4" t="s">
        <v>107</v>
      </c>
      <c r="W327" s="4">
        <v>3075</v>
      </c>
      <c r="X327" s="4" t="s">
        <v>42</v>
      </c>
      <c r="Y327" s="4"/>
      <c r="Z327" s="4"/>
      <c r="AA327" s="4"/>
      <c r="AB327" s="4"/>
      <c r="AC327" s="4" t="s">
        <v>44</v>
      </c>
      <c r="AD327" s="4" t="s">
        <v>45</v>
      </c>
    </row>
    <row r="328" spans="1:30">
      <c r="A328" s="4" t="s">
        <v>30</v>
      </c>
      <c r="B328" s="4"/>
      <c r="C328" s="4">
        <v>431500</v>
      </c>
      <c r="D328" s="4" t="s">
        <v>380</v>
      </c>
      <c r="E328" s="13" t="s">
        <v>1072</v>
      </c>
      <c r="F328" s="4" t="s">
        <v>763</v>
      </c>
      <c r="G328" s="4">
        <v>3</v>
      </c>
      <c r="H328" s="4" t="s">
        <v>383</v>
      </c>
      <c r="I328" s="5">
        <v>45000</v>
      </c>
      <c r="J328" s="5">
        <v>45365</v>
      </c>
      <c r="K328" s="4" t="s">
        <v>50</v>
      </c>
      <c r="L328" s="4" t="s">
        <v>51</v>
      </c>
      <c r="M328" s="7">
        <v>-7445</v>
      </c>
      <c r="N328" s="16">
        <v>7.5000671591672257</v>
      </c>
      <c r="O328" s="6">
        <v>-558.38</v>
      </c>
      <c r="P328" s="4" t="s">
        <v>386</v>
      </c>
      <c r="Q328" s="1">
        <v>424815</v>
      </c>
      <c r="R328" s="4" t="s">
        <v>52</v>
      </c>
      <c r="S328" s="4"/>
      <c r="T328" s="4" t="s">
        <v>387</v>
      </c>
      <c r="U328" s="4" t="s">
        <v>388</v>
      </c>
      <c r="V328" s="4" t="s">
        <v>389</v>
      </c>
      <c r="W328" s="4">
        <v>3082</v>
      </c>
      <c r="X328" s="4" t="s">
        <v>42</v>
      </c>
      <c r="Y328" s="4"/>
      <c r="Z328" s="4"/>
      <c r="AA328" s="4"/>
      <c r="AB328" s="4"/>
      <c r="AC328" s="4" t="s">
        <v>52</v>
      </c>
      <c r="AD328" s="4" t="s">
        <v>45</v>
      </c>
    </row>
    <row r="329" spans="1:30">
      <c r="A329" s="4" t="s">
        <v>30</v>
      </c>
      <c r="B329" s="4"/>
      <c r="C329" s="4">
        <v>272300</v>
      </c>
      <c r="D329" s="4" t="s">
        <v>31</v>
      </c>
      <c r="E329" s="13" t="s">
        <v>1073</v>
      </c>
      <c r="F329" s="4" t="s">
        <v>1074</v>
      </c>
      <c r="G329" s="4">
        <v>0</v>
      </c>
      <c r="H329" s="4" t="s">
        <v>1058</v>
      </c>
      <c r="I329" s="5">
        <v>45103</v>
      </c>
      <c r="J329" s="5">
        <v>45468</v>
      </c>
      <c r="K329" s="4" t="s">
        <v>569</v>
      </c>
      <c r="L329" s="4" t="s">
        <v>570</v>
      </c>
      <c r="M329" s="7">
        <v>5012</v>
      </c>
      <c r="N329" s="16">
        <v>12.509976057462092</v>
      </c>
      <c r="O329" s="6">
        <v>627</v>
      </c>
      <c r="P329" s="4" t="s">
        <v>37</v>
      </c>
      <c r="Q329" s="1" t="s">
        <v>52</v>
      </c>
      <c r="R329" s="4" t="s">
        <v>52</v>
      </c>
      <c r="S329" s="4"/>
      <c r="T329" s="4" t="s">
        <v>1059</v>
      </c>
      <c r="U329" s="4" t="s">
        <v>1060</v>
      </c>
      <c r="V329" s="4" t="s">
        <v>41</v>
      </c>
      <c r="W329" s="4">
        <v>3080</v>
      </c>
      <c r="X329" s="4" t="s">
        <v>42</v>
      </c>
      <c r="Y329" s="4">
        <v>213160</v>
      </c>
      <c r="Z329" s="4" t="s">
        <v>89</v>
      </c>
      <c r="AA329" s="4"/>
      <c r="AB329" s="4"/>
      <c r="AC329" s="4" t="s">
        <v>90</v>
      </c>
      <c r="AD329" s="4" t="s">
        <v>45</v>
      </c>
    </row>
    <row r="330" spans="1:30">
      <c r="A330" s="4" t="s">
        <v>30</v>
      </c>
      <c r="B330" s="4"/>
      <c r="C330" s="4">
        <v>212203</v>
      </c>
      <c r="D330" s="4" t="s">
        <v>99</v>
      </c>
      <c r="E330" s="13" t="s">
        <v>1075</v>
      </c>
      <c r="F330" s="4" t="s">
        <v>1076</v>
      </c>
      <c r="G330" s="4">
        <v>0</v>
      </c>
      <c r="H330" s="4" t="s">
        <v>204</v>
      </c>
      <c r="I330" s="5">
        <v>45098</v>
      </c>
      <c r="J330" s="5">
        <v>45463</v>
      </c>
      <c r="K330" s="4" t="s">
        <v>205</v>
      </c>
      <c r="L330" s="4" t="s">
        <v>206</v>
      </c>
      <c r="M330" s="7">
        <v>8870</v>
      </c>
      <c r="N330" s="16">
        <v>15.005636978579481</v>
      </c>
      <c r="O330" s="6">
        <v>1331</v>
      </c>
      <c r="P330" s="4" t="s">
        <v>37</v>
      </c>
      <c r="Q330" s="1">
        <v>443950</v>
      </c>
      <c r="R330" s="4" t="s">
        <v>38</v>
      </c>
      <c r="S330" s="4"/>
      <c r="T330" s="4" t="s">
        <v>105</v>
      </c>
      <c r="U330" s="4" t="s">
        <v>106</v>
      </c>
      <c r="V330" s="4" t="s">
        <v>107</v>
      </c>
      <c r="W330" s="4">
        <v>3075</v>
      </c>
      <c r="X330" s="4" t="s">
        <v>42</v>
      </c>
      <c r="Y330" s="4"/>
      <c r="Z330" s="4"/>
      <c r="AA330" s="4"/>
      <c r="AB330" s="4"/>
      <c r="AC330" s="4" t="s">
        <v>44</v>
      </c>
      <c r="AD330" s="4" t="s">
        <v>45</v>
      </c>
    </row>
    <row r="331" spans="1:30">
      <c r="A331" s="4" t="s">
        <v>30</v>
      </c>
      <c r="B331" s="4"/>
      <c r="C331" s="4">
        <v>212203</v>
      </c>
      <c r="D331" s="4" t="s">
        <v>99</v>
      </c>
      <c r="E331" s="13" t="s">
        <v>1077</v>
      </c>
      <c r="F331" s="4" t="s">
        <v>1078</v>
      </c>
      <c r="G331" s="4">
        <v>0</v>
      </c>
      <c r="H331" s="4" t="s">
        <v>810</v>
      </c>
      <c r="I331" s="5">
        <v>45095</v>
      </c>
      <c r="J331" s="5">
        <v>45460</v>
      </c>
      <c r="K331" s="4" t="s">
        <v>199</v>
      </c>
      <c r="L331" s="4" t="s">
        <v>200</v>
      </c>
      <c r="M331" s="7">
        <v>9244</v>
      </c>
      <c r="N331" s="16">
        <v>13.370835136304631</v>
      </c>
      <c r="O331" s="6">
        <v>1236</v>
      </c>
      <c r="P331" s="4" t="s">
        <v>37</v>
      </c>
      <c r="Q331" s="1">
        <v>443950</v>
      </c>
      <c r="R331" s="4" t="s">
        <v>38</v>
      </c>
      <c r="S331" s="4"/>
      <c r="T331" s="4" t="s">
        <v>105</v>
      </c>
      <c r="U331" s="4" t="s">
        <v>106</v>
      </c>
      <c r="V331" s="4" t="s">
        <v>107</v>
      </c>
      <c r="W331" s="4">
        <v>3075</v>
      </c>
      <c r="X331" s="4" t="s">
        <v>42</v>
      </c>
      <c r="Y331" s="4"/>
      <c r="Z331" s="4"/>
      <c r="AA331" s="4" t="s">
        <v>201</v>
      </c>
      <c r="AB331" s="4"/>
      <c r="AC331" s="4" t="s">
        <v>185</v>
      </c>
      <c r="AD331" s="4" t="s">
        <v>45</v>
      </c>
    </row>
    <row r="332" spans="1:30">
      <c r="A332" s="4" t="s">
        <v>30</v>
      </c>
      <c r="B332" s="4"/>
      <c r="C332" s="4">
        <v>215600</v>
      </c>
      <c r="D332" s="4" t="s">
        <v>129</v>
      </c>
      <c r="E332" s="13" t="s">
        <v>1079</v>
      </c>
      <c r="F332" s="4" t="s">
        <v>131</v>
      </c>
      <c r="G332" s="4">
        <v>10</v>
      </c>
      <c r="H332" s="4" t="s">
        <v>132</v>
      </c>
      <c r="I332" s="5">
        <v>44835</v>
      </c>
      <c r="J332" s="5">
        <v>45199</v>
      </c>
      <c r="K332" s="4" t="s">
        <v>50</v>
      </c>
      <c r="L332" s="4" t="s">
        <v>51</v>
      </c>
      <c r="M332" s="7">
        <v>18595</v>
      </c>
      <c r="N332" s="16">
        <v>7.5020166711481586</v>
      </c>
      <c r="O332" s="6">
        <v>1395</v>
      </c>
      <c r="P332" s="4" t="s">
        <v>37</v>
      </c>
      <c r="Q332" s="1">
        <v>405703</v>
      </c>
      <c r="R332" s="4" t="s">
        <v>52</v>
      </c>
      <c r="S332" s="4"/>
      <c r="T332" s="4" t="s">
        <v>134</v>
      </c>
      <c r="U332" s="4" t="s">
        <v>135</v>
      </c>
      <c r="V332" s="4" t="s">
        <v>136</v>
      </c>
      <c r="W332" s="4">
        <v>3076</v>
      </c>
      <c r="X332" s="4" t="s">
        <v>42</v>
      </c>
      <c r="Y332" s="4"/>
      <c r="Z332" s="4"/>
      <c r="AA332" s="4"/>
      <c r="AB332" s="4"/>
      <c r="AC332" s="4" t="s">
        <v>52</v>
      </c>
      <c r="AD332" s="4" t="s">
        <v>45</v>
      </c>
    </row>
    <row r="333" spans="1:30">
      <c r="A333" s="4" t="s">
        <v>30</v>
      </c>
      <c r="B333" s="4"/>
      <c r="C333" s="4">
        <v>510000</v>
      </c>
      <c r="D333" s="4" t="s">
        <v>46</v>
      </c>
      <c r="E333" s="13" t="s">
        <v>1080</v>
      </c>
      <c r="F333" s="4" t="s">
        <v>1081</v>
      </c>
      <c r="G333" s="4">
        <v>0</v>
      </c>
      <c r="H333" s="4" t="s">
        <v>1082</v>
      </c>
      <c r="I333" s="5">
        <v>45017</v>
      </c>
      <c r="J333" s="5">
        <v>45382</v>
      </c>
      <c r="K333" s="4" t="s">
        <v>50</v>
      </c>
      <c r="L333" s="4" t="s">
        <v>51</v>
      </c>
      <c r="M333" s="7">
        <v>5648500</v>
      </c>
      <c r="N333" s="16">
        <v>2</v>
      </c>
      <c r="O333" s="6">
        <v>112970</v>
      </c>
      <c r="P333" s="4" t="s">
        <v>37</v>
      </c>
      <c r="Q333" s="1">
        <v>431824</v>
      </c>
      <c r="R333" s="4" t="s">
        <v>38</v>
      </c>
      <c r="S333" s="4"/>
      <c r="T333" s="4" t="s">
        <v>285</v>
      </c>
      <c r="U333" s="4" t="s">
        <v>1083</v>
      </c>
      <c r="V333" s="4" t="s">
        <v>55</v>
      </c>
      <c r="W333" s="4">
        <v>3081</v>
      </c>
      <c r="X333" s="4" t="s">
        <v>42</v>
      </c>
      <c r="Y333" s="4"/>
      <c r="Z333" s="4"/>
      <c r="AA333" s="4" t="s">
        <v>184</v>
      </c>
      <c r="AB333" s="4"/>
      <c r="AC333" s="4" t="s">
        <v>185</v>
      </c>
      <c r="AD333" s="4" t="s">
        <v>45</v>
      </c>
    </row>
    <row r="334" spans="1:30">
      <c r="A334" s="4" t="s">
        <v>30</v>
      </c>
      <c r="B334" s="4"/>
      <c r="C334" s="4">
        <v>233406</v>
      </c>
      <c r="D334" s="4" t="s">
        <v>729</v>
      </c>
      <c r="E334" s="13" t="s">
        <v>1084</v>
      </c>
      <c r="F334" s="4" t="s">
        <v>1085</v>
      </c>
      <c r="G334" s="4">
        <v>0</v>
      </c>
      <c r="H334" s="4" t="s">
        <v>732</v>
      </c>
      <c r="I334" s="5">
        <v>45079</v>
      </c>
      <c r="J334" s="5">
        <v>45444</v>
      </c>
      <c r="K334" s="4" t="s">
        <v>359</v>
      </c>
      <c r="L334" s="4" t="s">
        <v>360</v>
      </c>
      <c r="M334" s="7">
        <v>4698</v>
      </c>
      <c r="N334" s="16">
        <v>12.494678586632611</v>
      </c>
      <c r="O334" s="6">
        <v>587</v>
      </c>
      <c r="P334" s="4" t="s">
        <v>312</v>
      </c>
      <c r="Q334" s="1" t="s">
        <v>52</v>
      </c>
      <c r="R334" s="4" t="s">
        <v>52</v>
      </c>
      <c r="S334" s="4"/>
      <c r="T334" s="4" t="s">
        <v>160</v>
      </c>
      <c r="U334" s="4" t="s">
        <v>160</v>
      </c>
      <c r="V334" s="4" t="s">
        <v>733</v>
      </c>
      <c r="W334" s="4">
        <v>3083</v>
      </c>
      <c r="X334" s="4" t="s">
        <v>42</v>
      </c>
      <c r="Y334" s="4"/>
      <c r="Z334" s="4" t="s">
        <v>117</v>
      </c>
      <c r="AA334" s="4"/>
      <c r="AB334" s="4"/>
      <c r="AC334" s="4" t="s">
        <v>52</v>
      </c>
      <c r="AD334" s="4" t="s">
        <v>45</v>
      </c>
    </row>
    <row r="335" spans="1:30">
      <c r="A335" s="4" t="s">
        <v>30</v>
      </c>
      <c r="B335" s="4"/>
      <c r="C335" s="4">
        <v>163600</v>
      </c>
      <c r="D335" s="4" t="s">
        <v>119</v>
      </c>
      <c r="E335" s="13" t="s">
        <v>1086</v>
      </c>
      <c r="F335" s="4" t="s">
        <v>1087</v>
      </c>
      <c r="G335" s="4">
        <v>0</v>
      </c>
      <c r="H335" s="4" t="s">
        <v>122</v>
      </c>
      <c r="I335" s="5">
        <v>45078</v>
      </c>
      <c r="J335" s="5">
        <v>45443</v>
      </c>
      <c r="K335" s="4" t="s">
        <v>123</v>
      </c>
      <c r="L335" s="4" t="s">
        <v>124</v>
      </c>
      <c r="M335" s="7">
        <v>3130</v>
      </c>
      <c r="N335" s="16">
        <v>20</v>
      </c>
      <c r="O335" s="6">
        <v>626</v>
      </c>
      <c r="P335" s="4" t="s">
        <v>125</v>
      </c>
      <c r="Q335" s="1" t="s">
        <v>52</v>
      </c>
      <c r="R335" s="4" t="s">
        <v>52</v>
      </c>
      <c r="S335" s="4"/>
      <c r="T335" s="4" t="s">
        <v>126</v>
      </c>
      <c r="U335" s="4" t="s">
        <v>127</v>
      </c>
      <c r="V335" s="4" t="s">
        <v>128</v>
      </c>
      <c r="W335" s="4">
        <v>3090</v>
      </c>
      <c r="X335" s="4" t="s">
        <v>42</v>
      </c>
      <c r="Y335" s="4"/>
      <c r="Z335" s="4" t="s">
        <v>117</v>
      </c>
      <c r="AA335" s="4"/>
      <c r="AB335" s="4"/>
      <c r="AC335" s="4" t="s">
        <v>52</v>
      </c>
      <c r="AD335" s="4" t="s">
        <v>45</v>
      </c>
    </row>
    <row r="336" spans="1:30">
      <c r="A336" s="4" t="s">
        <v>30</v>
      </c>
      <c r="B336" s="4"/>
      <c r="C336" s="4">
        <v>411600</v>
      </c>
      <c r="D336" s="4" t="s">
        <v>1088</v>
      </c>
      <c r="E336" s="13" t="s">
        <v>1089</v>
      </c>
      <c r="F336" s="4" t="s">
        <v>1090</v>
      </c>
      <c r="G336" s="4">
        <v>0</v>
      </c>
      <c r="H336" s="4" t="s">
        <v>1091</v>
      </c>
      <c r="I336" s="5">
        <v>45096</v>
      </c>
      <c r="J336" s="5">
        <v>45461</v>
      </c>
      <c r="K336" s="4" t="s">
        <v>50</v>
      </c>
      <c r="L336" s="4" t="s">
        <v>51</v>
      </c>
      <c r="M336" s="7">
        <v>7680000</v>
      </c>
      <c r="N336" s="16">
        <v>1</v>
      </c>
      <c r="O336" s="6">
        <v>76800</v>
      </c>
      <c r="P336" s="4" t="s">
        <v>151</v>
      </c>
      <c r="Q336" s="1">
        <v>440844</v>
      </c>
      <c r="R336" s="4" t="s">
        <v>38</v>
      </c>
      <c r="S336" s="4"/>
      <c r="T336" s="4" t="s">
        <v>239</v>
      </c>
      <c r="U336" s="4" t="s">
        <v>1092</v>
      </c>
      <c r="V336" s="4" t="s">
        <v>1093</v>
      </c>
      <c r="W336" s="4">
        <v>3068</v>
      </c>
      <c r="X336" s="4" t="s">
        <v>42</v>
      </c>
      <c r="Y336" s="4"/>
      <c r="Z336" s="4"/>
      <c r="AA336" s="4"/>
      <c r="AB336" s="4"/>
      <c r="AC336" s="4" t="s">
        <v>44</v>
      </c>
      <c r="AD336" s="4" t="s">
        <v>45</v>
      </c>
    </row>
    <row r="337" spans="1:30">
      <c r="A337" s="4" t="s">
        <v>30</v>
      </c>
      <c r="B337" s="4"/>
      <c r="C337" s="4">
        <v>212203</v>
      </c>
      <c r="D337" s="4" t="s">
        <v>99</v>
      </c>
      <c r="E337" s="13" t="s">
        <v>1094</v>
      </c>
      <c r="F337" s="4" t="s">
        <v>801</v>
      </c>
      <c r="G337" s="4">
        <v>1</v>
      </c>
      <c r="H337" s="4" t="s">
        <v>204</v>
      </c>
      <c r="I337" s="5">
        <v>45097</v>
      </c>
      <c r="J337" s="5">
        <v>45097</v>
      </c>
      <c r="K337" s="4" t="s">
        <v>205</v>
      </c>
      <c r="L337" s="4" t="s">
        <v>206</v>
      </c>
      <c r="M337" s="7">
        <v>-9682</v>
      </c>
      <c r="N337" s="16">
        <v>14.996901466639125</v>
      </c>
      <c r="O337" s="6">
        <v>-1452</v>
      </c>
      <c r="P337" s="4" t="s">
        <v>37</v>
      </c>
      <c r="Q337" s="1" t="s">
        <v>207</v>
      </c>
      <c r="R337" s="4" t="s">
        <v>207</v>
      </c>
      <c r="S337" s="4"/>
      <c r="T337" s="4" t="s">
        <v>105</v>
      </c>
      <c r="U337" s="4" t="s">
        <v>106</v>
      </c>
      <c r="V337" s="4" t="s">
        <v>107</v>
      </c>
      <c r="W337" s="4">
        <v>3075</v>
      </c>
      <c r="X337" s="4" t="s">
        <v>42</v>
      </c>
      <c r="Y337" s="4"/>
      <c r="Z337" s="4"/>
      <c r="AA337" s="4"/>
      <c r="AB337" s="4"/>
      <c r="AC337" s="4" t="s">
        <v>207</v>
      </c>
      <c r="AD337" s="4" t="s">
        <v>45</v>
      </c>
    </row>
    <row r="338" spans="1:30">
      <c r="A338" s="4" t="s">
        <v>30</v>
      </c>
      <c r="B338" s="4"/>
      <c r="C338" s="4">
        <v>510000</v>
      </c>
      <c r="D338" s="4" t="s">
        <v>46</v>
      </c>
      <c r="E338" s="13" t="s">
        <v>1095</v>
      </c>
      <c r="F338" s="4" t="s">
        <v>1096</v>
      </c>
      <c r="G338" s="4">
        <v>2</v>
      </c>
      <c r="H338" s="4" t="s">
        <v>1082</v>
      </c>
      <c r="I338" s="5">
        <v>45017</v>
      </c>
      <c r="J338" s="5">
        <v>45382</v>
      </c>
      <c r="K338" s="4" t="s">
        <v>50</v>
      </c>
      <c r="L338" s="4" t="s">
        <v>51</v>
      </c>
      <c r="M338" s="7">
        <v>42087</v>
      </c>
      <c r="N338" s="16">
        <v>2</v>
      </c>
      <c r="O338" s="6">
        <v>841.74</v>
      </c>
      <c r="P338" s="4" t="s">
        <v>37</v>
      </c>
      <c r="Q338" s="1">
        <v>427737</v>
      </c>
      <c r="R338" s="4" t="s">
        <v>52</v>
      </c>
      <c r="S338" s="4"/>
      <c r="T338" s="4" t="s">
        <v>285</v>
      </c>
      <c r="U338" s="4" t="s">
        <v>1083</v>
      </c>
      <c r="V338" s="4" t="s">
        <v>55</v>
      </c>
      <c r="W338" s="4">
        <v>3081</v>
      </c>
      <c r="X338" s="4" t="s">
        <v>42</v>
      </c>
      <c r="Y338" s="4"/>
      <c r="Z338" s="4"/>
      <c r="AA338" s="4"/>
      <c r="AB338" s="4"/>
      <c r="AC338" s="4" t="s">
        <v>52</v>
      </c>
      <c r="AD338" s="4" t="s">
        <v>45</v>
      </c>
    </row>
    <row r="339" spans="1:30">
      <c r="A339" s="4" t="s">
        <v>30</v>
      </c>
      <c r="B339" s="4"/>
      <c r="C339" s="4">
        <v>212203</v>
      </c>
      <c r="D339" s="4" t="s">
        <v>99</v>
      </c>
      <c r="E339" s="13" t="s">
        <v>1097</v>
      </c>
      <c r="F339" s="4" t="s">
        <v>1098</v>
      </c>
      <c r="G339" s="4">
        <v>0</v>
      </c>
      <c r="H339" s="4" t="s">
        <v>221</v>
      </c>
      <c r="I339" s="5">
        <v>45099</v>
      </c>
      <c r="J339" s="5">
        <v>45464</v>
      </c>
      <c r="K339" s="4" t="s">
        <v>199</v>
      </c>
      <c r="L339" s="4" t="s">
        <v>200</v>
      </c>
      <c r="M339" s="7">
        <v>8522</v>
      </c>
      <c r="N339" s="16">
        <v>13.224595165454119</v>
      </c>
      <c r="O339" s="6">
        <v>1127</v>
      </c>
      <c r="P339" s="4" t="s">
        <v>37</v>
      </c>
      <c r="Q339" s="1">
        <v>443835</v>
      </c>
      <c r="R339" s="4" t="s">
        <v>38</v>
      </c>
      <c r="S339" s="4"/>
      <c r="T339" s="4" t="s">
        <v>105</v>
      </c>
      <c r="U339" s="4" t="s">
        <v>106</v>
      </c>
      <c r="V339" s="4" t="s">
        <v>107</v>
      </c>
      <c r="W339" s="4">
        <v>3075</v>
      </c>
      <c r="X339" s="4" t="s">
        <v>42</v>
      </c>
      <c r="Y339" s="4"/>
      <c r="Z339" s="4"/>
      <c r="AA339" s="4" t="s">
        <v>201</v>
      </c>
      <c r="AB339" s="4"/>
      <c r="AC339" s="4" t="s">
        <v>185</v>
      </c>
      <c r="AD339" s="4" t="s">
        <v>45</v>
      </c>
    </row>
    <row r="340" spans="1:30">
      <c r="A340" s="4" t="s">
        <v>30</v>
      </c>
      <c r="B340" s="4"/>
      <c r="C340" s="4">
        <v>212203</v>
      </c>
      <c r="D340" s="4" t="s">
        <v>99</v>
      </c>
      <c r="E340" s="13" t="s">
        <v>1099</v>
      </c>
      <c r="F340" s="4" t="s">
        <v>1100</v>
      </c>
      <c r="G340" s="4">
        <v>0</v>
      </c>
      <c r="H340" s="4" t="s">
        <v>280</v>
      </c>
      <c r="I340" s="5">
        <v>45105</v>
      </c>
      <c r="J340" s="5">
        <v>45470</v>
      </c>
      <c r="K340" s="4" t="s">
        <v>103</v>
      </c>
      <c r="L340" s="4" t="s">
        <v>104</v>
      </c>
      <c r="M340" s="7">
        <v>8871</v>
      </c>
      <c r="N340" s="16">
        <v>14.99267275391726</v>
      </c>
      <c r="O340" s="6">
        <v>1330</v>
      </c>
      <c r="P340" s="4" t="s">
        <v>37</v>
      </c>
      <c r="Q340" s="1">
        <v>443973</v>
      </c>
      <c r="R340" s="4" t="s">
        <v>38</v>
      </c>
      <c r="S340" s="4"/>
      <c r="T340" s="4" t="s">
        <v>105</v>
      </c>
      <c r="U340" s="4" t="s">
        <v>106</v>
      </c>
      <c r="V340" s="4" t="s">
        <v>107</v>
      </c>
      <c r="W340" s="4">
        <v>3075</v>
      </c>
      <c r="X340" s="4" t="s">
        <v>42</v>
      </c>
      <c r="Y340" s="4"/>
      <c r="Z340" s="4"/>
      <c r="AA340" s="4"/>
      <c r="AB340" s="4"/>
      <c r="AC340" s="4" t="s">
        <v>44</v>
      </c>
      <c r="AD340" s="4" t="s">
        <v>45</v>
      </c>
    </row>
    <row r="341" spans="1:30">
      <c r="A341" s="4" t="s">
        <v>30</v>
      </c>
      <c r="B341" s="4"/>
      <c r="C341" s="4">
        <v>411700</v>
      </c>
      <c r="D341" s="4" t="s">
        <v>234</v>
      </c>
      <c r="E341" s="13" t="s">
        <v>1101</v>
      </c>
      <c r="F341" s="4" t="s">
        <v>586</v>
      </c>
      <c r="G341" s="4">
        <v>10</v>
      </c>
      <c r="H341" s="4" t="s">
        <v>237</v>
      </c>
      <c r="I341" s="5">
        <v>44835</v>
      </c>
      <c r="J341" s="5">
        <v>45199</v>
      </c>
      <c r="K341" s="4" t="s">
        <v>50</v>
      </c>
      <c r="L341" s="4" t="s">
        <v>51</v>
      </c>
      <c r="M341" s="7">
        <v>127909</v>
      </c>
      <c r="N341" s="16">
        <v>1.5002853591225012</v>
      </c>
      <c r="O341" s="6">
        <v>1919</v>
      </c>
      <c r="P341" s="4" t="s">
        <v>151</v>
      </c>
      <c r="Q341" s="1">
        <v>409570</v>
      </c>
      <c r="R341" s="4" t="s">
        <v>52</v>
      </c>
      <c r="S341" s="4"/>
      <c r="T341" s="4" t="s">
        <v>239</v>
      </c>
      <c r="U341" s="4" t="s">
        <v>240</v>
      </c>
      <c r="V341" s="4" t="s">
        <v>241</v>
      </c>
      <c r="W341" s="4">
        <v>3069</v>
      </c>
      <c r="X341" s="4" t="s">
        <v>42</v>
      </c>
      <c r="Y341" s="4"/>
      <c r="Z341" s="4"/>
      <c r="AA341" s="4"/>
      <c r="AB341" s="4"/>
      <c r="AC341" s="4" t="s">
        <v>52</v>
      </c>
      <c r="AD341" s="4" t="s">
        <v>45</v>
      </c>
    </row>
    <row r="342" spans="1:30">
      <c r="A342" s="4" t="s">
        <v>30</v>
      </c>
      <c r="B342" s="4"/>
      <c r="C342" s="4">
        <v>510000</v>
      </c>
      <c r="D342" s="4" t="s">
        <v>46</v>
      </c>
      <c r="E342" s="13" t="s">
        <v>1102</v>
      </c>
      <c r="F342" s="4" t="s">
        <v>1103</v>
      </c>
      <c r="G342" s="4">
        <v>7</v>
      </c>
      <c r="H342" s="4" t="s">
        <v>233</v>
      </c>
      <c r="I342" s="5">
        <v>44724</v>
      </c>
      <c r="J342" s="5">
        <v>45077</v>
      </c>
      <c r="K342" s="4" t="s">
        <v>50</v>
      </c>
      <c r="L342" s="4" t="s">
        <v>51</v>
      </c>
      <c r="M342" s="7">
        <v>29185</v>
      </c>
      <c r="N342" s="16">
        <v>2.9999999999999996</v>
      </c>
      <c r="O342" s="6">
        <v>875.55</v>
      </c>
      <c r="P342" s="4" t="s">
        <v>151</v>
      </c>
      <c r="Q342" s="1">
        <v>418716</v>
      </c>
      <c r="R342" s="4" t="s">
        <v>52</v>
      </c>
      <c r="S342" s="4"/>
      <c r="T342" s="4" t="s">
        <v>152</v>
      </c>
      <c r="U342" s="4" t="s">
        <v>153</v>
      </c>
      <c r="V342" s="4" t="s">
        <v>55</v>
      </c>
      <c r="W342" s="4">
        <v>3081</v>
      </c>
      <c r="X342" s="4" t="s">
        <v>42</v>
      </c>
      <c r="Y342" s="4"/>
      <c r="Z342" s="4"/>
      <c r="AA342" s="4"/>
      <c r="AB342" s="4"/>
      <c r="AC342" s="4" t="s">
        <v>52</v>
      </c>
      <c r="AD342" s="4" t="s">
        <v>45</v>
      </c>
    </row>
    <row r="343" spans="1:30">
      <c r="A343" s="4" t="s">
        <v>30</v>
      </c>
      <c r="B343" s="4"/>
      <c r="C343" s="4">
        <v>510000</v>
      </c>
      <c r="D343" s="4" t="s">
        <v>46</v>
      </c>
      <c r="E343" s="13" t="s">
        <v>1104</v>
      </c>
      <c r="F343" s="4" t="s">
        <v>1105</v>
      </c>
      <c r="G343" s="4">
        <v>10</v>
      </c>
      <c r="H343" s="4" t="s">
        <v>1106</v>
      </c>
      <c r="I343" s="5">
        <v>44713</v>
      </c>
      <c r="J343" s="5">
        <v>45052</v>
      </c>
      <c r="K343" s="4" t="s">
        <v>50</v>
      </c>
      <c r="L343" s="4" t="s">
        <v>51</v>
      </c>
      <c r="M343" s="7">
        <v>5555</v>
      </c>
      <c r="N343" s="16">
        <v>7.5000900090009006</v>
      </c>
      <c r="O343" s="6">
        <v>416.63</v>
      </c>
      <c r="P343" s="4" t="s">
        <v>95</v>
      </c>
      <c r="Q343" s="1">
        <v>388562</v>
      </c>
      <c r="R343" s="4" t="s">
        <v>1033</v>
      </c>
      <c r="S343" s="4"/>
      <c r="T343" s="4" t="s">
        <v>666</v>
      </c>
      <c r="U343" s="4" t="s">
        <v>667</v>
      </c>
      <c r="V343" s="4" t="s">
        <v>55</v>
      </c>
      <c r="W343" s="4">
        <v>3081</v>
      </c>
      <c r="X343" s="4" t="s">
        <v>42</v>
      </c>
      <c r="Y343" s="4"/>
      <c r="Z343" s="4"/>
      <c r="AA343" s="4"/>
      <c r="AB343" s="4"/>
      <c r="AC343" s="4" t="s">
        <v>44</v>
      </c>
      <c r="AD343" s="4" t="s">
        <v>45</v>
      </c>
    </row>
    <row r="344" spans="1:30">
      <c r="A344" s="4" t="s">
        <v>30</v>
      </c>
      <c r="B344" s="4"/>
      <c r="C344" s="4">
        <v>414890</v>
      </c>
      <c r="D344" s="4" t="s">
        <v>317</v>
      </c>
      <c r="E344" s="13" t="s">
        <v>1107</v>
      </c>
      <c r="F344" s="4" t="s">
        <v>1108</v>
      </c>
      <c r="G344" s="4">
        <v>0</v>
      </c>
      <c r="H344" s="4" t="s">
        <v>1109</v>
      </c>
      <c r="I344" s="5">
        <v>45084</v>
      </c>
      <c r="J344" s="5">
        <v>45449</v>
      </c>
      <c r="K344" s="4" t="s">
        <v>1110</v>
      </c>
      <c r="L344" s="4" t="s">
        <v>1111</v>
      </c>
      <c r="M344" s="7">
        <v>814</v>
      </c>
      <c r="N344" s="16">
        <v>2.5798525798525795</v>
      </c>
      <c r="O344" s="6">
        <v>21</v>
      </c>
      <c r="P344" s="4" t="s">
        <v>151</v>
      </c>
      <c r="Q344" s="1">
        <v>437336</v>
      </c>
      <c r="R344" s="4" t="s">
        <v>38</v>
      </c>
      <c r="S344" s="4"/>
      <c r="T344" s="4" t="s">
        <v>321</v>
      </c>
      <c r="U344" s="4" t="s">
        <v>1112</v>
      </c>
      <c r="V344" s="4" t="s">
        <v>323</v>
      </c>
      <c r="W344" s="4">
        <v>3071</v>
      </c>
      <c r="X344" s="4" t="s">
        <v>42</v>
      </c>
      <c r="Y344" s="4"/>
      <c r="Z344" s="4"/>
      <c r="AA344" s="4"/>
      <c r="AB344" s="4"/>
      <c r="AC344" s="4" t="s">
        <v>44</v>
      </c>
      <c r="AD344" s="4" t="s">
        <v>45</v>
      </c>
    </row>
    <row r="345" spans="1:30">
      <c r="A345" s="4" t="s">
        <v>30</v>
      </c>
      <c r="B345" s="4"/>
      <c r="C345" s="4">
        <v>510000</v>
      </c>
      <c r="D345" s="4" t="s">
        <v>46</v>
      </c>
      <c r="E345" s="13" t="s">
        <v>1113</v>
      </c>
      <c r="F345" s="4" t="s">
        <v>1114</v>
      </c>
      <c r="G345" s="4">
        <v>0</v>
      </c>
      <c r="H345" s="4" t="s">
        <v>180</v>
      </c>
      <c r="I345" s="5">
        <v>45090</v>
      </c>
      <c r="J345" s="5">
        <v>45454</v>
      </c>
      <c r="K345" s="4" t="s">
        <v>192</v>
      </c>
      <c r="L345" s="4" t="s">
        <v>193</v>
      </c>
      <c r="M345" s="7">
        <v>1248</v>
      </c>
      <c r="N345" s="16">
        <v>12.5</v>
      </c>
      <c r="O345" s="6">
        <v>156</v>
      </c>
      <c r="P345" s="4" t="s">
        <v>37</v>
      </c>
      <c r="Q345" s="1">
        <v>441897</v>
      </c>
      <c r="R345" s="4" t="s">
        <v>38</v>
      </c>
      <c r="S345" s="4"/>
      <c r="T345" s="4" t="s">
        <v>39</v>
      </c>
      <c r="U345" s="4" t="s">
        <v>183</v>
      </c>
      <c r="V345" s="4" t="s">
        <v>55</v>
      </c>
      <c r="W345" s="4">
        <v>3081</v>
      </c>
      <c r="X345" s="4" t="s">
        <v>42</v>
      </c>
      <c r="Y345" s="4"/>
      <c r="Z345" s="4"/>
      <c r="AA345" s="4"/>
      <c r="AB345" s="4" t="s">
        <v>43</v>
      </c>
      <c r="AC345" s="4" t="s">
        <v>44</v>
      </c>
      <c r="AD345" s="4" t="s">
        <v>45</v>
      </c>
    </row>
    <row r="346" spans="1:30">
      <c r="A346" s="4" t="s">
        <v>30</v>
      </c>
      <c r="B346" s="4"/>
      <c r="C346" s="4">
        <v>272200</v>
      </c>
      <c r="D346" s="4" t="s">
        <v>208</v>
      </c>
      <c r="E346" s="13" t="s">
        <v>1115</v>
      </c>
      <c r="F346" s="4" t="s">
        <v>1116</v>
      </c>
      <c r="G346" s="4">
        <v>0</v>
      </c>
      <c r="H346" s="4" t="s">
        <v>1117</v>
      </c>
      <c r="I346" s="5">
        <v>45107</v>
      </c>
      <c r="J346" s="5">
        <v>45472</v>
      </c>
      <c r="K346" s="4" t="s">
        <v>1110</v>
      </c>
      <c r="L346" s="4" t="s">
        <v>1111</v>
      </c>
      <c r="M346" s="7">
        <v>814</v>
      </c>
      <c r="N346" s="16">
        <v>7.8624078624078617</v>
      </c>
      <c r="O346" s="6">
        <v>64</v>
      </c>
      <c r="P346" s="4" t="s">
        <v>312</v>
      </c>
      <c r="Q346" s="1">
        <v>441647</v>
      </c>
      <c r="R346" s="4" t="s">
        <v>38</v>
      </c>
      <c r="S346" s="4"/>
      <c r="T346" s="4" t="s">
        <v>141</v>
      </c>
      <c r="U346" s="4" t="s">
        <v>142</v>
      </c>
      <c r="V346" s="4" t="s">
        <v>212</v>
      </c>
      <c r="W346" s="4">
        <v>3079</v>
      </c>
      <c r="X346" s="4" t="s">
        <v>42</v>
      </c>
      <c r="Y346" s="4"/>
      <c r="Z346" s="4"/>
      <c r="AA346" s="4"/>
      <c r="AB346" s="4" t="s">
        <v>43</v>
      </c>
      <c r="AC346" s="4" t="s">
        <v>44</v>
      </c>
      <c r="AD346" s="4" t="s">
        <v>45</v>
      </c>
    </row>
    <row r="347" spans="1:30">
      <c r="A347" s="4" t="s">
        <v>30</v>
      </c>
      <c r="B347" s="4"/>
      <c r="C347" s="4">
        <v>540000</v>
      </c>
      <c r="D347" s="4" t="s">
        <v>56</v>
      </c>
      <c r="E347" s="13" t="s">
        <v>1118</v>
      </c>
      <c r="F347" s="4" t="s">
        <v>841</v>
      </c>
      <c r="G347" s="4">
        <v>4</v>
      </c>
      <c r="H347" s="4" t="s">
        <v>467</v>
      </c>
      <c r="I347" s="5">
        <v>44914</v>
      </c>
      <c r="J347" s="5">
        <v>45278</v>
      </c>
      <c r="K347" s="4" t="s">
        <v>767</v>
      </c>
      <c r="L347" s="4" t="s">
        <v>768</v>
      </c>
      <c r="M347" s="7">
        <v>-15901</v>
      </c>
      <c r="N347" s="16">
        <v>7.5026727878749773</v>
      </c>
      <c r="O347" s="6">
        <v>-1193</v>
      </c>
      <c r="P347" s="4" t="s">
        <v>60</v>
      </c>
      <c r="Q347" s="1">
        <v>414980</v>
      </c>
      <c r="R347" s="4" t="s">
        <v>52</v>
      </c>
      <c r="S347" s="4"/>
      <c r="T347" s="4" t="s">
        <v>80</v>
      </c>
      <c r="U347" s="4" t="s">
        <v>468</v>
      </c>
      <c r="V347" s="4" t="s">
        <v>64</v>
      </c>
      <c r="W347" s="4">
        <v>3123</v>
      </c>
      <c r="X347" s="4" t="s">
        <v>42</v>
      </c>
      <c r="Y347" s="4"/>
      <c r="Z347" s="4"/>
      <c r="AA347" s="4"/>
      <c r="AB347" s="4"/>
      <c r="AC347" s="4" t="s">
        <v>52</v>
      </c>
      <c r="AD347" s="4" t="s">
        <v>45</v>
      </c>
    </row>
    <row r="348" spans="1:30">
      <c r="A348" s="4" t="s">
        <v>30</v>
      </c>
      <c r="B348" s="4"/>
      <c r="C348" s="4">
        <v>215600</v>
      </c>
      <c r="D348" s="4" t="s">
        <v>129</v>
      </c>
      <c r="E348" s="13" t="s">
        <v>1119</v>
      </c>
      <c r="F348" s="4" t="s">
        <v>1120</v>
      </c>
      <c r="G348" s="4">
        <v>1</v>
      </c>
      <c r="H348" s="4" t="s">
        <v>965</v>
      </c>
      <c r="I348" s="5">
        <v>45017</v>
      </c>
      <c r="J348" s="5">
        <v>45382</v>
      </c>
      <c r="K348" s="4" t="s">
        <v>326</v>
      </c>
      <c r="L348" s="4" t="s">
        <v>327</v>
      </c>
      <c r="M348" s="7">
        <v>62631</v>
      </c>
      <c r="N348" s="16">
        <v>11.500694544235284</v>
      </c>
      <c r="O348" s="6">
        <v>7203</v>
      </c>
      <c r="P348" s="4" t="s">
        <v>37</v>
      </c>
      <c r="Q348" s="1">
        <v>429071</v>
      </c>
      <c r="R348" s="4" t="s">
        <v>52</v>
      </c>
      <c r="S348" s="4"/>
      <c r="T348" s="4" t="s">
        <v>227</v>
      </c>
      <c r="U348" s="4" t="s">
        <v>228</v>
      </c>
      <c r="V348" s="4" t="s">
        <v>136</v>
      </c>
      <c r="W348" s="4">
        <v>3076</v>
      </c>
      <c r="X348" s="4" t="s">
        <v>42</v>
      </c>
      <c r="Y348" s="4"/>
      <c r="Z348" s="4"/>
      <c r="AA348" s="4"/>
      <c r="AB348" s="4"/>
      <c r="AC348" s="4" t="s">
        <v>52</v>
      </c>
      <c r="AD348" s="4" t="s">
        <v>45</v>
      </c>
    </row>
    <row r="349" spans="1:30">
      <c r="A349" s="4" t="s">
        <v>30</v>
      </c>
      <c r="B349" s="4"/>
      <c r="C349" s="4">
        <v>510000</v>
      </c>
      <c r="D349" s="4" t="s">
        <v>46</v>
      </c>
      <c r="E349" s="13" t="s">
        <v>1121</v>
      </c>
      <c r="F349" s="4" t="s">
        <v>1122</v>
      </c>
      <c r="G349" s="4">
        <v>3</v>
      </c>
      <c r="H349" s="4" t="s">
        <v>942</v>
      </c>
      <c r="I349" s="5">
        <v>44964</v>
      </c>
      <c r="J349" s="5">
        <v>45291</v>
      </c>
      <c r="K349" s="4" t="s">
        <v>50</v>
      </c>
      <c r="L349" s="4" t="s">
        <v>51</v>
      </c>
      <c r="M349" s="7">
        <v>-22776</v>
      </c>
      <c r="N349" s="16">
        <v>5</v>
      </c>
      <c r="O349" s="6">
        <v>-1138.8</v>
      </c>
      <c r="P349" s="4" t="s">
        <v>37</v>
      </c>
      <c r="Q349" s="1">
        <v>430605</v>
      </c>
      <c r="R349" s="4" t="s">
        <v>52</v>
      </c>
      <c r="S349" s="4"/>
      <c r="T349" s="4" t="s">
        <v>53</v>
      </c>
      <c r="U349" s="4" t="s">
        <v>54</v>
      </c>
      <c r="V349" s="4" t="s">
        <v>55</v>
      </c>
      <c r="W349" s="4">
        <v>3081</v>
      </c>
      <c r="X349" s="4" t="s">
        <v>42</v>
      </c>
      <c r="Y349" s="4"/>
      <c r="Z349" s="4"/>
      <c r="AA349" s="4"/>
      <c r="AB349" s="4"/>
      <c r="AC349" s="4" t="s">
        <v>52</v>
      </c>
      <c r="AD349" s="4" t="s">
        <v>45</v>
      </c>
    </row>
    <row r="350" spans="1:30">
      <c r="A350" s="4" t="s">
        <v>30</v>
      </c>
      <c r="B350" s="4"/>
      <c r="C350" s="4">
        <v>510000</v>
      </c>
      <c r="D350" s="4" t="s">
        <v>46</v>
      </c>
      <c r="E350" s="13" t="s">
        <v>1123</v>
      </c>
      <c r="F350" s="4" t="s">
        <v>583</v>
      </c>
      <c r="G350" s="4">
        <v>3</v>
      </c>
      <c r="H350" s="4" t="s">
        <v>584</v>
      </c>
      <c r="I350" s="5">
        <v>44964</v>
      </c>
      <c r="J350" s="5">
        <v>45291</v>
      </c>
      <c r="K350" s="4" t="s">
        <v>50</v>
      </c>
      <c r="L350" s="4" t="s">
        <v>51</v>
      </c>
      <c r="M350" s="7">
        <v>4760</v>
      </c>
      <c r="N350" s="16">
        <v>5</v>
      </c>
      <c r="O350" s="6">
        <v>238</v>
      </c>
      <c r="P350" s="4" t="s">
        <v>37</v>
      </c>
      <c r="Q350" s="1">
        <v>430681</v>
      </c>
      <c r="R350" s="4" t="s">
        <v>52</v>
      </c>
      <c r="S350" s="4"/>
      <c r="T350" s="4" t="s">
        <v>53</v>
      </c>
      <c r="U350" s="4" t="s">
        <v>54</v>
      </c>
      <c r="V350" s="4" t="s">
        <v>55</v>
      </c>
      <c r="W350" s="4">
        <v>3081</v>
      </c>
      <c r="X350" s="4" t="s">
        <v>42</v>
      </c>
      <c r="Y350" s="4"/>
      <c r="Z350" s="4"/>
      <c r="AA350" s="4"/>
      <c r="AB350" s="4"/>
      <c r="AC350" s="4" t="s">
        <v>52</v>
      </c>
      <c r="AD350" s="4" t="s">
        <v>45</v>
      </c>
    </row>
    <row r="351" spans="1:30">
      <c r="A351" s="4" t="s">
        <v>30</v>
      </c>
      <c r="B351" s="4"/>
      <c r="C351" s="4">
        <v>510000</v>
      </c>
      <c r="D351" s="4" t="s">
        <v>46</v>
      </c>
      <c r="E351" s="13" t="s">
        <v>1124</v>
      </c>
      <c r="F351" s="4" t="s">
        <v>610</v>
      </c>
      <c r="G351" s="4">
        <v>3</v>
      </c>
      <c r="H351" s="4" t="s">
        <v>611</v>
      </c>
      <c r="I351" s="5">
        <v>44964</v>
      </c>
      <c r="J351" s="5">
        <v>45291</v>
      </c>
      <c r="K351" s="4" t="s">
        <v>50</v>
      </c>
      <c r="L351" s="4" t="s">
        <v>51</v>
      </c>
      <c r="M351" s="7">
        <v>-20072</v>
      </c>
      <c r="N351" s="16">
        <v>5</v>
      </c>
      <c r="O351" s="6">
        <v>-1003.6</v>
      </c>
      <c r="P351" s="4" t="s">
        <v>37</v>
      </c>
      <c r="Q351" s="1">
        <v>430615</v>
      </c>
      <c r="R351" s="4" t="s">
        <v>52</v>
      </c>
      <c r="S351" s="4"/>
      <c r="T351" s="4" t="s">
        <v>53</v>
      </c>
      <c r="U351" s="4" t="s">
        <v>54</v>
      </c>
      <c r="V351" s="4" t="s">
        <v>55</v>
      </c>
      <c r="W351" s="4">
        <v>3081</v>
      </c>
      <c r="X351" s="4" t="s">
        <v>42</v>
      </c>
      <c r="Y351" s="4"/>
      <c r="Z351" s="4"/>
      <c r="AA351" s="4"/>
      <c r="AB351" s="4"/>
      <c r="AC351" s="4" t="s">
        <v>52</v>
      </c>
      <c r="AD351" s="4" t="s">
        <v>45</v>
      </c>
    </row>
    <row r="352" spans="1:30">
      <c r="A352" s="4" t="s">
        <v>30</v>
      </c>
      <c r="B352" s="4"/>
      <c r="C352" s="4">
        <v>212203</v>
      </c>
      <c r="D352" s="4" t="s">
        <v>99</v>
      </c>
      <c r="E352" s="13" t="s">
        <v>1125</v>
      </c>
      <c r="F352" s="4" t="s">
        <v>1126</v>
      </c>
      <c r="G352" s="4">
        <v>0</v>
      </c>
      <c r="H352" s="4" t="s">
        <v>1127</v>
      </c>
      <c r="I352" s="5">
        <v>45102</v>
      </c>
      <c r="J352" s="5">
        <v>45467</v>
      </c>
      <c r="K352" s="4" t="s">
        <v>199</v>
      </c>
      <c r="L352" s="4" t="s">
        <v>200</v>
      </c>
      <c r="M352" s="7">
        <v>8522</v>
      </c>
      <c r="N352" s="16">
        <v>13.224595165454119</v>
      </c>
      <c r="O352" s="6">
        <v>1127</v>
      </c>
      <c r="P352" s="4" t="s">
        <v>37</v>
      </c>
      <c r="Q352" s="1">
        <v>443839</v>
      </c>
      <c r="R352" s="4" t="s">
        <v>38</v>
      </c>
      <c r="S352" s="4"/>
      <c r="T352" s="4" t="s">
        <v>105</v>
      </c>
      <c r="U352" s="4" t="s">
        <v>106</v>
      </c>
      <c r="V352" s="4" t="s">
        <v>107</v>
      </c>
      <c r="W352" s="4">
        <v>3075</v>
      </c>
      <c r="X352" s="4" t="s">
        <v>42</v>
      </c>
      <c r="Y352" s="4"/>
      <c r="Z352" s="4"/>
      <c r="AA352" s="4" t="s">
        <v>201</v>
      </c>
      <c r="AB352" s="4"/>
      <c r="AC352" s="4" t="s">
        <v>185</v>
      </c>
      <c r="AD352" s="4" t="s">
        <v>45</v>
      </c>
    </row>
    <row r="353" spans="1:30">
      <c r="A353" s="4" t="s">
        <v>30</v>
      </c>
      <c r="B353" s="4"/>
      <c r="C353" s="4">
        <v>411700</v>
      </c>
      <c r="D353" s="4" t="s">
        <v>234</v>
      </c>
      <c r="E353" s="13" t="s">
        <v>1128</v>
      </c>
      <c r="F353" s="4" t="s">
        <v>236</v>
      </c>
      <c r="G353" s="4">
        <v>9</v>
      </c>
      <c r="H353" s="4" t="s">
        <v>237</v>
      </c>
      <c r="I353" s="5">
        <v>44835</v>
      </c>
      <c r="J353" s="5">
        <v>45199</v>
      </c>
      <c r="K353" s="4" t="s">
        <v>50</v>
      </c>
      <c r="L353" s="4" t="s">
        <v>51</v>
      </c>
      <c r="M353" s="7">
        <v>-25780</v>
      </c>
      <c r="N353" s="16">
        <v>1</v>
      </c>
      <c r="O353" s="6">
        <v>-257.8</v>
      </c>
      <c r="P353" s="4" t="s">
        <v>151</v>
      </c>
      <c r="Q353" s="1">
        <v>408012</v>
      </c>
      <c r="R353" s="4" t="s">
        <v>459</v>
      </c>
      <c r="S353" s="4"/>
      <c r="T353" s="4" t="s">
        <v>239</v>
      </c>
      <c r="U353" s="4" t="s">
        <v>240</v>
      </c>
      <c r="V353" s="4" t="s">
        <v>241</v>
      </c>
      <c r="W353" s="4">
        <v>3069</v>
      </c>
      <c r="X353" s="4" t="s">
        <v>42</v>
      </c>
      <c r="Y353" s="4"/>
      <c r="Z353" s="4"/>
      <c r="AA353" s="4"/>
      <c r="AB353" s="4"/>
      <c r="AC353" s="4" t="s">
        <v>242</v>
      </c>
      <c r="AD353" s="4" t="s">
        <v>45</v>
      </c>
    </row>
    <row r="354" spans="1:30">
      <c r="A354" s="4" t="s">
        <v>30</v>
      </c>
      <c r="B354" s="4"/>
      <c r="C354" s="4">
        <v>212203</v>
      </c>
      <c r="D354" s="4" t="s">
        <v>99</v>
      </c>
      <c r="E354" s="13" t="s">
        <v>1129</v>
      </c>
      <c r="F354" s="4" t="s">
        <v>1130</v>
      </c>
      <c r="G354" s="4">
        <v>0</v>
      </c>
      <c r="H354" s="4" t="s">
        <v>541</v>
      </c>
      <c r="I354" s="5">
        <v>45102</v>
      </c>
      <c r="J354" s="5">
        <v>45467</v>
      </c>
      <c r="K354" s="4" t="s">
        <v>199</v>
      </c>
      <c r="L354" s="4" t="s">
        <v>200</v>
      </c>
      <c r="M354" s="7">
        <v>8522</v>
      </c>
      <c r="N354" s="16">
        <v>13.224595165454119</v>
      </c>
      <c r="O354" s="6">
        <v>1127</v>
      </c>
      <c r="P354" s="4" t="s">
        <v>37</v>
      </c>
      <c r="Q354" s="1">
        <v>443838</v>
      </c>
      <c r="R354" s="4" t="s">
        <v>38</v>
      </c>
      <c r="S354" s="4"/>
      <c r="T354" s="4" t="s">
        <v>105</v>
      </c>
      <c r="U354" s="4" t="s">
        <v>106</v>
      </c>
      <c r="V354" s="4" t="s">
        <v>107</v>
      </c>
      <c r="W354" s="4">
        <v>3075</v>
      </c>
      <c r="X354" s="4" t="s">
        <v>42</v>
      </c>
      <c r="Y354" s="4"/>
      <c r="Z354" s="4"/>
      <c r="AA354" s="4" t="s">
        <v>201</v>
      </c>
      <c r="AB354" s="4"/>
      <c r="AC354" s="4" t="s">
        <v>185</v>
      </c>
      <c r="AD354" s="4" t="s">
        <v>45</v>
      </c>
    </row>
    <row r="355" spans="1:30">
      <c r="A355" s="4" t="s">
        <v>30</v>
      </c>
      <c r="B355" s="4"/>
      <c r="C355" s="4">
        <v>510000</v>
      </c>
      <c r="D355" s="4" t="s">
        <v>46</v>
      </c>
      <c r="E355" s="13" t="s">
        <v>1131</v>
      </c>
      <c r="F355" s="4" t="s">
        <v>1132</v>
      </c>
      <c r="G355" s="4">
        <v>0</v>
      </c>
      <c r="H355" s="4" t="s">
        <v>84</v>
      </c>
      <c r="I355" s="5">
        <v>45104</v>
      </c>
      <c r="J355" s="5">
        <v>45443</v>
      </c>
      <c r="K355" s="4" t="s">
        <v>225</v>
      </c>
      <c r="L355" s="4" t="s">
        <v>226</v>
      </c>
      <c r="M355" s="7">
        <v>23000</v>
      </c>
      <c r="N355" s="16">
        <v>12.5</v>
      </c>
      <c r="O355" s="6">
        <v>2875</v>
      </c>
      <c r="P355" s="4" t="s">
        <v>37</v>
      </c>
      <c r="Q355" s="1">
        <v>0</v>
      </c>
      <c r="R355" s="4">
        <v>0</v>
      </c>
      <c r="S355" s="4"/>
      <c r="T355" s="4" t="s">
        <v>87</v>
      </c>
      <c r="U355" s="4" t="s">
        <v>88</v>
      </c>
      <c r="V355" s="4" t="s">
        <v>55</v>
      </c>
      <c r="W355" s="4">
        <v>3081</v>
      </c>
      <c r="X355" s="4" t="s">
        <v>42</v>
      </c>
      <c r="Y355" s="4"/>
      <c r="Z355" s="4" t="s">
        <v>117</v>
      </c>
      <c r="AA355" s="4"/>
      <c r="AB355" s="4"/>
      <c r="AC355" s="4" t="s">
        <v>143</v>
      </c>
      <c r="AD355" s="4" t="s">
        <v>45</v>
      </c>
    </row>
    <row r="356" spans="1:30">
      <c r="A356" s="4" t="s">
        <v>30</v>
      </c>
      <c r="B356" s="4"/>
      <c r="C356" s="4">
        <v>212203</v>
      </c>
      <c r="D356" s="4" t="s">
        <v>99</v>
      </c>
      <c r="E356" s="13" t="s">
        <v>1133</v>
      </c>
      <c r="F356" s="4" t="s">
        <v>1134</v>
      </c>
      <c r="G356" s="4">
        <v>0</v>
      </c>
      <c r="H356" s="4" t="s">
        <v>1135</v>
      </c>
      <c r="I356" s="5">
        <v>45093</v>
      </c>
      <c r="J356" s="5">
        <v>45458</v>
      </c>
      <c r="K356" s="4" t="s">
        <v>103</v>
      </c>
      <c r="L356" s="4" t="s">
        <v>104</v>
      </c>
      <c r="M356" s="7">
        <v>8935</v>
      </c>
      <c r="N356" s="16">
        <v>14.997202014549526</v>
      </c>
      <c r="O356" s="6">
        <v>1340</v>
      </c>
      <c r="P356" s="4" t="s">
        <v>37</v>
      </c>
      <c r="Q356" s="1">
        <v>443962</v>
      </c>
      <c r="R356" s="4" t="s">
        <v>38</v>
      </c>
      <c r="S356" s="4"/>
      <c r="T356" s="4" t="s">
        <v>105</v>
      </c>
      <c r="U356" s="4" t="s">
        <v>106</v>
      </c>
      <c r="V356" s="4" t="s">
        <v>107</v>
      </c>
      <c r="W356" s="4">
        <v>3075</v>
      </c>
      <c r="X356" s="4" t="s">
        <v>42</v>
      </c>
      <c r="Y356" s="4"/>
      <c r="Z356" s="4"/>
      <c r="AA356" s="4"/>
      <c r="AB356" s="4"/>
      <c r="AC356" s="4" t="s">
        <v>44</v>
      </c>
      <c r="AD356" s="4" t="s">
        <v>45</v>
      </c>
    </row>
    <row r="357" spans="1:30">
      <c r="A357" s="4" t="s">
        <v>30</v>
      </c>
      <c r="B357" s="4"/>
      <c r="C357" s="4">
        <v>510000</v>
      </c>
      <c r="D357" s="4" t="s">
        <v>46</v>
      </c>
      <c r="E357" s="13" t="s">
        <v>1136</v>
      </c>
      <c r="F357" s="4" t="s">
        <v>1137</v>
      </c>
      <c r="G357" s="4">
        <v>0</v>
      </c>
      <c r="H357" s="4" t="s">
        <v>379</v>
      </c>
      <c r="I357" s="5">
        <v>45086</v>
      </c>
      <c r="J357" s="5">
        <v>45443</v>
      </c>
      <c r="K357" s="4" t="s">
        <v>192</v>
      </c>
      <c r="L357" s="4" t="s">
        <v>193</v>
      </c>
      <c r="M357" s="7">
        <v>500</v>
      </c>
      <c r="N357" s="16">
        <v>12.6</v>
      </c>
      <c r="O357" s="6">
        <v>63</v>
      </c>
      <c r="P357" s="4" t="s">
        <v>37</v>
      </c>
      <c r="Q357" s="1" t="s">
        <v>52</v>
      </c>
      <c r="R357" s="4" t="s">
        <v>52</v>
      </c>
      <c r="S357" s="4"/>
      <c r="T357" s="4" t="s">
        <v>87</v>
      </c>
      <c r="U357" s="4" t="s">
        <v>88</v>
      </c>
      <c r="V357" s="4" t="s">
        <v>55</v>
      </c>
      <c r="W357" s="4">
        <v>3081</v>
      </c>
      <c r="X357" s="4" t="s">
        <v>42</v>
      </c>
      <c r="Y357" s="4"/>
      <c r="Z357" s="4" t="s">
        <v>117</v>
      </c>
      <c r="AA357" s="4"/>
      <c r="AB357" s="4"/>
      <c r="AC357" s="4" t="s">
        <v>52</v>
      </c>
      <c r="AD357" s="4" t="s">
        <v>45</v>
      </c>
    </row>
    <row r="358" spans="1:30">
      <c r="A358" s="4" t="s">
        <v>30</v>
      </c>
      <c r="B358" s="4"/>
      <c r="C358" s="4">
        <v>212203</v>
      </c>
      <c r="D358" s="4" t="s">
        <v>99</v>
      </c>
      <c r="E358" s="13" t="s">
        <v>1138</v>
      </c>
      <c r="F358" s="4" t="s">
        <v>1139</v>
      </c>
      <c r="G358" s="4">
        <v>0</v>
      </c>
      <c r="H358" s="4" t="s">
        <v>1140</v>
      </c>
      <c r="I358" s="5">
        <v>45102</v>
      </c>
      <c r="J358" s="5">
        <v>45467</v>
      </c>
      <c r="K358" s="4" t="s">
        <v>199</v>
      </c>
      <c r="L358" s="4" t="s">
        <v>200</v>
      </c>
      <c r="M358" s="7">
        <v>8522</v>
      </c>
      <c r="N358" s="16">
        <v>13.224595165454119</v>
      </c>
      <c r="O358" s="6">
        <v>1127</v>
      </c>
      <c r="P358" s="4" t="s">
        <v>37</v>
      </c>
      <c r="Q358" s="1">
        <v>443840</v>
      </c>
      <c r="R358" s="4" t="s">
        <v>38</v>
      </c>
      <c r="S358" s="4"/>
      <c r="T358" s="4" t="s">
        <v>105</v>
      </c>
      <c r="U358" s="4" t="s">
        <v>106</v>
      </c>
      <c r="V358" s="4" t="s">
        <v>107</v>
      </c>
      <c r="W358" s="4">
        <v>3075</v>
      </c>
      <c r="X358" s="4" t="s">
        <v>42</v>
      </c>
      <c r="Y358" s="4"/>
      <c r="Z358" s="4"/>
      <c r="AA358" s="4" t="s">
        <v>201</v>
      </c>
      <c r="AB358" s="4"/>
      <c r="AC358" s="4" t="s">
        <v>185</v>
      </c>
      <c r="AD358" s="4" t="s">
        <v>45</v>
      </c>
    </row>
    <row r="359" spans="1:30">
      <c r="A359" s="4" t="s">
        <v>30</v>
      </c>
      <c r="B359" s="4"/>
      <c r="C359" s="4">
        <v>510000</v>
      </c>
      <c r="D359" s="4" t="s">
        <v>46</v>
      </c>
      <c r="E359" s="13" t="s">
        <v>1141</v>
      </c>
      <c r="F359" s="4" t="s">
        <v>1142</v>
      </c>
      <c r="G359" s="4">
        <v>2</v>
      </c>
      <c r="H359" s="4" t="s">
        <v>942</v>
      </c>
      <c r="I359" s="5">
        <v>44964</v>
      </c>
      <c r="J359" s="5">
        <v>45291</v>
      </c>
      <c r="K359" s="4" t="s">
        <v>384</v>
      </c>
      <c r="L359" s="4" t="s">
        <v>385</v>
      </c>
      <c r="M359" s="7">
        <v>-1894</v>
      </c>
      <c r="N359" s="16">
        <v>7.4973600844772958</v>
      </c>
      <c r="O359" s="6">
        <v>-142</v>
      </c>
      <c r="P359" s="4" t="s">
        <v>37</v>
      </c>
      <c r="Q359" s="1">
        <v>429712</v>
      </c>
      <c r="R359" s="4" t="s">
        <v>52</v>
      </c>
      <c r="S359" s="4"/>
      <c r="T359" s="4" t="s">
        <v>53</v>
      </c>
      <c r="U359" s="4" t="s">
        <v>54</v>
      </c>
      <c r="V359" s="4" t="s">
        <v>55</v>
      </c>
      <c r="W359" s="4">
        <v>3081</v>
      </c>
      <c r="X359" s="4" t="s">
        <v>42</v>
      </c>
      <c r="Y359" s="4"/>
      <c r="Z359" s="4"/>
      <c r="AA359" s="4"/>
      <c r="AB359" s="4"/>
      <c r="AC359" s="4" t="s">
        <v>52</v>
      </c>
      <c r="AD359" s="4" t="s">
        <v>45</v>
      </c>
    </row>
    <row r="360" spans="1:30">
      <c r="A360" s="4" t="s">
        <v>30</v>
      </c>
      <c r="B360" s="4"/>
      <c r="C360" s="4">
        <v>510000</v>
      </c>
      <c r="D360" s="4" t="s">
        <v>46</v>
      </c>
      <c r="E360" s="13" t="s">
        <v>1143</v>
      </c>
      <c r="F360" s="4" t="s">
        <v>1144</v>
      </c>
      <c r="G360" s="4">
        <v>0</v>
      </c>
      <c r="H360" s="4" t="s">
        <v>211</v>
      </c>
      <c r="I360" s="5">
        <v>45078</v>
      </c>
      <c r="J360" s="5">
        <v>45443</v>
      </c>
      <c r="K360" s="4" t="s">
        <v>923</v>
      </c>
      <c r="L360" s="4" t="s">
        <v>924</v>
      </c>
      <c r="M360" s="7">
        <v>23755190</v>
      </c>
      <c r="N360" s="16">
        <v>10</v>
      </c>
      <c r="O360" s="6">
        <v>2375519</v>
      </c>
      <c r="P360" s="4" t="s">
        <v>125</v>
      </c>
      <c r="Q360" s="1">
        <v>441858</v>
      </c>
      <c r="R360" s="4" t="s">
        <v>38</v>
      </c>
      <c r="S360" s="4"/>
      <c r="T360" s="4" t="s">
        <v>87</v>
      </c>
      <c r="U360" s="4" t="s">
        <v>88</v>
      </c>
      <c r="V360" s="4" t="s">
        <v>55</v>
      </c>
      <c r="W360" s="4">
        <v>3081</v>
      </c>
      <c r="X360" s="4" t="s">
        <v>42</v>
      </c>
      <c r="Y360" s="4"/>
      <c r="Z360" s="4"/>
      <c r="AA360" s="4"/>
      <c r="AB360" s="4" t="s">
        <v>43</v>
      </c>
      <c r="AC360" s="4" t="s">
        <v>44</v>
      </c>
      <c r="AD360" s="4" t="s">
        <v>45</v>
      </c>
    </row>
    <row r="361" spans="1:30">
      <c r="A361" s="4" t="s">
        <v>30</v>
      </c>
      <c r="B361" s="4"/>
      <c r="C361" s="4">
        <v>510000</v>
      </c>
      <c r="D361" s="4" t="s">
        <v>46</v>
      </c>
      <c r="E361" s="13" t="s">
        <v>1145</v>
      </c>
      <c r="F361" s="4" t="s">
        <v>1146</v>
      </c>
      <c r="G361" s="4">
        <v>0</v>
      </c>
      <c r="H361" s="4" t="s">
        <v>84</v>
      </c>
      <c r="I361" s="5">
        <v>45078</v>
      </c>
      <c r="J361" s="5">
        <v>45443</v>
      </c>
      <c r="K361" s="4" t="s">
        <v>1147</v>
      </c>
      <c r="L361" s="4" t="s">
        <v>1148</v>
      </c>
      <c r="M361" s="7">
        <v>3047091</v>
      </c>
      <c r="N361" s="16">
        <v>4.9999819499975553</v>
      </c>
      <c r="O361" s="6">
        <v>152354</v>
      </c>
      <c r="P361" s="4" t="s">
        <v>37</v>
      </c>
      <c r="Q361" s="2">
        <v>444359</v>
      </c>
      <c r="R361" s="2">
        <v>0</v>
      </c>
      <c r="S361" s="4"/>
      <c r="T361" s="4" t="s">
        <v>87</v>
      </c>
      <c r="U361" s="4" t="s">
        <v>88</v>
      </c>
      <c r="V361" s="4" t="s">
        <v>55</v>
      </c>
      <c r="W361" s="4">
        <v>3081</v>
      </c>
      <c r="X361" s="4" t="s">
        <v>42</v>
      </c>
      <c r="Y361" s="4"/>
      <c r="Z361" s="4" t="s">
        <v>117</v>
      </c>
      <c r="AA361" s="4"/>
      <c r="AB361" s="4"/>
      <c r="AC361" s="4" t="s">
        <v>1149</v>
      </c>
      <c r="AD361" s="4" t="s">
        <v>45</v>
      </c>
    </row>
    <row r="362" spans="1:30">
      <c r="A362" s="4" t="s">
        <v>30</v>
      </c>
      <c r="B362" s="4"/>
      <c r="C362" s="4">
        <v>222105</v>
      </c>
      <c r="D362" s="4" t="s">
        <v>68</v>
      </c>
      <c r="E362" s="13" t="s">
        <v>1150</v>
      </c>
      <c r="F362" s="4" t="s">
        <v>1151</v>
      </c>
      <c r="G362" s="4">
        <v>0</v>
      </c>
      <c r="H362" s="4" t="s">
        <v>1152</v>
      </c>
      <c r="I362" s="5">
        <v>45098</v>
      </c>
      <c r="J362" s="5">
        <v>45463</v>
      </c>
      <c r="K362" s="4" t="s">
        <v>72</v>
      </c>
      <c r="L362" s="4" t="s">
        <v>73</v>
      </c>
      <c r="M362" s="7">
        <v>42050</v>
      </c>
      <c r="N362" s="16">
        <v>7.5005945303210462</v>
      </c>
      <c r="O362" s="6">
        <v>3154</v>
      </c>
      <c r="P362" s="4" t="s">
        <v>37</v>
      </c>
      <c r="Q362" s="1">
        <v>441062</v>
      </c>
      <c r="R362" s="4" t="s">
        <v>38</v>
      </c>
      <c r="S362" s="4"/>
      <c r="T362" s="4" t="s">
        <v>74</v>
      </c>
      <c r="U362" s="4" t="s">
        <v>75</v>
      </c>
      <c r="V362" s="4" t="s">
        <v>76</v>
      </c>
      <c r="W362" s="4">
        <v>3078</v>
      </c>
      <c r="X362" s="4" t="s">
        <v>42</v>
      </c>
      <c r="Y362" s="4"/>
      <c r="Z362" s="4"/>
      <c r="AA362" s="4"/>
      <c r="AB362" s="4" t="s">
        <v>147</v>
      </c>
      <c r="AC362" s="4" t="s">
        <v>44</v>
      </c>
      <c r="AD362" s="4" t="s">
        <v>45</v>
      </c>
    </row>
    <row r="363" spans="1:30">
      <c r="A363" s="4" t="s">
        <v>30</v>
      </c>
      <c r="B363" s="4"/>
      <c r="C363" s="4">
        <v>421100</v>
      </c>
      <c r="D363" s="4" t="s">
        <v>400</v>
      </c>
      <c r="E363" s="13" t="s">
        <v>1153</v>
      </c>
      <c r="F363" s="4" t="s">
        <v>1154</v>
      </c>
      <c r="G363" s="4">
        <v>1</v>
      </c>
      <c r="H363" s="4" t="s">
        <v>1155</v>
      </c>
      <c r="I363" s="5">
        <v>45047</v>
      </c>
      <c r="J363" s="5">
        <v>45412</v>
      </c>
      <c r="K363" s="4" t="s">
        <v>50</v>
      </c>
      <c r="L363" s="4" t="s">
        <v>51</v>
      </c>
      <c r="M363" s="7">
        <v>234169</v>
      </c>
      <c r="N363" s="16">
        <v>7.5000021352100408</v>
      </c>
      <c r="O363" s="6">
        <v>17562.68</v>
      </c>
      <c r="P363" s="4" t="s">
        <v>125</v>
      </c>
      <c r="Q363" s="1">
        <v>431895</v>
      </c>
      <c r="R363" s="4" t="s">
        <v>52</v>
      </c>
      <c r="S363" s="4"/>
      <c r="T363" s="4" t="s">
        <v>1156</v>
      </c>
      <c r="U363" s="4" t="s">
        <v>1157</v>
      </c>
      <c r="V363" s="4" t="s">
        <v>406</v>
      </c>
      <c r="W363" s="4">
        <v>3065</v>
      </c>
      <c r="X363" s="4" t="s">
        <v>42</v>
      </c>
      <c r="Y363" s="4"/>
      <c r="Z363" s="4"/>
      <c r="AA363" s="4"/>
      <c r="AB363" s="4"/>
      <c r="AC363" s="4" t="s">
        <v>52</v>
      </c>
      <c r="AD363" s="4" t="s">
        <v>45</v>
      </c>
    </row>
    <row r="364" spans="1:30">
      <c r="A364" s="4" t="s">
        <v>30</v>
      </c>
      <c r="B364" s="4"/>
      <c r="C364" s="4">
        <v>510000</v>
      </c>
      <c r="D364" s="4" t="s">
        <v>46</v>
      </c>
      <c r="E364" s="13" t="s">
        <v>1158</v>
      </c>
      <c r="F364" s="4" t="s">
        <v>1159</v>
      </c>
      <c r="G364" s="4">
        <v>0</v>
      </c>
      <c r="H364" s="4" t="s">
        <v>84</v>
      </c>
      <c r="I364" s="5">
        <v>45078</v>
      </c>
      <c r="J364" s="5">
        <v>45443</v>
      </c>
      <c r="K364" s="4" t="s">
        <v>139</v>
      </c>
      <c r="L364" s="4" t="s">
        <v>140</v>
      </c>
      <c r="M364" s="7">
        <v>12650</v>
      </c>
      <c r="N364" s="16">
        <v>12.4901185770751</v>
      </c>
      <c r="O364" s="6">
        <v>1580</v>
      </c>
      <c r="P364" s="4" t="s">
        <v>37</v>
      </c>
      <c r="Q364" s="1" t="s">
        <v>52</v>
      </c>
      <c r="R364" s="4" t="s">
        <v>52</v>
      </c>
      <c r="S364" s="4"/>
      <c r="T364" s="4" t="s">
        <v>141</v>
      </c>
      <c r="U364" s="4" t="s">
        <v>142</v>
      </c>
      <c r="V364" s="4" t="s">
        <v>55</v>
      </c>
      <c r="W364" s="4">
        <v>3081</v>
      </c>
      <c r="X364" s="4" t="s">
        <v>42</v>
      </c>
      <c r="Y364" s="4"/>
      <c r="Z364" s="4" t="s">
        <v>117</v>
      </c>
      <c r="AA364" s="4"/>
      <c r="AB364" s="4"/>
      <c r="AC364" s="4" t="s">
        <v>52</v>
      </c>
      <c r="AD364" s="4" t="s">
        <v>45</v>
      </c>
    </row>
    <row r="365" spans="1:30">
      <c r="A365" s="4" t="s">
        <v>30</v>
      </c>
      <c r="B365" s="4"/>
      <c r="C365" s="4">
        <v>212203</v>
      </c>
      <c r="D365" s="4" t="s">
        <v>99</v>
      </c>
      <c r="E365" s="13" t="s">
        <v>1160</v>
      </c>
      <c r="F365" s="4" t="s">
        <v>1161</v>
      </c>
      <c r="G365" s="4">
        <v>0</v>
      </c>
      <c r="H365" s="4" t="s">
        <v>1135</v>
      </c>
      <c r="I365" s="5">
        <v>45093</v>
      </c>
      <c r="J365" s="5">
        <v>45458</v>
      </c>
      <c r="K365" s="4" t="s">
        <v>103</v>
      </c>
      <c r="L365" s="4" t="s">
        <v>104</v>
      </c>
      <c r="M365" s="7">
        <v>8935</v>
      </c>
      <c r="N365" s="16">
        <v>14.997202014549526</v>
      </c>
      <c r="O365" s="6">
        <v>1340</v>
      </c>
      <c r="P365" s="4" t="s">
        <v>37</v>
      </c>
      <c r="Q365" s="1">
        <v>443963</v>
      </c>
      <c r="R365" s="4" t="s">
        <v>38</v>
      </c>
      <c r="S365" s="4"/>
      <c r="T365" s="4" t="s">
        <v>105</v>
      </c>
      <c r="U365" s="4" t="s">
        <v>106</v>
      </c>
      <c r="V365" s="4" t="s">
        <v>107</v>
      </c>
      <c r="W365" s="4">
        <v>3075</v>
      </c>
      <c r="X365" s="4" t="s">
        <v>42</v>
      </c>
      <c r="Y365" s="4"/>
      <c r="Z365" s="4"/>
      <c r="AA365" s="4"/>
      <c r="AB365" s="4"/>
      <c r="AC365" s="4" t="s">
        <v>44</v>
      </c>
      <c r="AD365" s="4" t="s">
        <v>45</v>
      </c>
    </row>
    <row r="366" spans="1:30">
      <c r="A366" s="4" t="s">
        <v>30</v>
      </c>
      <c r="B366" s="4"/>
      <c r="C366" s="4">
        <v>215600</v>
      </c>
      <c r="D366" s="4" t="s">
        <v>129</v>
      </c>
      <c r="E366" s="13" t="s">
        <v>1162</v>
      </c>
      <c r="F366" s="4" t="s">
        <v>1163</v>
      </c>
      <c r="G366" s="4">
        <v>0</v>
      </c>
      <c r="H366" s="4" t="s">
        <v>1164</v>
      </c>
      <c r="I366" s="5">
        <v>45049</v>
      </c>
      <c r="J366" s="5">
        <v>45414</v>
      </c>
      <c r="K366" s="4" t="s">
        <v>359</v>
      </c>
      <c r="L366" s="4" t="s">
        <v>360</v>
      </c>
      <c r="M366" s="7">
        <v>50000</v>
      </c>
      <c r="N366" s="16">
        <v>12.5</v>
      </c>
      <c r="O366" s="6">
        <v>6250</v>
      </c>
      <c r="P366" s="4" t="s">
        <v>37</v>
      </c>
      <c r="Q366" s="1" t="s">
        <v>52</v>
      </c>
      <c r="R366" s="4" t="s">
        <v>52</v>
      </c>
      <c r="S366" s="4"/>
      <c r="T366" s="4" t="s">
        <v>227</v>
      </c>
      <c r="U366" s="4" t="s">
        <v>228</v>
      </c>
      <c r="V366" s="4" t="s">
        <v>136</v>
      </c>
      <c r="W366" s="4">
        <v>3076</v>
      </c>
      <c r="X366" s="4" t="s">
        <v>42</v>
      </c>
      <c r="Y366" s="4"/>
      <c r="Z366" s="4" t="s">
        <v>117</v>
      </c>
      <c r="AA366" s="4"/>
      <c r="AB366" s="4"/>
      <c r="AC366" s="4" t="s">
        <v>52</v>
      </c>
      <c r="AD366" s="4" t="s">
        <v>45</v>
      </c>
    </row>
    <row r="367" spans="1:30">
      <c r="A367" s="4" t="s">
        <v>30</v>
      </c>
      <c r="B367" s="4"/>
      <c r="C367" s="4">
        <v>540000</v>
      </c>
      <c r="D367" s="4" t="s">
        <v>56</v>
      </c>
      <c r="E367" s="13" t="s">
        <v>1165</v>
      </c>
      <c r="F367" s="4" t="s">
        <v>1166</v>
      </c>
      <c r="G367" s="4">
        <v>10</v>
      </c>
      <c r="H367" s="4" t="s">
        <v>1167</v>
      </c>
      <c r="I367" s="5">
        <v>44743</v>
      </c>
      <c r="J367" s="5">
        <v>45107</v>
      </c>
      <c r="K367" s="4" t="s">
        <v>384</v>
      </c>
      <c r="L367" s="4" t="s">
        <v>385</v>
      </c>
      <c r="M367" s="7">
        <v>-780</v>
      </c>
      <c r="N367" s="16">
        <v>7.5641025641025639</v>
      </c>
      <c r="O367" s="6">
        <v>-59</v>
      </c>
      <c r="P367" s="4" t="s">
        <v>60</v>
      </c>
      <c r="Q367" s="1">
        <v>0</v>
      </c>
      <c r="R367" s="4" t="s">
        <v>1040</v>
      </c>
      <c r="S367" s="4"/>
      <c r="T367" s="4" t="s">
        <v>1168</v>
      </c>
      <c r="U367" s="4" t="s">
        <v>1169</v>
      </c>
      <c r="V367" s="4" t="s">
        <v>64</v>
      </c>
      <c r="W367" s="4">
        <v>3123</v>
      </c>
      <c r="X367" s="4" t="s">
        <v>42</v>
      </c>
      <c r="Y367" s="4"/>
      <c r="Z367" s="4"/>
      <c r="AA367" s="4"/>
      <c r="AB367" s="4"/>
      <c r="AC367" s="4" t="s">
        <v>143</v>
      </c>
      <c r="AD367" s="4" t="s">
        <v>45</v>
      </c>
    </row>
    <row r="368" spans="1:30">
      <c r="A368" s="4" t="s">
        <v>30</v>
      </c>
      <c r="B368" s="4"/>
      <c r="C368" s="4">
        <v>212203</v>
      </c>
      <c r="D368" s="4" t="s">
        <v>99</v>
      </c>
      <c r="E368" s="13" t="s">
        <v>1170</v>
      </c>
      <c r="F368" s="4" t="s">
        <v>1171</v>
      </c>
      <c r="G368" s="4">
        <v>0</v>
      </c>
      <c r="H368" s="4" t="s">
        <v>280</v>
      </c>
      <c r="I368" s="5">
        <v>45101</v>
      </c>
      <c r="J368" s="5">
        <v>45466</v>
      </c>
      <c r="K368" s="4" t="s">
        <v>103</v>
      </c>
      <c r="L368" s="4" t="s">
        <v>104</v>
      </c>
      <c r="M368" s="7">
        <v>12728</v>
      </c>
      <c r="N368" s="16">
        <v>15.006285355122564</v>
      </c>
      <c r="O368" s="6">
        <v>1910</v>
      </c>
      <c r="P368" s="4" t="s">
        <v>37</v>
      </c>
      <c r="Q368" s="1">
        <v>443970</v>
      </c>
      <c r="R368" s="4" t="s">
        <v>38</v>
      </c>
      <c r="S368" s="4"/>
      <c r="T368" s="4" t="s">
        <v>105</v>
      </c>
      <c r="U368" s="4" t="s">
        <v>106</v>
      </c>
      <c r="V368" s="4" t="s">
        <v>107</v>
      </c>
      <c r="W368" s="4">
        <v>3075</v>
      </c>
      <c r="X368" s="4" t="s">
        <v>42</v>
      </c>
      <c r="Y368" s="4"/>
      <c r="Z368" s="4"/>
      <c r="AA368" s="4"/>
      <c r="AB368" s="4"/>
      <c r="AC368" s="4" t="s">
        <v>44</v>
      </c>
      <c r="AD368" s="4" t="s">
        <v>45</v>
      </c>
    </row>
    <row r="369" spans="1:30">
      <c r="A369" s="4" t="s">
        <v>30</v>
      </c>
      <c r="B369" s="4"/>
      <c r="C369" s="4">
        <v>540000</v>
      </c>
      <c r="D369" s="4" t="s">
        <v>56</v>
      </c>
      <c r="E369" s="13" t="s">
        <v>1172</v>
      </c>
      <c r="F369" s="4" t="s">
        <v>1173</v>
      </c>
      <c r="G369" s="4">
        <v>8</v>
      </c>
      <c r="H369" s="4" t="s">
        <v>59</v>
      </c>
      <c r="I369" s="5">
        <v>44685</v>
      </c>
      <c r="J369" s="5">
        <v>45049</v>
      </c>
      <c r="K369" s="4" t="s">
        <v>384</v>
      </c>
      <c r="L369" s="4" t="s">
        <v>385</v>
      </c>
      <c r="M369" s="7">
        <v>274</v>
      </c>
      <c r="N369" s="16">
        <v>7.6642335766423351</v>
      </c>
      <c r="O369" s="6">
        <v>21</v>
      </c>
      <c r="P369" s="4" t="s">
        <v>60</v>
      </c>
      <c r="Q369" s="1">
        <v>389831</v>
      </c>
      <c r="R369" s="4" t="s">
        <v>416</v>
      </c>
      <c r="S369" s="4"/>
      <c r="T369" s="4" t="s">
        <v>62</v>
      </c>
      <c r="U369" s="4" t="s">
        <v>63</v>
      </c>
      <c r="V369" s="4" t="s">
        <v>64</v>
      </c>
      <c r="W369" s="4">
        <v>3123</v>
      </c>
      <c r="X369" s="4" t="s">
        <v>42</v>
      </c>
      <c r="Y369" s="4"/>
      <c r="Z369" s="4"/>
      <c r="AA369" s="4"/>
      <c r="AB369" s="4"/>
      <c r="AC369" s="4" t="s">
        <v>143</v>
      </c>
      <c r="AD369" s="4" t="s">
        <v>45</v>
      </c>
    </row>
    <row r="370" spans="1:30">
      <c r="A370" s="4" t="s">
        <v>30</v>
      </c>
      <c r="B370" s="4"/>
      <c r="C370" s="4">
        <v>510000</v>
      </c>
      <c r="D370" s="4" t="s">
        <v>46</v>
      </c>
      <c r="E370" s="13" t="s">
        <v>1174</v>
      </c>
      <c r="F370" s="4" t="s">
        <v>1175</v>
      </c>
      <c r="G370" s="4">
        <v>0</v>
      </c>
      <c r="H370" s="4" t="s">
        <v>180</v>
      </c>
      <c r="I370" s="5">
        <v>45090</v>
      </c>
      <c r="J370" s="5">
        <v>45454</v>
      </c>
      <c r="K370" s="4" t="s">
        <v>1176</v>
      </c>
      <c r="L370" s="4" t="s">
        <v>1177</v>
      </c>
      <c r="M370" s="7">
        <v>504000</v>
      </c>
      <c r="N370" s="16">
        <v>12.500198412698413</v>
      </c>
      <c r="O370" s="6">
        <v>63001</v>
      </c>
      <c r="P370" s="4" t="s">
        <v>37</v>
      </c>
      <c r="Q370" s="1">
        <v>440238</v>
      </c>
      <c r="R370" s="4" t="s">
        <v>38</v>
      </c>
      <c r="S370" s="4"/>
      <c r="T370" s="4" t="s">
        <v>39</v>
      </c>
      <c r="U370" s="4" t="s">
        <v>183</v>
      </c>
      <c r="V370" s="4" t="s">
        <v>55</v>
      </c>
      <c r="W370" s="4">
        <v>3081</v>
      </c>
      <c r="X370" s="4" t="s">
        <v>42</v>
      </c>
      <c r="Y370" s="4"/>
      <c r="Z370" s="4"/>
      <c r="AA370" s="4"/>
      <c r="AB370" s="4" t="s">
        <v>43</v>
      </c>
      <c r="AC370" s="4" t="s">
        <v>44</v>
      </c>
      <c r="AD370" s="4" t="s">
        <v>45</v>
      </c>
    </row>
    <row r="371" spans="1:30">
      <c r="A371" s="4" t="s">
        <v>30</v>
      </c>
      <c r="B371" s="4"/>
      <c r="C371" s="4">
        <v>233600</v>
      </c>
      <c r="D371" s="4" t="s">
        <v>644</v>
      </c>
      <c r="E371" s="13" t="s">
        <v>1178</v>
      </c>
      <c r="F371" s="4" t="s">
        <v>766</v>
      </c>
      <c r="G371" s="4">
        <v>12</v>
      </c>
      <c r="H371" s="4" t="s">
        <v>647</v>
      </c>
      <c r="I371" s="5">
        <v>44982</v>
      </c>
      <c r="J371" s="5">
        <v>45346</v>
      </c>
      <c r="K371" s="4" t="s">
        <v>767</v>
      </c>
      <c r="L371" s="4" t="s">
        <v>768</v>
      </c>
      <c r="M371" s="7">
        <v>-43594</v>
      </c>
      <c r="N371" s="16">
        <v>7.5010322521447907</v>
      </c>
      <c r="O371" s="6">
        <v>-3270</v>
      </c>
      <c r="P371" s="4" t="s">
        <v>95</v>
      </c>
      <c r="Q371" s="1">
        <v>421681</v>
      </c>
      <c r="R371" s="4" t="s">
        <v>52</v>
      </c>
      <c r="S371" s="4"/>
      <c r="T371" s="4" t="s">
        <v>247</v>
      </c>
      <c r="U371" s="4" t="s">
        <v>648</v>
      </c>
      <c r="V371" s="4" t="s">
        <v>649</v>
      </c>
      <c r="W371" s="4">
        <v>3084</v>
      </c>
      <c r="X371" s="4" t="s">
        <v>42</v>
      </c>
      <c r="Y371" s="4"/>
      <c r="Z371" s="4"/>
      <c r="AA371" s="4"/>
      <c r="AB371" s="4"/>
      <c r="AC371" s="4" t="s">
        <v>52</v>
      </c>
      <c r="AD371" s="4" t="s">
        <v>45</v>
      </c>
    </row>
    <row r="372" spans="1:30">
      <c r="A372" s="4" t="s">
        <v>30</v>
      </c>
      <c r="B372" s="4"/>
      <c r="C372" s="4">
        <v>540000</v>
      </c>
      <c r="D372" s="4" t="s">
        <v>56</v>
      </c>
      <c r="E372" s="13" t="s">
        <v>1179</v>
      </c>
      <c r="F372" s="4" t="s">
        <v>489</v>
      </c>
      <c r="G372" s="4">
        <v>8</v>
      </c>
      <c r="H372" s="4" t="s">
        <v>467</v>
      </c>
      <c r="I372" s="5">
        <v>44910</v>
      </c>
      <c r="J372" s="5">
        <v>45274</v>
      </c>
      <c r="K372" s="4" t="s">
        <v>50</v>
      </c>
      <c r="L372" s="4" t="s">
        <v>51</v>
      </c>
      <c r="M372" s="7">
        <v>-82348</v>
      </c>
      <c r="N372" s="16">
        <v>7.4998785641424197</v>
      </c>
      <c r="O372" s="6">
        <v>-6176</v>
      </c>
      <c r="P372" s="4" t="s">
        <v>60</v>
      </c>
      <c r="Q372" s="1">
        <v>413729</v>
      </c>
      <c r="R372" s="4" t="s">
        <v>52</v>
      </c>
      <c r="S372" s="4"/>
      <c r="T372" s="4" t="s">
        <v>80</v>
      </c>
      <c r="U372" s="4" t="s">
        <v>468</v>
      </c>
      <c r="V372" s="4" t="s">
        <v>64</v>
      </c>
      <c r="W372" s="4">
        <v>3123</v>
      </c>
      <c r="X372" s="4" t="s">
        <v>42</v>
      </c>
      <c r="Y372" s="4"/>
      <c r="Z372" s="4"/>
      <c r="AA372" s="4"/>
      <c r="AB372" s="4"/>
      <c r="AC372" s="4" t="s">
        <v>52</v>
      </c>
      <c r="AD372" s="4" t="s">
        <v>45</v>
      </c>
    </row>
    <row r="373" spans="1:30">
      <c r="A373" s="4" t="s">
        <v>30</v>
      </c>
      <c r="B373" s="4"/>
      <c r="C373" s="4">
        <v>431500</v>
      </c>
      <c r="D373" s="4" t="s">
        <v>380</v>
      </c>
      <c r="E373" s="13" t="s">
        <v>1180</v>
      </c>
      <c r="F373" s="4" t="s">
        <v>382</v>
      </c>
      <c r="G373" s="4">
        <v>6</v>
      </c>
      <c r="H373" s="4" t="s">
        <v>383</v>
      </c>
      <c r="I373" s="5">
        <v>44997</v>
      </c>
      <c r="J373" s="5">
        <v>45362</v>
      </c>
      <c r="K373" s="4" t="s">
        <v>384</v>
      </c>
      <c r="L373" s="4" t="s">
        <v>385</v>
      </c>
      <c r="M373" s="7">
        <v>3017</v>
      </c>
      <c r="N373" s="16">
        <v>7.5001657275439175</v>
      </c>
      <c r="O373" s="6">
        <v>226.28</v>
      </c>
      <c r="P373" s="4" t="s">
        <v>386</v>
      </c>
      <c r="Q373" s="1">
        <v>424818</v>
      </c>
      <c r="R373" s="4" t="s">
        <v>52</v>
      </c>
      <c r="S373" s="4"/>
      <c r="T373" s="4" t="s">
        <v>387</v>
      </c>
      <c r="U373" s="4" t="s">
        <v>388</v>
      </c>
      <c r="V373" s="4" t="s">
        <v>389</v>
      </c>
      <c r="W373" s="4">
        <v>3082</v>
      </c>
      <c r="X373" s="4" t="s">
        <v>42</v>
      </c>
      <c r="Y373" s="4"/>
      <c r="Z373" s="4"/>
      <c r="AA373" s="4"/>
      <c r="AB373" s="4"/>
      <c r="AC373" s="4" t="s">
        <v>52</v>
      </c>
      <c r="AD373" s="4" t="s">
        <v>45</v>
      </c>
    </row>
    <row r="374" spans="1:30">
      <c r="A374" s="4" t="s">
        <v>30</v>
      </c>
      <c r="B374" s="4"/>
      <c r="C374" s="4">
        <v>272200</v>
      </c>
      <c r="D374" s="4" t="s">
        <v>208</v>
      </c>
      <c r="E374" s="13" t="s">
        <v>1181</v>
      </c>
      <c r="F374" s="4" t="s">
        <v>1182</v>
      </c>
      <c r="G374" s="4">
        <v>0</v>
      </c>
      <c r="H374" s="4" t="s">
        <v>1183</v>
      </c>
      <c r="I374" s="5">
        <v>45107</v>
      </c>
      <c r="J374" s="5">
        <v>45472</v>
      </c>
      <c r="K374" s="4" t="s">
        <v>442</v>
      </c>
      <c r="L374" s="4" t="s">
        <v>443</v>
      </c>
      <c r="M374" s="7">
        <v>16492</v>
      </c>
      <c r="N374" s="16">
        <v>7.0033955857385406</v>
      </c>
      <c r="O374" s="6">
        <v>1155</v>
      </c>
      <c r="P374" s="4" t="s">
        <v>312</v>
      </c>
      <c r="Q374" s="1">
        <v>440226</v>
      </c>
      <c r="R374" s="4" t="s">
        <v>38</v>
      </c>
      <c r="S374" s="4"/>
      <c r="T374" s="4" t="s">
        <v>506</v>
      </c>
      <c r="U374" s="4" t="s">
        <v>1184</v>
      </c>
      <c r="V374" s="4" t="s">
        <v>212</v>
      </c>
      <c r="W374" s="4">
        <v>3079</v>
      </c>
      <c r="X374" s="4" t="s">
        <v>42</v>
      </c>
      <c r="Y374" s="4"/>
      <c r="Z374" s="4"/>
      <c r="AA374" s="4"/>
      <c r="AB374" s="4" t="s">
        <v>43</v>
      </c>
      <c r="AC374" s="4" t="s">
        <v>44</v>
      </c>
      <c r="AD374" s="4" t="s">
        <v>45</v>
      </c>
    </row>
    <row r="375" spans="1:30">
      <c r="A375" s="4" t="s">
        <v>30</v>
      </c>
      <c r="B375" s="4"/>
      <c r="C375" s="4">
        <v>222105</v>
      </c>
      <c r="D375" s="4" t="s">
        <v>68</v>
      </c>
      <c r="E375" s="13" t="s">
        <v>1185</v>
      </c>
      <c r="F375" s="4" t="s">
        <v>1186</v>
      </c>
      <c r="G375" s="4">
        <v>0</v>
      </c>
      <c r="H375" s="4" t="s">
        <v>1187</v>
      </c>
      <c r="I375" s="5">
        <v>45104</v>
      </c>
      <c r="J375" s="5">
        <v>45469</v>
      </c>
      <c r="K375" s="4" t="s">
        <v>364</v>
      </c>
      <c r="L375" s="4" t="s">
        <v>365</v>
      </c>
      <c r="M375" s="7">
        <v>9352</v>
      </c>
      <c r="N375" s="16">
        <v>30.004277159965785</v>
      </c>
      <c r="O375" s="6">
        <v>2806</v>
      </c>
      <c r="P375" s="4" t="s">
        <v>37</v>
      </c>
      <c r="Q375" s="1">
        <v>441489</v>
      </c>
      <c r="R375" s="4" t="s">
        <v>38</v>
      </c>
      <c r="S375" s="4"/>
      <c r="T375" s="4" t="s">
        <v>74</v>
      </c>
      <c r="U375" s="4" t="s">
        <v>75</v>
      </c>
      <c r="V375" s="4" t="s">
        <v>76</v>
      </c>
      <c r="W375" s="4">
        <v>3078</v>
      </c>
      <c r="X375" s="4" t="s">
        <v>42</v>
      </c>
      <c r="Y375" s="4"/>
      <c r="Z375" s="4"/>
      <c r="AA375" s="4"/>
      <c r="AB375" s="4" t="s">
        <v>43</v>
      </c>
      <c r="AC375" s="4" t="s">
        <v>44</v>
      </c>
      <c r="AD375" s="4" t="s">
        <v>45</v>
      </c>
    </row>
    <row r="376" spans="1:30">
      <c r="A376" s="4" t="s">
        <v>30</v>
      </c>
      <c r="B376" s="4"/>
      <c r="C376" s="4">
        <v>272200</v>
      </c>
      <c r="D376" s="4" t="s">
        <v>208</v>
      </c>
      <c r="E376" s="13" t="s">
        <v>1188</v>
      </c>
      <c r="F376" s="4" t="s">
        <v>1189</v>
      </c>
      <c r="G376" s="4">
        <v>0</v>
      </c>
      <c r="H376" s="4" t="s">
        <v>211</v>
      </c>
      <c r="I376" s="5">
        <v>45089</v>
      </c>
      <c r="J376" s="5">
        <v>45454</v>
      </c>
      <c r="K376" s="4" t="s">
        <v>139</v>
      </c>
      <c r="L376" s="4" t="s">
        <v>140</v>
      </c>
      <c r="M376" s="7">
        <v>12981</v>
      </c>
      <c r="N376" s="16">
        <v>12.495185270780372</v>
      </c>
      <c r="O376" s="6">
        <v>1622</v>
      </c>
      <c r="P376" s="4" t="s">
        <v>37</v>
      </c>
      <c r="Q376" s="1" t="s">
        <v>52</v>
      </c>
      <c r="R376" s="4" t="s">
        <v>52</v>
      </c>
      <c r="S376" s="4"/>
      <c r="T376" s="4" t="s">
        <v>141</v>
      </c>
      <c r="U376" s="4" t="s">
        <v>142</v>
      </c>
      <c r="V376" s="4" t="s">
        <v>212</v>
      </c>
      <c r="W376" s="4">
        <v>3079</v>
      </c>
      <c r="X376" s="4" t="s">
        <v>42</v>
      </c>
      <c r="Y376" s="4"/>
      <c r="Z376" s="4" t="s">
        <v>117</v>
      </c>
      <c r="AA376" s="4"/>
      <c r="AB376" s="4"/>
      <c r="AC376" s="4" t="s">
        <v>52</v>
      </c>
      <c r="AD376" s="4" t="s">
        <v>45</v>
      </c>
    </row>
    <row r="377" spans="1:30">
      <c r="A377" s="4" t="s">
        <v>30</v>
      </c>
      <c r="B377" s="4"/>
      <c r="C377" s="4">
        <v>540000</v>
      </c>
      <c r="D377" s="4" t="s">
        <v>56</v>
      </c>
      <c r="E377" s="13" t="s">
        <v>1190</v>
      </c>
      <c r="F377" s="4" t="s">
        <v>706</v>
      </c>
      <c r="G377" s="4">
        <v>6</v>
      </c>
      <c r="H377" s="4" t="s">
        <v>59</v>
      </c>
      <c r="I377" s="5">
        <v>44807</v>
      </c>
      <c r="J377" s="5">
        <v>45171</v>
      </c>
      <c r="K377" s="4" t="s">
        <v>50</v>
      </c>
      <c r="L377" s="4" t="s">
        <v>51</v>
      </c>
      <c r="M377" s="7">
        <v>102441</v>
      </c>
      <c r="N377" s="16">
        <v>5</v>
      </c>
      <c r="O377" s="6">
        <v>5122.05</v>
      </c>
      <c r="P377" s="4" t="s">
        <v>60</v>
      </c>
      <c r="Q377" s="1">
        <v>401739</v>
      </c>
      <c r="R377" s="4" t="s">
        <v>61</v>
      </c>
      <c r="S377" s="4"/>
      <c r="T377" s="4" t="s">
        <v>62</v>
      </c>
      <c r="U377" s="4" t="s">
        <v>63</v>
      </c>
      <c r="V377" s="4" t="s">
        <v>64</v>
      </c>
      <c r="W377" s="4">
        <v>3123</v>
      </c>
      <c r="X377" s="4" t="s">
        <v>42</v>
      </c>
      <c r="Y377" s="4"/>
      <c r="Z377" s="4"/>
      <c r="AA377" s="4"/>
      <c r="AB377" s="4"/>
      <c r="AC377" s="4" t="s">
        <v>143</v>
      </c>
      <c r="AD377" s="4" t="s">
        <v>45</v>
      </c>
    </row>
    <row r="378" spans="1:30">
      <c r="A378" s="4" t="s">
        <v>30</v>
      </c>
      <c r="B378" s="4"/>
      <c r="C378" s="4">
        <v>421100</v>
      </c>
      <c r="D378" s="4" t="s">
        <v>400</v>
      </c>
      <c r="E378" s="13" t="s">
        <v>1191</v>
      </c>
      <c r="F378" s="4" t="s">
        <v>1192</v>
      </c>
      <c r="G378" s="4">
        <v>10</v>
      </c>
      <c r="H378" s="4" t="s">
        <v>1193</v>
      </c>
      <c r="I378" s="5">
        <v>44845</v>
      </c>
      <c r="J378" s="5">
        <v>45209</v>
      </c>
      <c r="K378" s="4" t="s">
        <v>50</v>
      </c>
      <c r="L378" s="4" t="s">
        <v>51</v>
      </c>
      <c r="M378" s="7">
        <v>-78524</v>
      </c>
      <c r="N378" s="16">
        <v>0</v>
      </c>
      <c r="O378" s="6">
        <v>0</v>
      </c>
      <c r="P378" s="4" t="s">
        <v>125</v>
      </c>
      <c r="Q378" s="1" t="s">
        <v>52</v>
      </c>
      <c r="R378" s="4" t="s">
        <v>52</v>
      </c>
      <c r="S378" s="4"/>
      <c r="T378" s="4" t="s">
        <v>404</v>
      </c>
      <c r="U378" s="4" t="s">
        <v>1194</v>
      </c>
      <c r="V378" s="4" t="s">
        <v>406</v>
      </c>
      <c r="W378" s="4">
        <v>3065</v>
      </c>
      <c r="X378" s="4" t="s">
        <v>42</v>
      </c>
      <c r="Y378" s="4"/>
      <c r="Z378" s="4"/>
      <c r="AA378" s="4"/>
      <c r="AB378" s="4"/>
      <c r="AC378" s="4" t="s">
        <v>52</v>
      </c>
      <c r="AD378" s="4" t="s">
        <v>45</v>
      </c>
    </row>
    <row r="379" spans="1:30">
      <c r="A379" s="4" t="s">
        <v>30</v>
      </c>
      <c r="B379" s="4"/>
      <c r="C379" s="4">
        <v>540000</v>
      </c>
      <c r="D379" s="4" t="s">
        <v>56</v>
      </c>
      <c r="E379" s="13" t="s">
        <v>1195</v>
      </c>
      <c r="F379" s="4" t="s">
        <v>489</v>
      </c>
      <c r="G379" s="4">
        <v>5</v>
      </c>
      <c r="H379" s="4" t="s">
        <v>467</v>
      </c>
      <c r="I379" s="5">
        <v>44910</v>
      </c>
      <c r="J379" s="5">
        <v>45274</v>
      </c>
      <c r="K379" s="4" t="s">
        <v>50</v>
      </c>
      <c r="L379" s="4" t="s">
        <v>51</v>
      </c>
      <c r="M379" s="7">
        <v>8719</v>
      </c>
      <c r="N379" s="16">
        <v>7.5008601903888064</v>
      </c>
      <c r="O379" s="6">
        <v>654</v>
      </c>
      <c r="P379" s="4" t="s">
        <v>60</v>
      </c>
      <c r="Q379" s="1">
        <v>413729</v>
      </c>
      <c r="R379" s="4" t="s">
        <v>52</v>
      </c>
      <c r="S379" s="4"/>
      <c r="T379" s="4" t="s">
        <v>80</v>
      </c>
      <c r="U379" s="4" t="s">
        <v>468</v>
      </c>
      <c r="V379" s="4" t="s">
        <v>64</v>
      </c>
      <c r="W379" s="4">
        <v>3123</v>
      </c>
      <c r="X379" s="4" t="s">
        <v>42</v>
      </c>
      <c r="Y379" s="4"/>
      <c r="Z379" s="4"/>
      <c r="AA379" s="4"/>
      <c r="AB379" s="4"/>
      <c r="AC379" s="4" t="s">
        <v>52</v>
      </c>
      <c r="AD379" s="4" t="s">
        <v>45</v>
      </c>
    </row>
    <row r="380" spans="1:30">
      <c r="A380" s="4" t="s">
        <v>30</v>
      </c>
      <c r="B380" s="4"/>
      <c r="C380" s="4">
        <v>540000</v>
      </c>
      <c r="D380" s="4" t="s">
        <v>56</v>
      </c>
      <c r="E380" s="13" t="s">
        <v>1196</v>
      </c>
      <c r="F380" s="4" t="s">
        <v>489</v>
      </c>
      <c r="G380" s="4">
        <v>6</v>
      </c>
      <c r="H380" s="4" t="s">
        <v>467</v>
      </c>
      <c r="I380" s="5">
        <v>44910</v>
      </c>
      <c r="J380" s="5">
        <v>45274</v>
      </c>
      <c r="K380" s="4" t="s">
        <v>50</v>
      </c>
      <c r="L380" s="4" t="s">
        <v>51</v>
      </c>
      <c r="M380" s="7">
        <v>332</v>
      </c>
      <c r="N380" s="16">
        <v>7.5301204819277112</v>
      </c>
      <c r="O380" s="6">
        <v>25</v>
      </c>
      <c r="P380" s="4" t="s">
        <v>60</v>
      </c>
      <c r="Q380" s="1">
        <v>413729</v>
      </c>
      <c r="R380" s="4" t="s">
        <v>52</v>
      </c>
      <c r="S380" s="4"/>
      <c r="T380" s="4" t="s">
        <v>80</v>
      </c>
      <c r="U380" s="4" t="s">
        <v>468</v>
      </c>
      <c r="V380" s="4" t="s">
        <v>64</v>
      </c>
      <c r="W380" s="4">
        <v>3123</v>
      </c>
      <c r="X380" s="4" t="s">
        <v>42</v>
      </c>
      <c r="Y380" s="4"/>
      <c r="Z380" s="4"/>
      <c r="AA380" s="4"/>
      <c r="AB380" s="4"/>
      <c r="AC380" s="4" t="s">
        <v>52</v>
      </c>
      <c r="AD380" s="4" t="s">
        <v>45</v>
      </c>
    </row>
    <row r="381" spans="1:30">
      <c r="A381" s="4" t="s">
        <v>30</v>
      </c>
      <c r="B381" s="4"/>
      <c r="C381" s="4">
        <v>163900</v>
      </c>
      <c r="D381" s="4" t="s">
        <v>612</v>
      </c>
      <c r="E381" s="13" t="s">
        <v>1197</v>
      </c>
      <c r="F381" s="4" t="s">
        <v>1198</v>
      </c>
      <c r="G381" s="4">
        <v>0</v>
      </c>
      <c r="H381" s="4" t="s">
        <v>630</v>
      </c>
      <c r="I381" s="5">
        <v>45088</v>
      </c>
      <c r="J381" s="5">
        <v>45453</v>
      </c>
      <c r="K381" s="4" t="s">
        <v>623</v>
      </c>
      <c r="L381" s="4" t="s">
        <v>624</v>
      </c>
      <c r="M381" s="7">
        <v>36890</v>
      </c>
      <c r="N381" s="16">
        <v>12.504743833017079</v>
      </c>
      <c r="O381" s="6">
        <v>4613</v>
      </c>
      <c r="P381" s="4" t="s">
        <v>125</v>
      </c>
      <c r="Q381" s="1" t="s">
        <v>52</v>
      </c>
      <c r="R381" s="4" t="s">
        <v>52</v>
      </c>
      <c r="S381" s="4"/>
      <c r="T381" s="4" t="s">
        <v>160</v>
      </c>
      <c r="U381" s="4" t="s">
        <v>160</v>
      </c>
      <c r="V381" s="4" t="s">
        <v>617</v>
      </c>
      <c r="W381" s="4">
        <v>3091</v>
      </c>
      <c r="X381" s="4" t="s">
        <v>42</v>
      </c>
      <c r="Y381" s="4"/>
      <c r="Z381" s="4" t="s">
        <v>117</v>
      </c>
      <c r="AA381" s="4"/>
      <c r="AB381" s="4"/>
      <c r="AC381" s="4" t="s">
        <v>52</v>
      </c>
      <c r="AD381" s="4" t="s">
        <v>45</v>
      </c>
    </row>
    <row r="382" spans="1:30">
      <c r="A382" s="4" t="s">
        <v>30</v>
      </c>
      <c r="B382" s="4"/>
      <c r="C382" s="4">
        <v>510000</v>
      </c>
      <c r="D382" s="4" t="s">
        <v>46</v>
      </c>
      <c r="E382" s="13" t="s">
        <v>1199</v>
      </c>
      <c r="F382" s="4" t="s">
        <v>1200</v>
      </c>
      <c r="G382" s="4">
        <v>1</v>
      </c>
      <c r="H382" s="4" t="s">
        <v>251</v>
      </c>
      <c r="I382" s="5">
        <v>44960</v>
      </c>
      <c r="J382" s="5">
        <v>45324</v>
      </c>
      <c r="K382" s="4" t="s">
        <v>50</v>
      </c>
      <c r="L382" s="4" t="s">
        <v>51</v>
      </c>
      <c r="M382" s="7">
        <v>-44727</v>
      </c>
      <c r="N382" s="16">
        <v>0.50001117892995284</v>
      </c>
      <c r="O382" s="6">
        <v>-223.64</v>
      </c>
      <c r="P382" s="4" t="s">
        <v>37</v>
      </c>
      <c r="Q382" s="1">
        <v>434026</v>
      </c>
      <c r="R382" s="4" t="s">
        <v>52</v>
      </c>
      <c r="S382" s="4"/>
      <c r="T382" s="4" t="s">
        <v>53</v>
      </c>
      <c r="U382" s="4" t="s">
        <v>54</v>
      </c>
      <c r="V382" s="4" t="s">
        <v>55</v>
      </c>
      <c r="W382" s="4">
        <v>3081</v>
      </c>
      <c r="X382" s="4" t="s">
        <v>42</v>
      </c>
      <c r="Y382" s="4"/>
      <c r="Z382" s="4"/>
      <c r="AA382" s="4"/>
      <c r="AB382" s="4"/>
      <c r="AC382" s="4" t="s">
        <v>52</v>
      </c>
      <c r="AD382" s="4" t="s">
        <v>45</v>
      </c>
    </row>
    <row r="383" spans="1:30">
      <c r="A383" s="4" t="s">
        <v>30</v>
      </c>
      <c r="B383" s="4"/>
      <c r="C383" s="4">
        <v>212203</v>
      </c>
      <c r="D383" s="4" t="s">
        <v>99</v>
      </c>
      <c r="E383" s="13" t="s">
        <v>1201</v>
      </c>
      <c r="F383" s="4" t="s">
        <v>1202</v>
      </c>
      <c r="G383" s="4">
        <v>0</v>
      </c>
      <c r="H383" s="4" t="s">
        <v>204</v>
      </c>
      <c r="I383" s="5">
        <v>45098</v>
      </c>
      <c r="J383" s="5">
        <v>45463</v>
      </c>
      <c r="K383" s="4" t="s">
        <v>205</v>
      </c>
      <c r="L383" s="4" t="s">
        <v>206</v>
      </c>
      <c r="M383" s="7">
        <v>8870</v>
      </c>
      <c r="N383" s="16">
        <v>15.005636978579481</v>
      </c>
      <c r="O383" s="6">
        <v>1331</v>
      </c>
      <c r="P383" s="4" t="s">
        <v>37</v>
      </c>
      <c r="Q383" s="1">
        <v>443949</v>
      </c>
      <c r="R383" s="4" t="s">
        <v>38</v>
      </c>
      <c r="S383" s="4"/>
      <c r="T383" s="4" t="s">
        <v>105</v>
      </c>
      <c r="U383" s="4" t="s">
        <v>106</v>
      </c>
      <c r="V383" s="4" t="s">
        <v>107</v>
      </c>
      <c r="W383" s="4">
        <v>3075</v>
      </c>
      <c r="X383" s="4" t="s">
        <v>42</v>
      </c>
      <c r="Y383" s="4"/>
      <c r="Z383" s="4"/>
      <c r="AA383" s="4"/>
      <c r="AB383" s="4"/>
      <c r="AC383" s="4" t="s">
        <v>44</v>
      </c>
      <c r="AD383" s="4" t="s">
        <v>45</v>
      </c>
    </row>
    <row r="384" spans="1:30">
      <c r="A384" s="4" t="s">
        <v>30</v>
      </c>
      <c r="B384" s="4"/>
      <c r="C384" s="4">
        <v>510000</v>
      </c>
      <c r="D384" s="4" t="s">
        <v>46</v>
      </c>
      <c r="E384" s="13" t="s">
        <v>1203</v>
      </c>
      <c r="F384" s="4" t="s">
        <v>1204</v>
      </c>
      <c r="G384" s="4">
        <v>0</v>
      </c>
      <c r="H384" s="4" t="s">
        <v>84</v>
      </c>
      <c r="I384" s="5">
        <v>45097</v>
      </c>
      <c r="J384" s="5">
        <v>45462</v>
      </c>
      <c r="K384" s="4" t="s">
        <v>139</v>
      </c>
      <c r="L384" s="4" t="s">
        <v>140</v>
      </c>
      <c r="M384" s="7">
        <v>10367</v>
      </c>
      <c r="N384" s="16">
        <v>12.491559756920999</v>
      </c>
      <c r="O384" s="6">
        <v>1295</v>
      </c>
      <c r="P384" s="4" t="s">
        <v>37</v>
      </c>
      <c r="Q384" s="1" t="s">
        <v>52</v>
      </c>
      <c r="R384" s="4" t="s">
        <v>52</v>
      </c>
      <c r="S384" s="4"/>
      <c r="T384" s="4" t="s">
        <v>141</v>
      </c>
      <c r="U384" s="4" t="s">
        <v>142</v>
      </c>
      <c r="V384" s="4" t="s">
        <v>55</v>
      </c>
      <c r="W384" s="4">
        <v>3081</v>
      </c>
      <c r="X384" s="4" t="s">
        <v>42</v>
      </c>
      <c r="Y384" s="4"/>
      <c r="Z384" s="4" t="s">
        <v>117</v>
      </c>
      <c r="AA384" s="4"/>
      <c r="AB384" s="4"/>
      <c r="AC384" s="4" t="s">
        <v>52</v>
      </c>
      <c r="AD384" s="4" t="s">
        <v>45</v>
      </c>
    </row>
    <row r="385" spans="1:30">
      <c r="A385" s="4" t="s">
        <v>30</v>
      </c>
      <c r="B385" s="4"/>
      <c r="C385" s="4">
        <v>212203</v>
      </c>
      <c r="D385" s="4" t="s">
        <v>99</v>
      </c>
      <c r="E385" s="13" t="s">
        <v>1205</v>
      </c>
      <c r="F385" s="4" t="s">
        <v>847</v>
      </c>
      <c r="G385" s="4">
        <v>0</v>
      </c>
      <c r="H385" s="4" t="s">
        <v>204</v>
      </c>
      <c r="I385" s="5">
        <v>45097</v>
      </c>
      <c r="J385" s="5">
        <v>45462</v>
      </c>
      <c r="K385" s="4" t="s">
        <v>205</v>
      </c>
      <c r="L385" s="4" t="s">
        <v>206</v>
      </c>
      <c r="M385" s="7">
        <v>9682</v>
      </c>
      <c r="N385" s="16">
        <v>14.996901466639125</v>
      </c>
      <c r="O385" s="6">
        <v>1452</v>
      </c>
      <c r="P385" s="4" t="s">
        <v>37</v>
      </c>
      <c r="Q385" s="1" t="s">
        <v>207</v>
      </c>
      <c r="R385" s="4" t="s">
        <v>207</v>
      </c>
      <c r="S385" s="4"/>
      <c r="T385" s="4" t="s">
        <v>105</v>
      </c>
      <c r="U385" s="4" t="s">
        <v>106</v>
      </c>
      <c r="V385" s="4" t="s">
        <v>107</v>
      </c>
      <c r="W385" s="4">
        <v>3075</v>
      </c>
      <c r="X385" s="4" t="s">
        <v>42</v>
      </c>
      <c r="Y385" s="4"/>
      <c r="Z385" s="4"/>
      <c r="AA385" s="4"/>
      <c r="AB385" s="4"/>
      <c r="AC385" s="4" t="s">
        <v>207</v>
      </c>
      <c r="AD385" s="4" t="s">
        <v>45</v>
      </c>
    </row>
    <row r="386" spans="1:30">
      <c r="A386" s="4" t="s">
        <v>30</v>
      </c>
      <c r="B386" s="4"/>
      <c r="C386" s="4">
        <v>212203</v>
      </c>
      <c r="D386" s="4" t="s">
        <v>99</v>
      </c>
      <c r="E386" s="13" t="s">
        <v>1206</v>
      </c>
      <c r="F386" s="4" t="s">
        <v>680</v>
      </c>
      <c r="G386" s="4">
        <v>0</v>
      </c>
      <c r="H386" s="4" t="s">
        <v>204</v>
      </c>
      <c r="I386" s="5">
        <v>45097</v>
      </c>
      <c r="J386" s="5">
        <v>45462</v>
      </c>
      <c r="K386" s="4" t="s">
        <v>205</v>
      </c>
      <c r="L386" s="4" t="s">
        <v>206</v>
      </c>
      <c r="M386" s="7">
        <v>9682</v>
      </c>
      <c r="N386" s="16">
        <v>14.996901466639125</v>
      </c>
      <c r="O386" s="6">
        <v>1452</v>
      </c>
      <c r="P386" s="4" t="s">
        <v>37</v>
      </c>
      <c r="Q386" s="1" t="s">
        <v>207</v>
      </c>
      <c r="R386" s="4" t="s">
        <v>207</v>
      </c>
      <c r="S386" s="4"/>
      <c r="T386" s="4" t="s">
        <v>105</v>
      </c>
      <c r="U386" s="4" t="s">
        <v>106</v>
      </c>
      <c r="V386" s="4" t="s">
        <v>107</v>
      </c>
      <c r="W386" s="4">
        <v>3075</v>
      </c>
      <c r="X386" s="4" t="s">
        <v>42</v>
      </c>
      <c r="Y386" s="4"/>
      <c r="Z386" s="4"/>
      <c r="AA386" s="4"/>
      <c r="AB386" s="4"/>
      <c r="AC386" s="4" t="s">
        <v>207</v>
      </c>
      <c r="AD386" s="4" t="s">
        <v>45</v>
      </c>
    </row>
    <row r="387" spans="1:30">
      <c r="A387" s="4" t="s">
        <v>30</v>
      </c>
      <c r="B387" s="4"/>
      <c r="C387" s="4">
        <v>510000</v>
      </c>
      <c r="D387" s="4" t="s">
        <v>46</v>
      </c>
      <c r="E387" s="13" t="s">
        <v>1207</v>
      </c>
      <c r="F387" s="4" t="s">
        <v>1208</v>
      </c>
      <c r="G387" s="4">
        <v>5</v>
      </c>
      <c r="H387" s="4" t="s">
        <v>379</v>
      </c>
      <c r="I387" s="5">
        <v>44713</v>
      </c>
      <c r="J387" s="5">
        <v>45077</v>
      </c>
      <c r="K387" s="4" t="s">
        <v>384</v>
      </c>
      <c r="L387" s="4" t="s">
        <v>385</v>
      </c>
      <c r="M387" s="7">
        <v>23</v>
      </c>
      <c r="N387" s="16">
        <v>8.695652173913043</v>
      </c>
      <c r="O387" s="6">
        <v>2</v>
      </c>
      <c r="P387" s="4" t="s">
        <v>37</v>
      </c>
      <c r="Q387" s="1">
        <v>387275</v>
      </c>
      <c r="R387" s="4" t="s">
        <v>52</v>
      </c>
      <c r="S387" s="4"/>
      <c r="T387" s="4" t="s">
        <v>285</v>
      </c>
      <c r="U387" s="4" t="s">
        <v>286</v>
      </c>
      <c r="V387" s="4" t="s">
        <v>55</v>
      </c>
      <c r="W387" s="4">
        <v>3081</v>
      </c>
      <c r="X387" s="4" t="s">
        <v>42</v>
      </c>
      <c r="Y387" s="4"/>
      <c r="Z387" s="4"/>
      <c r="AA387" s="4"/>
      <c r="AB387" s="4"/>
      <c r="AC387" s="4" t="s">
        <v>52</v>
      </c>
      <c r="AD387" s="4" t="s">
        <v>45</v>
      </c>
    </row>
    <row r="388" spans="1:30">
      <c r="A388" s="4" t="s">
        <v>30</v>
      </c>
      <c r="B388" s="4"/>
      <c r="C388" s="4">
        <v>212203</v>
      </c>
      <c r="D388" s="4" t="s">
        <v>99</v>
      </c>
      <c r="E388" s="13" t="s">
        <v>1209</v>
      </c>
      <c r="F388" s="4" t="s">
        <v>1210</v>
      </c>
      <c r="G388" s="4">
        <v>0</v>
      </c>
      <c r="H388" s="4" t="s">
        <v>102</v>
      </c>
      <c r="I388" s="5">
        <v>45093</v>
      </c>
      <c r="J388" s="5">
        <v>45458</v>
      </c>
      <c r="K388" s="4" t="s">
        <v>103</v>
      </c>
      <c r="L388" s="4" t="s">
        <v>104</v>
      </c>
      <c r="M388" s="7">
        <v>8935</v>
      </c>
      <c r="N388" s="16">
        <v>14.997202014549526</v>
      </c>
      <c r="O388" s="6">
        <v>1340</v>
      </c>
      <c r="P388" s="4" t="s">
        <v>37</v>
      </c>
      <c r="Q388" s="1">
        <v>443966</v>
      </c>
      <c r="R388" s="4" t="s">
        <v>38</v>
      </c>
      <c r="S388" s="4"/>
      <c r="T388" s="4" t="s">
        <v>105</v>
      </c>
      <c r="U388" s="4" t="s">
        <v>106</v>
      </c>
      <c r="V388" s="4" t="s">
        <v>107</v>
      </c>
      <c r="W388" s="4">
        <v>3075</v>
      </c>
      <c r="X388" s="4" t="s">
        <v>42</v>
      </c>
      <c r="Y388" s="4"/>
      <c r="Z388" s="4"/>
      <c r="AA388" s="4"/>
      <c r="AB388" s="4"/>
      <c r="AC388" s="4" t="s">
        <v>44</v>
      </c>
      <c r="AD388" s="4" t="s">
        <v>45</v>
      </c>
    </row>
    <row r="389" spans="1:30">
      <c r="A389" s="4" t="s">
        <v>30</v>
      </c>
      <c r="B389" s="4"/>
      <c r="C389" s="4">
        <v>212203</v>
      </c>
      <c r="D389" s="4" t="s">
        <v>99</v>
      </c>
      <c r="E389" s="13" t="s">
        <v>1211</v>
      </c>
      <c r="F389" s="4" t="s">
        <v>1212</v>
      </c>
      <c r="G389" s="4">
        <v>0</v>
      </c>
      <c r="H389" s="4" t="s">
        <v>1213</v>
      </c>
      <c r="I389" s="5">
        <v>45095</v>
      </c>
      <c r="J389" s="5">
        <v>45460</v>
      </c>
      <c r="K389" s="4" t="s">
        <v>199</v>
      </c>
      <c r="L389" s="4" t="s">
        <v>200</v>
      </c>
      <c r="M389" s="7">
        <v>9410</v>
      </c>
      <c r="N389" s="16">
        <v>13.390010626992561</v>
      </c>
      <c r="O389" s="6">
        <v>1260</v>
      </c>
      <c r="P389" s="4" t="s">
        <v>37</v>
      </c>
      <c r="Q389" s="1">
        <v>443827</v>
      </c>
      <c r="R389" s="4" t="s">
        <v>38</v>
      </c>
      <c r="S389" s="4"/>
      <c r="T389" s="4" t="s">
        <v>105</v>
      </c>
      <c r="U389" s="4" t="s">
        <v>106</v>
      </c>
      <c r="V389" s="4" t="s">
        <v>107</v>
      </c>
      <c r="W389" s="4">
        <v>3075</v>
      </c>
      <c r="X389" s="4" t="s">
        <v>42</v>
      </c>
      <c r="Y389" s="4"/>
      <c r="Z389" s="4"/>
      <c r="AA389" s="4" t="s">
        <v>201</v>
      </c>
      <c r="AB389" s="4"/>
      <c r="AC389" s="4" t="s">
        <v>185</v>
      </c>
      <c r="AD389" s="4" t="s">
        <v>45</v>
      </c>
    </row>
    <row r="390" spans="1:30">
      <c r="A390" s="4" t="s">
        <v>30</v>
      </c>
      <c r="B390" s="4"/>
      <c r="C390" s="4">
        <v>212203</v>
      </c>
      <c r="D390" s="4" t="s">
        <v>99</v>
      </c>
      <c r="E390" s="13" t="s">
        <v>1214</v>
      </c>
      <c r="F390" s="4" t="s">
        <v>1215</v>
      </c>
      <c r="G390" s="4">
        <v>0</v>
      </c>
      <c r="H390" s="4" t="s">
        <v>1216</v>
      </c>
      <c r="I390" s="5">
        <v>45095</v>
      </c>
      <c r="J390" s="5">
        <v>45460</v>
      </c>
      <c r="K390" s="4" t="s">
        <v>199</v>
      </c>
      <c r="L390" s="4" t="s">
        <v>200</v>
      </c>
      <c r="M390" s="7">
        <v>9647</v>
      </c>
      <c r="N390" s="16">
        <v>13.434228257489375</v>
      </c>
      <c r="O390" s="6">
        <v>1296</v>
      </c>
      <c r="P390" s="4" t="s">
        <v>37</v>
      </c>
      <c r="Q390" s="1">
        <v>443825</v>
      </c>
      <c r="R390" s="4" t="s">
        <v>38</v>
      </c>
      <c r="S390" s="4"/>
      <c r="T390" s="4" t="s">
        <v>105</v>
      </c>
      <c r="U390" s="4" t="s">
        <v>106</v>
      </c>
      <c r="V390" s="4" t="s">
        <v>107</v>
      </c>
      <c r="W390" s="4">
        <v>3075</v>
      </c>
      <c r="X390" s="4" t="s">
        <v>42</v>
      </c>
      <c r="Y390" s="4"/>
      <c r="Z390" s="4"/>
      <c r="AA390" s="4" t="s">
        <v>201</v>
      </c>
      <c r="AB390" s="4"/>
      <c r="AC390" s="4" t="s">
        <v>185</v>
      </c>
      <c r="AD390" s="4" t="s">
        <v>45</v>
      </c>
    </row>
    <row r="391" spans="1:30">
      <c r="A391" s="4" t="s">
        <v>30</v>
      </c>
      <c r="B391" s="4"/>
      <c r="C391" s="4">
        <v>215600</v>
      </c>
      <c r="D391" s="4" t="s">
        <v>129</v>
      </c>
      <c r="E391" s="13" t="s">
        <v>1217</v>
      </c>
      <c r="F391" s="4" t="s">
        <v>1218</v>
      </c>
      <c r="G391" s="4">
        <v>0</v>
      </c>
      <c r="H391" s="4" t="s">
        <v>441</v>
      </c>
      <c r="I391" s="5">
        <v>45093</v>
      </c>
      <c r="J391" s="5">
        <v>45458</v>
      </c>
      <c r="K391" s="4" t="s">
        <v>442</v>
      </c>
      <c r="L391" s="4" t="s">
        <v>443</v>
      </c>
      <c r="M391" s="7">
        <v>78419</v>
      </c>
      <c r="N391" s="16">
        <v>7.9993368953952482</v>
      </c>
      <c r="O391" s="6">
        <v>6273</v>
      </c>
      <c r="P391" s="4" t="s">
        <v>37</v>
      </c>
      <c r="Q391" s="1" t="s">
        <v>52</v>
      </c>
      <c r="R391" s="4" t="s">
        <v>52</v>
      </c>
      <c r="S391" s="4"/>
      <c r="T391" s="4" t="s">
        <v>105</v>
      </c>
      <c r="U391" s="4" t="s">
        <v>444</v>
      </c>
      <c r="V391" s="4" t="s">
        <v>136</v>
      </c>
      <c r="W391" s="4">
        <v>3076</v>
      </c>
      <c r="X391" s="4" t="s">
        <v>42</v>
      </c>
      <c r="Y391" s="4"/>
      <c r="Z391" s="4" t="s">
        <v>117</v>
      </c>
      <c r="AA391" s="4"/>
      <c r="AB391" s="4"/>
      <c r="AC391" s="4" t="s">
        <v>52</v>
      </c>
      <c r="AD391" s="4" t="s">
        <v>45</v>
      </c>
    </row>
    <row r="392" spans="1:30">
      <c r="A392" s="4" t="s">
        <v>30</v>
      </c>
      <c r="B392" s="4"/>
      <c r="C392" s="4">
        <v>212203</v>
      </c>
      <c r="D392" s="4" t="s">
        <v>99</v>
      </c>
      <c r="E392" s="13" t="s">
        <v>1219</v>
      </c>
      <c r="F392" s="4" t="s">
        <v>1220</v>
      </c>
      <c r="G392" s="4">
        <v>0</v>
      </c>
      <c r="H392" s="4" t="s">
        <v>198</v>
      </c>
      <c r="I392" s="5">
        <v>45084</v>
      </c>
      <c r="J392" s="5">
        <v>45449</v>
      </c>
      <c r="K392" s="4" t="s">
        <v>199</v>
      </c>
      <c r="L392" s="4" t="s">
        <v>200</v>
      </c>
      <c r="M392" s="7">
        <v>3690</v>
      </c>
      <c r="N392" s="16">
        <v>10.894308943089431</v>
      </c>
      <c r="O392" s="6">
        <v>402</v>
      </c>
      <c r="P392" s="4" t="s">
        <v>37</v>
      </c>
      <c r="Q392" s="1">
        <v>443800</v>
      </c>
      <c r="R392" s="4" t="s">
        <v>38</v>
      </c>
      <c r="S392" s="4"/>
      <c r="T392" s="4" t="s">
        <v>105</v>
      </c>
      <c r="U392" s="4" t="s">
        <v>106</v>
      </c>
      <c r="V392" s="4" t="s">
        <v>107</v>
      </c>
      <c r="W392" s="4">
        <v>3075</v>
      </c>
      <c r="X392" s="4" t="s">
        <v>42</v>
      </c>
      <c r="Y392" s="4"/>
      <c r="Z392" s="4"/>
      <c r="AA392" s="4" t="s">
        <v>201</v>
      </c>
      <c r="AB392" s="4"/>
      <c r="AC392" s="4" t="s">
        <v>185</v>
      </c>
      <c r="AD392" s="4" t="s">
        <v>45</v>
      </c>
    </row>
    <row r="393" spans="1:30">
      <c r="A393" s="4" t="s">
        <v>30</v>
      </c>
      <c r="B393" s="4"/>
      <c r="C393" s="4">
        <v>212203</v>
      </c>
      <c r="D393" s="4" t="s">
        <v>99</v>
      </c>
      <c r="E393" s="13" t="s">
        <v>1221</v>
      </c>
      <c r="F393" s="4" t="s">
        <v>1222</v>
      </c>
      <c r="G393" s="4">
        <v>0</v>
      </c>
      <c r="H393" s="4" t="s">
        <v>198</v>
      </c>
      <c r="I393" s="5">
        <v>45084</v>
      </c>
      <c r="J393" s="5">
        <v>45449</v>
      </c>
      <c r="K393" s="4" t="s">
        <v>199</v>
      </c>
      <c r="L393" s="4" t="s">
        <v>200</v>
      </c>
      <c r="M393" s="7">
        <v>8955</v>
      </c>
      <c r="N393" s="16">
        <v>13.310999441652708</v>
      </c>
      <c r="O393" s="6">
        <v>1192</v>
      </c>
      <c r="P393" s="4" t="s">
        <v>37</v>
      </c>
      <c r="Q393" s="1">
        <v>443812</v>
      </c>
      <c r="R393" s="4" t="s">
        <v>38</v>
      </c>
      <c r="S393" s="4"/>
      <c r="T393" s="4" t="s">
        <v>105</v>
      </c>
      <c r="U393" s="4" t="s">
        <v>106</v>
      </c>
      <c r="V393" s="4" t="s">
        <v>107</v>
      </c>
      <c r="W393" s="4">
        <v>3075</v>
      </c>
      <c r="X393" s="4" t="s">
        <v>42</v>
      </c>
      <c r="Y393" s="4"/>
      <c r="Z393" s="4"/>
      <c r="AA393" s="4" t="s">
        <v>201</v>
      </c>
      <c r="AB393" s="4"/>
      <c r="AC393" s="4" t="s">
        <v>185</v>
      </c>
      <c r="AD393" s="4" t="s">
        <v>45</v>
      </c>
    </row>
    <row r="394" spans="1:30">
      <c r="A394" s="4" t="s">
        <v>30</v>
      </c>
      <c r="B394" s="4"/>
      <c r="C394" s="4">
        <v>411400</v>
      </c>
      <c r="D394" s="4" t="s">
        <v>497</v>
      </c>
      <c r="E394" s="13" t="s">
        <v>1223</v>
      </c>
      <c r="F394" s="4" t="s">
        <v>499</v>
      </c>
      <c r="G394" s="4">
        <v>4</v>
      </c>
      <c r="H394" s="4" t="s">
        <v>500</v>
      </c>
      <c r="I394" s="5">
        <v>44964</v>
      </c>
      <c r="J394" s="5">
        <v>45328</v>
      </c>
      <c r="K394" s="4" t="s">
        <v>384</v>
      </c>
      <c r="L394" s="4" t="s">
        <v>385</v>
      </c>
      <c r="M394" s="7">
        <v>500</v>
      </c>
      <c r="N394" s="16">
        <v>7.5</v>
      </c>
      <c r="O394" s="6">
        <v>37.5</v>
      </c>
      <c r="P394" s="4" t="s">
        <v>151</v>
      </c>
      <c r="Q394" s="1">
        <v>416843</v>
      </c>
      <c r="R394" s="4" t="s">
        <v>52</v>
      </c>
      <c r="S394" s="4"/>
      <c r="T394" s="4" t="s">
        <v>337</v>
      </c>
      <c r="U394" s="4" t="s">
        <v>501</v>
      </c>
      <c r="V394" s="4" t="s">
        <v>502</v>
      </c>
      <c r="W394" s="4">
        <v>3099</v>
      </c>
      <c r="X394" s="4" t="s">
        <v>42</v>
      </c>
      <c r="Y394" s="4"/>
      <c r="Z394" s="4"/>
      <c r="AA394" s="4"/>
      <c r="AB394" s="4"/>
      <c r="AC394" s="4" t="s">
        <v>52</v>
      </c>
      <c r="AD394" s="4" t="s">
        <v>45</v>
      </c>
    </row>
    <row r="395" spans="1:30">
      <c r="A395" s="4" t="s">
        <v>30</v>
      </c>
      <c r="B395" s="4"/>
      <c r="C395" s="4">
        <v>510000</v>
      </c>
      <c r="D395" s="4" t="s">
        <v>46</v>
      </c>
      <c r="E395" s="13" t="s">
        <v>1224</v>
      </c>
      <c r="F395" s="4" t="s">
        <v>1225</v>
      </c>
      <c r="G395" s="4">
        <v>2</v>
      </c>
      <c r="H395" s="4" t="s">
        <v>1226</v>
      </c>
      <c r="I395" s="5">
        <v>44964</v>
      </c>
      <c r="J395" s="5">
        <v>45291</v>
      </c>
      <c r="K395" s="4" t="s">
        <v>50</v>
      </c>
      <c r="L395" s="4" t="s">
        <v>51</v>
      </c>
      <c r="M395" s="7">
        <v>7869</v>
      </c>
      <c r="N395" s="16">
        <v>5</v>
      </c>
      <c r="O395" s="6">
        <v>393.45</v>
      </c>
      <c r="P395" s="4" t="s">
        <v>37</v>
      </c>
      <c r="Q395" s="1">
        <v>429715</v>
      </c>
      <c r="R395" s="4" t="s">
        <v>52</v>
      </c>
      <c r="S395" s="4"/>
      <c r="T395" s="4" t="s">
        <v>53</v>
      </c>
      <c r="U395" s="4" t="s">
        <v>54</v>
      </c>
      <c r="V395" s="4" t="s">
        <v>55</v>
      </c>
      <c r="W395" s="4">
        <v>3081</v>
      </c>
      <c r="X395" s="4" t="s">
        <v>42</v>
      </c>
      <c r="Y395" s="4"/>
      <c r="Z395" s="4"/>
      <c r="AA395" s="4"/>
      <c r="AB395" s="4"/>
      <c r="AC395" s="4" t="s">
        <v>52</v>
      </c>
      <c r="AD395" s="4" t="s">
        <v>45</v>
      </c>
    </row>
    <row r="396" spans="1:30">
      <c r="A396" s="4" t="s">
        <v>30</v>
      </c>
      <c r="B396" s="4"/>
      <c r="C396" s="4">
        <v>212203</v>
      </c>
      <c r="D396" s="4" t="s">
        <v>99</v>
      </c>
      <c r="E396" s="13" t="s">
        <v>1227</v>
      </c>
      <c r="F396" s="4" t="s">
        <v>1228</v>
      </c>
      <c r="G396" s="4">
        <v>0</v>
      </c>
      <c r="H396" s="4" t="s">
        <v>221</v>
      </c>
      <c r="I396" s="5">
        <v>45099</v>
      </c>
      <c r="J396" s="5">
        <v>45464</v>
      </c>
      <c r="K396" s="4" t="s">
        <v>199</v>
      </c>
      <c r="L396" s="4" t="s">
        <v>200</v>
      </c>
      <c r="M396" s="7">
        <v>8522</v>
      </c>
      <c r="N396" s="16">
        <v>13.224595165454119</v>
      </c>
      <c r="O396" s="6">
        <v>1127</v>
      </c>
      <c r="P396" s="4" t="s">
        <v>37</v>
      </c>
      <c r="Q396" s="1">
        <v>443831</v>
      </c>
      <c r="R396" s="4" t="s">
        <v>38</v>
      </c>
      <c r="S396" s="4"/>
      <c r="T396" s="4" t="s">
        <v>105</v>
      </c>
      <c r="U396" s="4" t="s">
        <v>106</v>
      </c>
      <c r="V396" s="4" t="s">
        <v>107</v>
      </c>
      <c r="W396" s="4">
        <v>3075</v>
      </c>
      <c r="X396" s="4" t="s">
        <v>42</v>
      </c>
      <c r="Y396" s="4"/>
      <c r="Z396" s="4"/>
      <c r="AA396" s="4" t="s">
        <v>201</v>
      </c>
      <c r="AB396" s="4"/>
      <c r="AC396" s="4" t="s">
        <v>185</v>
      </c>
      <c r="AD396" s="4" t="s">
        <v>45</v>
      </c>
    </row>
    <row r="397" spans="1:30">
      <c r="A397" s="4" t="s">
        <v>30</v>
      </c>
      <c r="B397" s="4"/>
      <c r="C397" s="4">
        <v>215600</v>
      </c>
      <c r="D397" s="4" t="s">
        <v>129</v>
      </c>
      <c r="E397" s="13" t="s">
        <v>1229</v>
      </c>
      <c r="F397" s="4" t="s">
        <v>1230</v>
      </c>
      <c r="G397" s="4">
        <v>0</v>
      </c>
      <c r="H397" s="4" t="s">
        <v>1231</v>
      </c>
      <c r="I397" s="5">
        <v>45104</v>
      </c>
      <c r="J397" s="5">
        <v>45469</v>
      </c>
      <c r="K397" s="4" t="s">
        <v>623</v>
      </c>
      <c r="L397" s="4" t="s">
        <v>624</v>
      </c>
      <c r="M397" s="7">
        <v>250</v>
      </c>
      <c r="N397" s="16">
        <v>12.4</v>
      </c>
      <c r="O397" s="6">
        <v>31</v>
      </c>
      <c r="P397" s="4" t="s">
        <v>37</v>
      </c>
      <c r="Q397" s="1" t="s">
        <v>52</v>
      </c>
      <c r="R397" s="4" t="s">
        <v>52</v>
      </c>
      <c r="S397" s="4"/>
      <c r="T397" s="14" t="s">
        <v>227</v>
      </c>
      <c r="U397" s="14" t="s">
        <v>228</v>
      </c>
      <c r="V397" s="4" t="s">
        <v>136</v>
      </c>
      <c r="W397" s="4">
        <v>3076</v>
      </c>
      <c r="X397" s="4" t="s">
        <v>42</v>
      </c>
      <c r="Y397" s="4">
        <v>220507</v>
      </c>
      <c r="Z397" s="4" t="s">
        <v>89</v>
      </c>
      <c r="AA397" s="4"/>
      <c r="AB397" s="4"/>
      <c r="AC397" s="4" t="s">
        <v>90</v>
      </c>
      <c r="AD397" s="4" t="s">
        <v>45</v>
      </c>
    </row>
    <row r="398" spans="1:30">
      <c r="A398" s="4" t="s">
        <v>30</v>
      </c>
      <c r="B398" s="4"/>
      <c r="C398" s="4">
        <v>540000</v>
      </c>
      <c r="D398" s="4" t="s">
        <v>56</v>
      </c>
      <c r="E398" s="13" t="s">
        <v>1232</v>
      </c>
      <c r="F398" s="4" t="s">
        <v>1233</v>
      </c>
      <c r="G398" s="4">
        <v>0</v>
      </c>
      <c r="H398" s="4" t="s">
        <v>869</v>
      </c>
      <c r="I398" s="5">
        <v>45096</v>
      </c>
      <c r="J398" s="5">
        <v>45461</v>
      </c>
      <c r="K398" s="4" t="s">
        <v>35</v>
      </c>
      <c r="L398" s="4" t="s">
        <v>36</v>
      </c>
      <c r="M398" s="7">
        <v>13980</v>
      </c>
      <c r="N398" s="16">
        <v>19.206008583690984</v>
      </c>
      <c r="O398" s="6">
        <v>2685</v>
      </c>
      <c r="P398" s="4" t="s">
        <v>60</v>
      </c>
      <c r="Q398" s="1">
        <v>431523</v>
      </c>
      <c r="R398" s="4" t="s">
        <v>38</v>
      </c>
      <c r="S398" s="4"/>
      <c r="T398" s="4" t="s">
        <v>870</v>
      </c>
      <c r="U398" s="4" t="s">
        <v>871</v>
      </c>
      <c r="V398" s="4" t="s">
        <v>64</v>
      </c>
      <c r="W398" s="4">
        <v>3123</v>
      </c>
      <c r="X398" s="4" t="s">
        <v>42</v>
      </c>
      <c r="Y398" s="4"/>
      <c r="Z398" s="4"/>
      <c r="AA398" s="4" t="s">
        <v>184</v>
      </c>
      <c r="AB398" s="4"/>
      <c r="AC398" s="4" t="s">
        <v>185</v>
      </c>
      <c r="AD398" s="4" t="s">
        <v>45</v>
      </c>
    </row>
    <row r="399" spans="1:30">
      <c r="A399" s="4" t="s">
        <v>30</v>
      </c>
      <c r="B399" s="4"/>
      <c r="C399" s="4">
        <v>540000</v>
      </c>
      <c r="D399" s="4" t="s">
        <v>56</v>
      </c>
      <c r="E399" s="13" t="s">
        <v>1234</v>
      </c>
      <c r="F399" s="4" t="s">
        <v>1235</v>
      </c>
      <c r="G399" s="4">
        <v>10</v>
      </c>
      <c r="H399" s="4" t="s">
        <v>1236</v>
      </c>
      <c r="I399" s="5">
        <v>44716</v>
      </c>
      <c r="J399" s="5">
        <v>45080</v>
      </c>
      <c r="K399" s="4" t="s">
        <v>50</v>
      </c>
      <c r="L399" s="4" t="s">
        <v>51</v>
      </c>
      <c r="M399" s="7">
        <v>4391</v>
      </c>
      <c r="N399" s="16">
        <v>7.0000000000000009</v>
      </c>
      <c r="O399" s="6">
        <v>307.37</v>
      </c>
      <c r="P399" s="4" t="s">
        <v>60</v>
      </c>
      <c r="Q399" s="1">
        <v>406954</v>
      </c>
      <c r="R399" s="4" t="s">
        <v>52</v>
      </c>
      <c r="S399" s="4"/>
      <c r="T399" s="4" t="s">
        <v>759</v>
      </c>
      <c r="U399" s="4" t="s">
        <v>371</v>
      </c>
      <c r="V399" s="4" t="s">
        <v>64</v>
      </c>
      <c r="W399" s="4">
        <v>3123</v>
      </c>
      <c r="X399" s="4" t="s">
        <v>42</v>
      </c>
      <c r="Y399" s="4"/>
      <c r="Z399" s="4"/>
      <c r="AA399" s="4"/>
      <c r="AB399" s="4"/>
      <c r="AC399" s="4" t="s">
        <v>52</v>
      </c>
      <c r="AD399" s="4" t="s">
        <v>45</v>
      </c>
    </row>
    <row r="400" spans="1:30">
      <c r="A400" s="4" t="s">
        <v>30</v>
      </c>
      <c r="B400" s="4"/>
      <c r="C400" s="4">
        <v>212203</v>
      </c>
      <c r="D400" s="4" t="s">
        <v>99</v>
      </c>
      <c r="E400" s="13" t="s">
        <v>1237</v>
      </c>
      <c r="F400" s="4" t="s">
        <v>1238</v>
      </c>
      <c r="G400" s="4">
        <v>1</v>
      </c>
      <c r="H400" s="4" t="s">
        <v>1239</v>
      </c>
      <c r="I400" s="5">
        <v>45017</v>
      </c>
      <c r="J400" s="5">
        <v>45382</v>
      </c>
      <c r="K400" s="4" t="s">
        <v>1240</v>
      </c>
      <c r="L400" s="4" t="s">
        <v>1241</v>
      </c>
      <c r="M400" s="7">
        <v>222</v>
      </c>
      <c r="N400" s="16">
        <v>9.9999999999999982</v>
      </c>
      <c r="O400" s="6">
        <v>22.2</v>
      </c>
      <c r="P400" s="4" t="s">
        <v>37</v>
      </c>
      <c r="Q400" s="1" t="s">
        <v>52</v>
      </c>
      <c r="R400" s="4" t="s">
        <v>52</v>
      </c>
      <c r="S400" s="4"/>
      <c r="T400" s="4" t="s">
        <v>1242</v>
      </c>
      <c r="U400" s="4" t="s">
        <v>1243</v>
      </c>
      <c r="V400" s="4" t="s">
        <v>107</v>
      </c>
      <c r="W400" s="4">
        <v>3075</v>
      </c>
      <c r="X400" s="4" t="s">
        <v>42</v>
      </c>
      <c r="Y400" s="4"/>
      <c r="Z400" s="4"/>
      <c r="AA400" s="4"/>
      <c r="AB400" s="4"/>
      <c r="AC400" s="4" t="s">
        <v>52</v>
      </c>
      <c r="AD400" s="4" t="s">
        <v>45</v>
      </c>
    </row>
    <row r="401" spans="1:30">
      <c r="A401" s="4" t="s">
        <v>30</v>
      </c>
      <c r="B401" s="4"/>
      <c r="C401" s="4">
        <v>421100</v>
      </c>
      <c r="D401" s="4" t="s">
        <v>400</v>
      </c>
      <c r="E401" s="13" t="s">
        <v>1244</v>
      </c>
      <c r="F401" s="4" t="s">
        <v>1192</v>
      </c>
      <c r="G401" s="4">
        <v>11</v>
      </c>
      <c r="H401" s="4" t="s">
        <v>1193</v>
      </c>
      <c r="I401" s="5">
        <v>44845</v>
      </c>
      <c r="J401" s="5">
        <v>45209</v>
      </c>
      <c r="K401" s="4" t="s">
        <v>50</v>
      </c>
      <c r="L401" s="4" t="s">
        <v>51</v>
      </c>
      <c r="M401" s="7">
        <v>-6407</v>
      </c>
      <c r="N401" s="16">
        <v>0</v>
      </c>
      <c r="O401" s="6">
        <v>0</v>
      </c>
      <c r="P401" s="4" t="s">
        <v>125</v>
      </c>
      <c r="Q401" s="1" t="s">
        <v>52</v>
      </c>
      <c r="R401" s="4" t="s">
        <v>52</v>
      </c>
      <c r="S401" s="4"/>
      <c r="T401" s="4" t="s">
        <v>404</v>
      </c>
      <c r="U401" s="4" t="s">
        <v>1194</v>
      </c>
      <c r="V401" s="4" t="s">
        <v>406</v>
      </c>
      <c r="W401" s="4">
        <v>3065</v>
      </c>
      <c r="X401" s="4" t="s">
        <v>42</v>
      </c>
      <c r="Y401" s="4"/>
      <c r="Z401" s="4"/>
      <c r="AA401" s="4"/>
      <c r="AB401" s="4"/>
      <c r="AC401" s="4" t="s">
        <v>52</v>
      </c>
      <c r="AD401" s="4" t="s">
        <v>45</v>
      </c>
    </row>
    <row r="402" spans="1:30">
      <c r="A402" s="4" t="s">
        <v>30</v>
      </c>
      <c r="B402" s="4"/>
      <c r="C402" s="4">
        <v>510000</v>
      </c>
      <c r="D402" s="4" t="s">
        <v>46</v>
      </c>
      <c r="E402" s="13" t="s">
        <v>1245</v>
      </c>
      <c r="F402" s="4" t="s">
        <v>863</v>
      </c>
      <c r="G402" s="4">
        <v>1</v>
      </c>
      <c r="H402" s="4" t="s">
        <v>864</v>
      </c>
      <c r="I402" s="5">
        <v>44977</v>
      </c>
      <c r="J402" s="5">
        <v>45341</v>
      </c>
      <c r="K402" s="4" t="s">
        <v>50</v>
      </c>
      <c r="L402" s="4" t="s">
        <v>51</v>
      </c>
      <c r="M402" s="7">
        <v>142293</v>
      </c>
      <c r="N402" s="16">
        <v>7.5000035138762966</v>
      </c>
      <c r="O402" s="6">
        <v>10671.98</v>
      </c>
      <c r="P402" s="4" t="s">
        <v>37</v>
      </c>
      <c r="Q402" s="1">
        <v>440259</v>
      </c>
      <c r="R402" s="4" t="s">
        <v>52</v>
      </c>
      <c r="S402" s="4"/>
      <c r="T402" s="4" t="s">
        <v>165</v>
      </c>
      <c r="U402" s="4" t="s">
        <v>576</v>
      </c>
      <c r="V402" s="4" t="s">
        <v>55</v>
      </c>
      <c r="W402" s="4">
        <v>3081</v>
      </c>
      <c r="X402" s="4" t="s">
        <v>42</v>
      </c>
      <c r="Y402" s="4"/>
      <c r="Z402" s="4"/>
      <c r="AA402" s="4"/>
      <c r="AB402" s="4"/>
      <c r="AC402" s="4" t="s">
        <v>52</v>
      </c>
      <c r="AD402" s="4" t="s">
        <v>45</v>
      </c>
    </row>
    <row r="403" spans="1:30">
      <c r="A403" s="4" t="s">
        <v>30</v>
      </c>
      <c r="B403" s="4"/>
      <c r="C403" s="4">
        <v>540000</v>
      </c>
      <c r="D403" s="4" t="s">
        <v>56</v>
      </c>
      <c r="E403" s="13" t="s">
        <v>1246</v>
      </c>
      <c r="F403" s="4" t="s">
        <v>1173</v>
      </c>
      <c r="G403" s="4">
        <v>9</v>
      </c>
      <c r="H403" s="4" t="s">
        <v>59</v>
      </c>
      <c r="I403" s="5">
        <v>44685</v>
      </c>
      <c r="J403" s="5">
        <v>45049</v>
      </c>
      <c r="K403" s="4" t="s">
        <v>384</v>
      </c>
      <c r="L403" s="4" t="s">
        <v>385</v>
      </c>
      <c r="M403" s="7">
        <v>-4</v>
      </c>
      <c r="N403" s="16">
        <v>0</v>
      </c>
      <c r="O403" s="6">
        <v>0</v>
      </c>
      <c r="P403" s="4" t="s">
        <v>60</v>
      </c>
      <c r="Q403" s="1">
        <v>389831</v>
      </c>
      <c r="R403" s="4" t="s">
        <v>61</v>
      </c>
      <c r="S403" s="4"/>
      <c r="T403" s="4" t="s">
        <v>62</v>
      </c>
      <c r="U403" s="4" t="s">
        <v>63</v>
      </c>
      <c r="V403" s="4" t="s">
        <v>64</v>
      </c>
      <c r="W403" s="4">
        <v>3123</v>
      </c>
      <c r="X403" s="4" t="s">
        <v>42</v>
      </c>
      <c r="Y403" s="4"/>
      <c r="Z403" s="4"/>
      <c r="AA403" s="4"/>
      <c r="AB403" s="4"/>
      <c r="AC403" s="4" t="s">
        <v>143</v>
      </c>
      <c r="AD403" s="4" t="s">
        <v>45</v>
      </c>
    </row>
    <row r="404" spans="1:30">
      <c r="A404" s="4" t="s">
        <v>30</v>
      </c>
      <c r="B404" s="4"/>
      <c r="C404" s="4">
        <v>111200</v>
      </c>
      <c r="D404" s="4" t="s">
        <v>688</v>
      </c>
      <c r="E404" s="13" t="s">
        <v>1247</v>
      </c>
      <c r="F404" s="4" t="s">
        <v>1248</v>
      </c>
      <c r="G404" s="4">
        <v>0</v>
      </c>
      <c r="H404" s="4" t="s">
        <v>1249</v>
      </c>
      <c r="I404" s="5">
        <v>45103</v>
      </c>
      <c r="J404" s="5">
        <v>45468</v>
      </c>
      <c r="K404" s="4" t="s">
        <v>270</v>
      </c>
      <c r="L404" s="4" t="s">
        <v>271</v>
      </c>
      <c r="M404" s="7">
        <v>26390</v>
      </c>
      <c r="N404" s="16">
        <v>16.49867374005305</v>
      </c>
      <c r="O404" s="6">
        <v>4354</v>
      </c>
      <c r="P404" s="4" t="s">
        <v>95</v>
      </c>
      <c r="Q404" s="1">
        <v>442011</v>
      </c>
      <c r="R404" s="4" t="s">
        <v>38</v>
      </c>
      <c r="S404" s="4"/>
      <c r="T404" s="4" t="s">
        <v>74</v>
      </c>
      <c r="U404" s="4" t="s">
        <v>272</v>
      </c>
      <c r="V404" s="4" t="s">
        <v>692</v>
      </c>
      <c r="W404" s="4">
        <v>3085</v>
      </c>
      <c r="X404" s="4" t="s">
        <v>42</v>
      </c>
      <c r="Y404" s="4"/>
      <c r="Z404" s="4"/>
      <c r="AA404" s="4"/>
      <c r="AB404" s="4" t="s">
        <v>43</v>
      </c>
      <c r="AC404" s="4" t="s">
        <v>44</v>
      </c>
      <c r="AD404" s="4" t="s">
        <v>45</v>
      </c>
    </row>
    <row r="405" spans="1:30">
      <c r="A405" s="4" t="s">
        <v>30</v>
      </c>
      <c r="B405" s="4"/>
      <c r="C405" s="4">
        <v>510000</v>
      </c>
      <c r="D405" s="4" t="s">
        <v>46</v>
      </c>
      <c r="E405" s="13" t="s">
        <v>1250</v>
      </c>
      <c r="F405" s="4" t="s">
        <v>1251</v>
      </c>
      <c r="G405" s="4">
        <v>0</v>
      </c>
      <c r="H405" s="4" t="s">
        <v>379</v>
      </c>
      <c r="I405" s="5">
        <v>45078</v>
      </c>
      <c r="J405" s="5">
        <v>45443</v>
      </c>
      <c r="K405" s="4" t="s">
        <v>85</v>
      </c>
      <c r="L405" s="4" t="s">
        <v>86</v>
      </c>
      <c r="M405" s="7">
        <v>225273</v>
      </c>
      <c r="N405" s="16">
        <v>14.739449467978853</v>
      </c>
      <c r="O405" s="6">
        <v>33204</v>
      </c>
      <c r="P405" s="4" t="s">
        <v>37</v>
      </c>
      <c r="Q405" s="1" t="s">
        <v>52</v>
      </c>
      <c r="R405" s="4" t="s">
        <v>52</v>
      </c>
      <c r="S405" s="4"/>
      <c r="T405" s="4" t="s">
        <v>87</v>
      </c>
      <c r="U405" s="4" t="s">
        <v>88</v>
      </c>
      <c r="V405" s="4" t="s">
        <v>55</v>
      </c>
      <c r="W405" s="4">
        <v>3081</v>
      </c>
      <c r="X405" s="4" t="s">
        <v>42</v>
      </c>
      <c r="Y405" s="4"/>
      <c r="Z405" s="4" t="s">
        <v>117</v>
      </c>
      <c r="AA405" s="4"/>
      <c r="AB405" s="4"/>
      <c r="AC405" s="4" t="s">
        <v>52</v>
      </c>
      <c r="AD405" s="4" t="s">
        <v>45</v>
      </c>
    </row>
    <row r="406" spans="1:30">
      <c r="A406" s="4" t="s">
        <v>30</v>
      </c>
      <c r="B406" s="4"/>
      <c r="C406" s="4">
        <v>411400</v>
      </c>
      <c r="D406" s="4" t="s">
        <v>497</v>
      </c>
      <c r="E406" s="13" t="s">
        <v>1252</v>
      </c>
      <c r="F406" s="4" t="s">
        <v>499</v>
      </c>
      <c r="G406" s="4">
        <v>3</v>
      </c>
      <c r="H406" s="4" t="s">
        <v>500</v>
      </c>
      <c r="I406" s="5">
        <v>44964</v>
      </c>
      <c r="J406" s="5">
        <v>45328</v>
      </c>
      <c r="K406" s="4" t="s">
        <v>384</v>
      </c>
      <c r="L406" s="4" t="s">
        <v>385</v>
      </c>
      <c r="M406" s="7">
        <v>-360</v>
      </c>
      <c r="N406" s="16">
        <v>7.5</v>
      </c>
      <c r="O406" s="6">
        <v>-27</v>
      </c>
      <c r="P406" s="4" t="s">
        <v>151</v>
      </c>
      <c r="Q406" s="1">
        <v>416843</v>
      </c>
      <c r="R406" s="4" t="s">
        <v>52</v>
      </c>
      <c r="S406" s="4"/>
      <c r="T406" s="4" t="s">
        <v>337</v>
      </c>
      <c r="U406" s="4" t="s">
        <v>501</v>
      </c>
      <c r="V406" s="4" t="s">
        <v>502</v>
      </c>
      <c r="W406" s="4">
        <v>3099</v>
      </c>
      <c r="X406" s="4" t="s">
        <v>42</v>
      </c>
      <c r="Y406" s="4"/>
      <c r="Z406" s="4"/>
      <c r="AA406" s="4"/>
      <c r="AB406" s="4"/>
      <c r="AC406" s="4" t="s">
        <v>52</v>
      </c>
      <c r="AD406" s="4" t="s">
        <v>45</v>
      </c>
    </row>
    <row r="407" spans="1:30">
      <c r="A407" s="4" t="s">
        <v>30</v>
      </c>
      <c r="B407" s="4"/>
      <c r="C407" s="4">
        <v>510000</v>
      </c>
      <c r="D407" s="4" t="s">
        <v>46</v>
      </c>
      <c r="E407" s="13" t="s">
        <v>1253</v>
      </c>
      <c r="F407" s="4" t="s">
        <v>1254</v>
      </c>
      <c r="G407" s="4">
        <v>2</v>
      </c>
      <c r="H407" s="4" t="s">
        <v>67</v>
      </c>
      <c r="I407" s="5">
        <v>44964</v>
      </c>
      <c r="J407" s="5">
        <v>45291</v>
      </c>
      <c r="K407" s="4" t="s">
        <v>384</v>
      </c>
      <c r="L407" s="4" t="s">
        <v>385</v>
      </c>
      <c r="M407" s="7">
        <v>2777</v>
      </c>
      <c r="N407" s="16">
        <v>7.4900972272236226</v>
      </c>
      <c r="O407" s="6">
        <v>208</v>
      </c>
      <c r="P407" s="4" t="s">
        <v>37</v>
      </c>
      <c r="Q407" s="1">
        <v>429604</v>
      </c>
      <c r="R407" s="4" t="s">
        <v>52</v>
      </c>
      <c r="S407" s="4"/>
      <c r="T407" s="4" t="s">
        <v>53</v>
      </c>
      <c r="U407" s="4" t="s">
        <v>54</v>
      </c>
      <c r="V407" s="4" t="s">
        <v>55</v>
      </c>
      <c r="W407" s="4">
        <v>3081</v>
      </c>
      <c r="X407" s="4" t="s">
        <v>42</v>
      </c>
      <c r="Y407" s="4"/>
      <c r="Z407" s="4"/>
      <c r="AA407" s="4"/>
      <c r="AB407" s="4"/>
      <c r="AC407" s="4" t="s">
        <v>52</v>
      </c>
      <c r="AD407" s="4" t="s">
        <v>45</v>
      </c>
    </row>
    <row r="408" spans="1:30">
      <c r="A408" s="4" t="s">
        <v>30</v>
      </c>
      <c r="B408" s="4"/>
      <c r="C408" s="4">
        <v>132000</v>
      </c>
      <c r="D408" s="4" t="s">
        <v>91</v>
      </c>
      <c r="E408" s="13" t="s">
        <v>1255</v>
      </c>
      <c r="F408" s="4" t="s">
        <v>1256</v>
      </c>
      <c r="G408" s="4">
        <v>3</v>
      </c>
      <c r="H408" s="4" t="s">
        <v>94</v>
      </c>
      <c r="I408" s="5">
        <v>44441</v>
      </c>
      <c r="J408" s="5">
        <v>44805</v>
      </c>
      <c r="K408" s="4" t="s">
        <v>326</v>
      </c>
      <c r="L408" s="4" t="s">
        <v>327</v>
      </c>
      <c r="M408" s="7">
        <v>-152434</v>
      </c>
      <c r="N408" s="16">
        <v>10.367765721558182</v>
      </c>
      <c r="O408" s="6">
        <v>-15804</v>
      </c>
      <c r="P408" s="4" t="s">
        <v>95</v>
      </c>
      <c r="Q408" s="1">
        <v>360460</v>
      </c>
      <c r="R408" s="4" t="s">
        <v>52</v>
      </c>
      <c r="S408" s="4"/>
      <c r="T408" s="4" t="s">
        <v>96</v>
      </c>
      <c r="U408" s="4" t="s">
        <v>97</v>
      </c>
      <c r="V408" s="4" t="s">
        <v>98</v>
      </c>
      <c r="W408" s="4">
        <v>3100</v>
      </c>
      <c r="X408" s="4" t="s">
        <v>42</v>
      </c>
      <c r="Y408" s="4"/>
      <c r="Z408" s="4"/>
      <c r="AA408" s="4"/>
      <c r="AB408" s="4"/>
      <c r="AC408" s="4" t="s">
        <v>52</v>
      </c>
      <c r="AD408" s="4" t="s">
        <v>45</v>
      </c>
    </row>
    <row r="409" spans="1:30">
      <c r="A409" s="4" t="s">
        <v>30</v>
      </c>
      <c r="B409" s="4"/>
      <c r="C409" s="4">
        <v>510000</v>
      </c>
      <c r="D409" s="4" t="s">
        <v>46</v>
      </c>
      <c r="E409" s="13" t="s">
        <v>1257</v>
      </c>
      <c r="F409" s="4" t="s">
        <v>1258</v>
      </c>
      <c r="G409" s="4">
        <v>0</v>
      </c>
      <c r="H409" s="4" t="s">
        <v>379</v>
      </c>
      <c r="I409" s="5">
        <v>45078</v>
      </c>
      <c r="J409" s="5">
        <v>45443</v>
      </c>
      <c r="K409" s="4" t="s">
        <v>1012</v>
      </c>
      <c r="L409" s="4" t="s">
        <v>1013</v>
      </c>
      <c r="M409" s="7">
        <v>270378</v>
      </c>
      <c r="N409" s="16">
        <v>16.499863154546595</v>
      </c>
      <c r="O409" s="6">
        <v>44612</v>
      </c>
      <c r="P409" s="4" t="s">
        <v>37</v>
      </c>
      <c r="Q409" s="1" t="s">
        <v>52</v>
      </c>
      <c r="R409" s="4" t="s">
        <v>52</v>
      </c>
      <c r="S409" s="4"/>
      <c r="T409" s="4" t="s">
        <v>87</v>
      </c>
      <c r="U409" s="4" t="s">
        <v>88</v>
      </c>
      <c r="V409" s="4" t="s">
        <v>55</v>
      </c>
      <c r="W409" s="4">
        <v>3081</v>
      </c>
      <c r="X409" s="4" t="s">
        <v>42</v>
      </c>
      <c r="Y409" s="4"/>
      <c r="Z409" s="4" t="s">
        <v>117</v>
      </c>
      <c r="AA409" s="4"/>
      <c r="AB409" s="4"/>
      <c r="AC409" s="4" t="s">
        <v>52</v>
      </c>
      <c r="AD409" s="4" t="s">
        <v>45</v>
      </c>
    </row>
    <row r="410" spans="1:30">
      <c r="A410" s="4" t="s">
        <v>30</v>
      </c>
      <c r="B410" s="4"/>
      <c r="C410" s="4">
        <v>212203</v>
      </c>
      <c r="D410" s="4" t="s">
        <v>99</v>
      </c>
      <c r="E410" s="13" t="s">
        <v>1259</v>
      </c>
      <c r="F410" s="4" t="s">
        <v>1260</v>
      </c>
      <c r="G410" s="4">
        <v>0</v>
      </c>
      <c r="H410" s="4" t="s">
        <v>221</v>
      </c>
      <c r="I410" s="5">
        <v>45099</v>
      </c>
      <c r="J410" s="5">
        <v>45464</v>
      </c>
      <c r="K410" s="4" t="s">
        <v>199</v>
      </c>
      <c r="L410" s="4" t="s">
        <v>200</v>
      </c>
      <c r="M410" s="7">
        <v>8522</v>
      </c>
      <c r="N410" s="16">
        <v>13.224595165454119</v>
      </c>
      <c r="O410" s="6">
        <v>1127</v>
      </c>
      <c r="P410" s="4" t="s">
        <v>37</v>
      </c>
      <c r="Q410" s="1">
        <v>443834</v>
      </c>
      <c r="R410" s="4" t="s">
        <v>38</v>
      </c>
      <c r="S410" s="4"/>
      <c r="T410" s="4" t="s">
        <v>105</v>
      </c>
      <c r="U410" s="4" t="s">
        <v>106</v>
      </c>
      <c r="V410" s="4" t="s">
        <v>107</v>
      </c>
      <c r="W410" s="4">
        <v>3075</v>
      </c>
      <c r="X410" s="4" t="s">
        <v>42</v>
      </c>
      <c r="Y410" s="4"/>
      <c r="Z410" s="4"/>
      <c r="AA410" s="4" t="s">
        <v>201</v>
      </c>
      <c r="AB410" s="4"/>
      <c r="AC410" s="4" t="s">
        <v>185</v>
      </c>
      <c r="AD410" s="4" t="s">
        <v>45</v>
      </c>
    </row>
    <row r="411" spans="1:30">
      <c r="A411" s="4" t="s">
        <v>30</v>
      </c>
      <c r="B411" s="4"/>
      <c r="C411" s="4">
        <v>212203</v>
      </c>
      <c r="D411" s="4" t="s">
        <v>99</v>
      </c>
      <c r="E411" s="13" t="s">
        <v>1261</v>
      </c>
      <c r="F411" s="4" t="s">
        <v>1262</v>
      </c>
      <c r="G411" s="4">
        <v>0</v>
      </c>
      <c r="H411" s="4" t="s">
        <v>265</v>
      </c>
      <c r="I411" s="5">
        <v>45082</v>
      </c>
      <c r="J411" s="5">
        <v>45447</v>
      </c>
      <c r="K411" s="4" t="s">
        <v>199</v>
      </c>
      <c r="L411" s="4" t="s">
        <v>200</v>
      </c>
      <c r="M411" s="7">
        <v>8759</v>
      </c>
      <c r="N411" s="16">
        <v>0</v>
      </c>
      <c r="O411" s="6">
        <v>0</v>
      </c>
      <c r="P411" s="4" t="s">
        <v>37</v>
      </c>
      <c r="Q411" s="1">
        <v>443794</v>
      </c>
      <c r="R411" s="4" t="s">
        <v>38</v>
      </c>
      <c r="S411" s="4"/>
      <c r="T411" s="4" t="s">
        <v>105</v>
      </c>
      <c r="U411" s="4" t="s">
        <v>106</v>
      </c>
      <c r="V411" s="4" t="s">
        <v>107</v>
      </c>
      <c r="W411" s="4">
        <v>3075</v>
      </c>
      <c r="X411" s="4" t="s">
        <v>42</v>
      </c>
      <c r="Y411" s="4"/>
      <c r="Z411" s="4"/>
      <c r="AA411" s="4"/>
      <c r="AB411" s="4" t="s">
        <v>147</v>
      </c>
      <c r="AC411" s="4" t="s">
        <v>44</v>
      </c>
      <c r="AD411" s="4" t="s">
        <v>45</v>
      </c>
    </row>
    <row r="412" spans="1:30">
      <c r="A412" s="4" t="s">
        <v>30</v>
      </c>
      <c r="B412" s="4"/>
      <c r="C412" s="4">
        <v>510000</v>
      </c>
      <c r="D412" s="4" t="s">
        <v>46</v>
      </c>
      <c r="E412" s="13" t="s">
        <v>1263</v>
      </c>
      <c r="F412" s="4" t="s">
        <v>1122</v>
      </c>
      <c r="G412" s="4">
        <v>4</v>
      </c>
      <c r="H412" s="4" t="s">
        <v>942</v>
      </c>
      <c r="I412" s="5">
        <v>44964</v>
      </c>
      <c r="J412" s="5">
        <v>45291</v>
      </c>
      <c r="K412" s="4" t="s">
        <v>50</v>
      </c>
      <c r="L412" s="4" t="s">
        <v>51</v>
      </c>
      <c r="M412" s="7">
        <v>-10666</v>
      </c>
      <c r="N412" s="16">
        <v>5</v>
      </c>
      <c r="O412" s="6">
        <v>-533.29999999999995</v>
      </c>
      <c r="P412" s="4" t="s">
        <v>37</v>
      </c>
      <c r="Q412" s="1">
        <v>430605</v>
      </c>
      <c r="R412" s="4" t="s">
        <v>52</v>
      </c>
      <c r="S412" s="4"/>
      <c r="T412" s="4" t="s">
        <v>53</v>
      </c>
      <c r="U412" s="4" t="s">
        <v>54</v>
      </c>
      <c r="V412" s="4" t="s">
        <v>55</v>
      </c>
      <c r="W412" s="4">
        <v>3081</v>
      </c>
      <c r="X412" s="4" t="s">
        <v>42</v>
      </c>
      <c r="Y412" s="4"/>
      <c r="Z412" s="4"/>
      <c r="AA412" s="4"/>
      <c r="AB412" s="4"/>
      <c r="AC412" s="4" t="s">
        <v>52</v>
      </c>
      <c r="AD412" s="4" t="s">
        <v>45</v>
      </c>
    </row>
    <row r="413" spans="1:30">
      <c r="A413" s="4" t="s">
        <v>30</v>
      </c>
      <c r="B413" s="4"/>
      <c r="C413" s="4">
        <v>510000</v>
      </c>
      <c r="D413" s="4" t="s">
        <v>46</v>
      </c>
      <c r="E413" s="13" t="s">
        <v>1264</v>
      </c>
      <c r="F413" s="4" t="s">
        <v>1265</v>
      </c>
      <c r="G413" s="4">
        <v>0</v>
      </c>
      <c r="H413" s="4" t="s">
        <v>379</v>
      </c>
      <c r="I413" s="5">
        <v>45086</v>
      </c>
      <c r="J413" s="5">
        <v>45443</v>
      </c>
      <c r="K413" s="4" t="s">
        <v>359</v>
      </c>
      <c r="L413" s="4" t="s">
        <v>360</v>
      </c>
      <c r="M413" s="7">
        <v>4325</v>
      </c>
      <c r="N413" s="16">
        <v>12.531791907514451</v>
      </c>
      <c r="O413" s="6">
        <v>542</v>
      </c>
      <c r="P413" s="4" t="s">
        <v>37</v>
      </c>
      <c r="Q413" s="1" t="s">
        <v>52</v>
      </c>
      <c r="R413" s="4" t="s">
        <v>52</v>
      </c>
      <c r="S413" s="4"/>
      <c r="T413" s="4" t="s">
        <v>87</v>
      </c>
      <c r="U413" s="4" t="s">
        <v>88</v>
      </c>
      <c r="V413" s="4" t="s">
        <v>55</v>
      </c>
      <c r="W413" s="4">
        <v>3081</v>
      </c>
      <c r="X413" s="4" t="s">
        <v>42</v>
      </c>
      <c r="Y413" s="4"/>
      <c r="Z413" s="4" t="s">
        <v>117</v>
      </c>
      <c r="AA413" s="4"/>
      <c r="AB413" s="4"/>
      <c r="AC413" s="4" t="s">
        <v>52</v>
      </c>
      <c r="AD413" s="4" t="s">
        <v>45</v>
      </c>
    </row>
    <row r="414" spans="1:30">
      <c r="A414" s="4" t="s">
        <v>30</v>
      </c>
      <c r="B414" s="4"/>
      <c r="C414" s="4">
        <v>510000</v>
      </c>
      <c r="D414" s="4" t="s">
        <v>46</v>
      </c>
      <c r="E414" s="13" t="s">
        <v>1266</v>
      </c>
      <c r="F414" s="4" t="s">
        <v>714</v>
      </c>
      <c r="G414" s="4">
        <v>3</v>
      </c>
      <c r="H414" s="4" t="s">
        <v>67</v>
      </c>
      <c r="I414" s="5">
        <v>44960</v>
      </c>
      <c r="J414" s="5">
        <v>45324</v>
      </c>
      <c r="K414" s="4" t="s">
        <v>50</v>
      </c>
      <c r="L414" s="4" t="s">
        <v>51</v>
      </c>
      <c r="M414" s="7">
        <v>75450</v>
      </c>
      <c r="N414" s="16">
        <v>0.5</v>
      </c>
      <c r="O414" s="6">
        <v>377.25</v>
      </c>
      <c r="P414" s="4" t="s">
        <v>37</v>
      </c>
      <c r="Q414" s="1">
        <v>434030</v>
      </c>
      <c r="R414" s="4" t="s">
        <v>52</v>
      </c>
      <c r="S414" s="4"/>
      <c r="T414" s="4" t="s">
        <v>53</v>
      </c>
      <c r="U414" s="4" t="s">
        <v>54</v>
      </c>
      <c r="V414" s="4" t="s">
        <v>55</v>
      </c>
      <c r="W414" s="4">
        <v>3081</v>
      </c>
      <c r="X414" s="4" t="s">
        <v>42</v>
      </c>
      <c r="Y414" s="4"/>
      <c r="Z414" s="4"/>
      <c r="AA414" s="4"/>
      <c r="AB414" s="4"/>
      <c r="AC414" s="4" t="s">
        <v>52</v>
      </c>
      <c r="AD414" s="4" t="s">
        <v>45</v>
      </c>
    </row>
    <row r="415" spans="1:30">
      <c r="A415" s="4" t="s">
        <v>30</v>
      </c>
      <c r="B415" s="4"/>
      <c r="C415" s="4">
        <v>132000</v>
      </c>
      <c r="D415" s="4" t="s">
        <v>91</v>
      </c>
      <c r="E415" s="13" t="s">
        <v>1267</v>
      </c>
      <c r="F415" s="4" t="s">
        <v>1268</v>
      </c>
      <c r="G415" s="4">
        <v>3</v>
      </c>
      <c r="H415" s="4" t="s">
        <v>94</v>
      </c>
      <c r="I415" s="5">
        <v>44441</v>
      </c>
      <c r="J415" s="5">
        <v>44805</v>
      </c>
      <c r="K415" s="4" t="s">
        <v>35</v>
      </c>
      <c r="L415" s="4" t="s">
        <v>36</v>
      </c>
      <c r="M415" s="7">
        <v>-3104</v>
      </c>
      <c r="N415" s="16">
        <v>10.792525773195877</v>
      </c>
      <c r="O415" s="6">
        <v>-335</v>
      </c>
      <c r="P415" s="4" t="s">
        <v>95</v>
      </c>
      <c r="Q415" s="1">
        <v>360493</v>
      </c>
      <c r="R415" s="4" t="s">
        <v>52</v>
      </c>
      <c r="S415" s="4"/>
      <c r="T415" s="4" t="s">
        <v>96</v>
      </c>
      <c r="U415" s="4" t="s">
        <v>97</v>
      </c>
      <c r="V415" s="4" t="s">
        <v>98</v>
      </c>
      <c r="W415" s="4">
        <v>3100</v>
      </c>
      <c r="X415" s="4" t="s">
        <v>42</v>
      </c>
      <c r="Y415" s="4"/>
      <c r="Z415" s="4"/>
      <c r="AA415" s="4"/>
      <c r="AB415" s="4"/>
      <c r="AC415" s="4" t="s">
        <v>52</v>
      </c>
      <c r="AD415" s="4" t="s">
        <v>45</v>
      </c>
    </row>
    <row r="416" spans="1:30">
      <c r="A416" s="4" t="s">
        <v>30</v>
      </c>
      <c r="B416" s="4"/>
      <c r="C416" s="4">
        <v>222105</v>
      </c>
      <c r="D416" s="4" t="s">
        <v>68</v>
      </c>
      <c r="E416" s="13" t="s">
        <v>1269</v>
      </c>
      <c r="F416" s="4" t="s">
        <v>1270</v>
      </c>
      <c r="G416" s="4">
        <v>0</v>
      </c>
      <c r="H416" s="4" t="s">
        <v>1271</v>
      </c>
      <c r="I416" s="5">
        <v>45078</v>
      </c>
      <c r="J416" s="5">
        <v>45443</v>
      </c>
      <c r="K416" s="4" t="s">
        <v>364</v>
      </c>
      <c r="L416" s="4" t="s">
        <v>365</v>
      </c>
      <c r="M416" s="7">
        <v>22051</v>
      </c>
      <c r="N416" s="16">
        <v>7.50079361480205</v>
      </c>
      <c r="O416" s="6">
        <v>1654</v>
      </c>
      <c r="P416" s="4" t="s">
        <v>95</v>
      </c>
      <c r="Q416" s="1">
        <v>442451</v>
      </c>
      <c r="R416" s="4" t="s">
        <v>38</v>
      </c>
      <c r="S416" s="4"/>
      <c r="T416" s="4" t="s">
        <v>74</v>
      </c>
      <c r="U416" s="4" t="s">
        <v>290</v>
      </c>
      <c r="V416" s="4" t="s">
        <v>76</v>
      </c>
      <c r="W416" s="4">
        <v>3078</v>
      </c>
      <c r="X416" s="4" t="s">
        <v>42</v>
      </c>
      <c r="Y416" s="4"/>
      <c r="Z416" s="4"/>
      <c r="AA416" s="4"/>
      <c r="AB416" s="4" t="s">
        <v>147</v>
      </c>
      <c r="AC416" s="4" t="s">
        <v>44</v>
      </c>
      <c r="AD416" s="4" t="s">
        <v>45</v>
      </c>
    </row>
    <row r="417" spans="1:30">
      <c r="A417" s="4" t="s">
        <v>30</v>
      </c>
      <c r="B417" s="4"/>
      <c r="C417" s="4">
        <v>112400</v>
      </c>
      <c r="D417" s="4" t="s">
        <v>469</v>
      </c>
      <c r="E417" s="13" t="s">
        <v>1272</v>
      </c>
      <c r="F417" s="4" t="s">
        <v>1273</v>
      </c>
      <c r="G417" s="4">
        <v>0</v>
      </c>
      <c r="H417" s="4" t="s">
        <v>472</v>
      </c>
      <c r="I417" s="5">
        <v>45082</v>
      </c>
      <c r="J417" s="5">
        <v>45447</v>
      </c>
      <c r="K417" s="4" t="s">
        <v>1274</v>
      </c>
      <c r="L417" s="4" t="s">
        <v>1275</v>
      </c>
      <c r="M417" s="7">
        <v>30000</v>
      </c>
      <c r="N417" s="16">
        <v>10</v>
      </c>
      <c r="O417" s="6">
        <v>3000</v>
      </c>
      <c r="P417" s="4" t="s">
        <v>37</v>
      </c>
      <c r="Q417" s="1">
        <v>436320</v>
      </c>
      <c r="R417" s="4">
        <v>0</v>
      </c>
      <c r="S417" s="4"/>
      <c r="T417" s="4" t="s">
        <v>194</v>
      </c>
      <c r="U417" s="4" t="s">
        <v>475</v>
      </c>
      <c r="V417" s="4" t="s">
        <v>476</v>
      </c>
      <c r="W417" s="4">
        <v>3087</v>
      </c>
      <c r="X417" s="4" t="s">
        <v>42</v>
      </c>
      <c r="Y417" s="4"/>
      <c r="Z417" s="4"/>
      <c r="AA417" s="4" t="s">
        <v>184</v>
      </c>
      <c r="AB417" s="4"/>
      <c r="AC417" s="4" t="s">
        <v>185</v>
      </c>
      <c r="AD417" s="4" t="s">
        <v>45</v>
      </c>
    </row>
    <row r="418" spans="1:30">
      <c r="A418" s="4" t="s">
        <v>30</v>
      </c>
      <c r="B418" s="4"/>
      <c r="C418" s="4">
        <v>510000</v>
      </c>
      <c r="D418" s="4" t="s">
        <v>46</v>
      </c>
      <c r="E418" s="13" t="s">
        <v>1276</v>
      </c>
      <c r="F418" s="4" t="s">
        <v>1277</v>
      </c>
      <c r="G418" s="4">
        <v>1</v>
      </c>
      <c r="H418" s="4" t="s">
        <v>652</v>
      </c>
      <c r="I418" s="5">
        <v>45017</v>
      </c>
      <c r="J418" s="5">
        <v>45382</v>
      </c>
      <c r="K418" s="4" t="s">
        <v>50</v>
      </c>
      <c r="L418" s="4" t="s">
        <v>51</v>
      </c>
      <c r="M418" s="7">
        <v>12848</v>
      </c>
      <c r="N418" s="16">
        <v>5</v>
      </c>
      <c r="O418" s="6">
        <v>642.4</v>
      </c>
      <c r="P418" s="4" t="s">
        <v>37</v>
      </c>
      <c r="Q418" s="1">
        <v>435891</v>
      </c>
      <c r="R418" s="4" t="s">
        <v>52</v>
      </c>
      <c r="S418" s="4"/>
      <c r="T418" s="4" t="s">
        <v>134</v>
      </c>
      <c r="U418" s="4" t="s">
        <v>135</v>
      </c>
      <c r="V418" s="4" t="s">
        <v>55</v>
      </c>
      <c r="W418" s="4">
        <v>3081</v>
      </c>
      <c r="X418" s="4" t="s">
        <v>42</v>
      </c>
      <c r="Y418" s="4"/>
      <c r="Z418" s="4"/>
      <c r="AA418" s="4"/>
      <c r="AB418" s="4"/>
      <c r="AC418" s="4" t="s">
        <v>52</v>
      </c>
      <c r="AD418" s="4" t="s">
        <v>45</v>
      </c>
    </row>
    <row r="419" spans="1:30">
      <c r="A419" s="4" t="s">
        <v>30</v>
      </c>
      <c r="B419" s="4"/>
      <c r="C419" s="4">
        <v>510000</v>
      </c>
      <c r="D419" s="4" t="s">
        <v>46</v>
      </c>
      <c r="E419" s="13" t="s">
        <v>1278</v>
      </c>
      <c r="F419" s="4" t="s">
        <v>1279</v>
      </c>
      <c r="G419" s="4">
        <v>10</v>
      </c>
      <c r="H419" s="4" t="s">
        <v>1280</v>
      </c>
      <c r="I419" s="5">
        <v>44757</v>
      </c>
      <c r="J419" s="5">
        <v>45121</v>
      </c>
      <c r="K419" s="4" t="s">
        <v>50</v>
      </c>
      <c r="L419" s="4" t="s">
        <v>51</v>
      </c>
      <c r="M419" s="7">
        <v>26408</v>
      </c>
      <c r="N419" s="16">
        <v>5.0000000000000009</v>
      </c>
      <c r="O419" s="6">
        <v>1320.4</v>
      </c>
      <c r="P419" s="4" t="s">
        <v>386</v>
      </c>
      <c r="Q419" s="1">
        <v>397706</v>
      </c>
      <c r="R419" s="4" t="s">
        <v>52</v>
      </c>
      <c r="S419" s="4"/>
      <c r="T419" s="4" t="s">
        <v>387</v>
      </c>
      <c r="U419" s="4" t="s">
        <v>388</v>
      </c>
      <c r="V419" s="4" t="s">
        <v>55</v>
      </c>
      <c r="W419" s="4">
        <v>3081</v>
      </c>
      <c r="X419" s="4" t="s">
        <v>42</v>
      </c>
      <c r="Y419" s="4"/>
      <c r="Z419" s="4"/>
      <c r="AA419" s="4"/>
      <c r="AB419" s="4"/>
      <c r="AC419" s="4" t="s">
        <v>52</v>
      </c>
      <c r="AD419" s="4" t="s">
        <v>45</v>
      </c>
    </row>
    <row r="420" spans="1:30">
      <c r="A420" s="4" t="s">
        <v>30</v>
      </c>
      <c r="B420" s="4"/>
      <c r="C420" s="4">
        <v>222105</v>
      </c>
      <c r="D420" s="4" t="s">
        <v>68</v>
      </c>
      <c r="E420" s="13" t="s">
        <v>1281</v>
      </c>
      <c r="F420" s="4" t="s">
        <v>1282</v>
      </c>
      <c r="G420" s="4">
        <v>0</v>
      </c>
      <c r="H420" s="4" t="s">
        <v>1283</v>
      </c>
      <c r="I420" s="5">
        <v>45118</v>
      </c>
      <c r="J420" s="5">
        <v>45483</v>
      </c>
      <c r="K420" s="4" t="s">
        <v>364</v>
      </c>
      <c r="L420" s="4" t="s">
        <v>365</v>
      </c>
      <c r="M420" s="7">
        <v>61776</v>
      </c>
      <c r="N420" s="16">
        <v>5.0003237503237505</v>
      </c>
      <c r="O420" s="6">
        <v>3089</v>
      </c>
      <c r="P420" s="4" t="s">
        <v>37</v>
      </c>
      <c r="Q420" s="1">
        <v>442776</v>
      </c>
      <c r="R420" s="4" t="s">
        <v>38</v>
      </c>
      <c r="S420" s="4"/>
      <c r="T420" s="4" t="s">
        <v>74</v>
      </c>
      <c r="U420" s="4" t="s">
        <v>75</v>
      </c>
      <c r="V420" s="4" t="s">
        <v>76</v>
      </c>
      <c r="W420" s="4">
        <v>3078</v>
      </c>
      <c r="X420" s="4" t="s">
        <v>42</v>
      </c>
      <c r="Y420" s="4"/>
      <c r="Z420" s="4"/>
      <c r="AA420" s="4"/>
      <c r="AB420" s="4" t="s">
        <v>147</v>
      </c>
      <c r="AC420" s="4" t="s">
        <v>44</v>
      </c>
      <c r="AD420" s="4" t="s">
        <v>45</v>
      </c>
    </row>
    <row r="421" spans="1:30">
      <c r="A421" s="4" t="s">
        <v>30</v>
      </c>
      <c r="B421" s="4"/>
      <c r="C421" s="4">
        <v>540000</v>
      </c>
      <c r="D421" s="4" t="s">
        <v>56</v>
      </c>
      <c r="E421" s="13" t="s">
        <v>1284</v>
      </c>
      <c r="F421" s="4" t="s">
        <v>1285</v>
      </c>
      <c r="G421" s="4">
        <v>0</v>
      </c>
      <c r="H421" s="4" t="s">
        <v>479</v>
      </c>
      <c r="I421" s="5">
        <v>45110</v>
      </c>
      <c r="J421" s="5">
        <v>45475</v>
      </c>
      <c r="K421" s="4" t="s">
        <v>225</v>
      </c>
      <c r="L421" s="4" t="s">
        <v>226</v>
      </c>
      <c r="M421" s="7">
        <v>58566</v>
      </c>
      <c r="N421" s="16">
        <v>12.500426868831745</v>
      </c>
      <c r="O421" s="6">
        <v>7321</v>
      </c>
      <c r="P421" s="4" t="s">
        <v>60</v>
      </c>
      <c r="Q421" s="1">
        <v>441715</v>
      </c>
      <c r="R421" s="4" t="s">
        <v>38</v>
      </c>
      <c r="S421" s="4"/>
      <c r="T421" s="4" t="s">
        <v>480</v>
      </c>
      <c r="U421" s="4" t="s">
        <v>481</v>
      </c>
      <c r="V421" s="4" t="s">
        <v>64</v>
      </c>
      <c r="W421" s="4">
        <v>3123</v>
      </c>
      <c r="X421" s="4" t="s">
        <v>42</v>
      </c>
      <c r="Y421" s="4"/>
      <c r="Z421" s="4"/>
      <c r="AA421" s="4"/>
      <c r="AB421" s="4"/>
      <c r="AC421" s="4" t="s">
        <v>44</v>
      </c>
      <c r="AD421" s="4" t="s">
        <v>45</v>
      </c>
    </row>
    <row r="422" spans="1:30">
      <c r="A422" s="4" t="s">
        <v>30</v>
      </c>
      <c r="B422" s="4"/>
      <c r="C422" s="4">
        <v>540000</v>
      </c>
      <c r="D422" s="4" t="s">
        <v>56</v>
      </c>
      <c r="E422" s="13" t="s">
        <v>1286</v>
      </c>
      <c r="F422" s="4" t="s">
        <v>1287</v>
      </c>
      <c r="G422" s="4">
        <v>1</v>
      </c>
      <c r="H422" s="4" t="s">
        <v>79</v>
      </c>
      <c r="I422" s="5">
        <v>45033</v>
      </c>
      <c r="J422" s="5">
        <v>45398</v>
      </c>
      <c r="K422" s="4" t="s">
        <v>384</v>
      </c>
      <c r="L422" s="4" t="s">
        <v>385</v>
      </c>
      <c r="M422" s="7">
        <v>446</v>
      </c>
      <c r="N422" s="16">
        <v>7.623318385650224</v>
      </c>
      <c r="O422" s="6">
        <v>34</v>
      </c>
      <c r="P422" s="4" t="s">
        <v>60</v>
      </c>
      <c r="Q422" s="1">
        <v>437069</v>
      </c>
      <c r="R422" s="4" t="s">
        <v>52</v>
      </c>
      <c r="S422" s="4"/>
      <c r="T422" s="4" t="s">
        <v>80</v>
      </c>
      <c r="U422" s="4" t="s">
        <v>81</v>
      </c>
      <c r="V422" s="4" t="s">
        <v>64</v>
      </c>
      <c r="W422" s="4">
        <v>3123</v>
      </c>
      <c r="X422" s="4" t="s">
        <v>42</v>
      </c>
      <c r="Y422" s="4"/>
      <c r="Z422" s="4"/>
      <c r="AA422" s="4"/>
      <c r="AB422" s="4"/>
      <c r="AC422" s="4" t="s">
        <v>52</v>
      </c>
      <c r="AD422" s="4" t="s">
        <v>45</v>
      </c>
    </row>
    <row r="423" spans="1:30">
      <c r="A423" s="4" t="s">
        <v>30</v>
      </c>
      <c r="B423" s="4"/>
      <c r="C423" s="4">
        <v>540000</v>
      </c>
      <c r="D423" s="4" t="s">
        <v>56</v>
      </c>
      <c r="E423" s="13" t="s">
        <v>1288</v>
      </c>
      <c r="F423" s="4" t="s">
        <v>1289</v>
      </c>
      <c r="G423" s="4">
        <v>5</v>
      </c>
      <c r="H423" s="4" t="s">
        <v>1290</v>
      </c>
      <c r="I423" s="5">
        <v>44881</v>
      </c>
      <c r="J423" s="5">
        <v>45245</v>
      </c>
      <c r="K423" s="4" t="s">
        <v>50</v>
      </c>
      <c r="L423" s="4" t="s">
        <v>51</v>
      </c>
      <c r="M423" s="7">
        <v>15402</v>
      </c>
      <c r="N423" s="16">
        <v>3</v>
      </c>
      <c r="O423" s="6">
        <v>462.06</v>
      </c>
      <c r="P423" s="4" t="s">
        <v>60</v>
      </c>
      <c r="Q423" s="1">
        <v>0</v>
      </c>
      <c r="R423" s="4" t="s">
        <v>438</v>
      </c>
      <c r="S423" s="4"/>
      <c r="T423" s="4" t="s">
        <v>910</v>
      </c>
      <c r="U423" s="4" t="s">
        <v>911</v>
      </c>
      <c r="V423" s="4" t="s">
        <v>64</v>
      </c>
      <c r="W423" s="4">
        <v>3123</v>
      </c>
      <c r="X423" s="4" t="s">
        <v>42</v>
      </c>
      <c r="Y423" s="4"/>
      <c r="Z423" s="4"/>
      <c r="AA423" s="4"/>
      <c r="AB423" s="4"/>
      <c r="AC423" s="4" t="s">
        <v>143</v>
      </c>
      <c r="AD423" s="4" t="s">
        <v>45</v>
      </c>
    </row>
    <row r="424" spans="1:30">
      <c r="A424" s="4" t="s">
        <v>30</v>
      </c>
      <c r="B424" s="4"/>
      <c r="C424" s="4">
        <v>414890</v>
      </c>
      <c r="D424" s="4" t="s">
        <v>317</v>
      </c>
      <c r="E424" s="13" t="s">
        <v>1291</v>
      </c>
      <c r="F424" s="4" t="s">
        <v>1292</v>
      </c>
      <c r="G424" s="4">
        <v>0</v>
      </c>
      <c r="H424" s="4" t="s">
        <v>1109</v>
      </c>
      <c r="I424" s="5">
        <v>45083</v>
      </c>
      <c r="J424" s="5">
        <v>45448</v>
      </c>
      <c r="K424" s="4" t="s">
        <v>199</v>
      </c>
      <c r="L424" s="4" t="s">
        <v>200</v>
      </c>
      <c r="M424" s="7">
        <v>12091</v>
      </c>
      <c r="N424" s="16">
        <v>9.9495492515093868</v>
      </c>
      <c r="O424" s="6">
        <v>1203</v>
      </c>
      <c r="P424" s="4" t="s">
        <v>151</v>
      </c>
      <c r="Q424" s="1">
        <v>437331</v>
      </c>
      <c r="R424" s="4" t="s">
        <v>38</v>
      </c>
      <c r="S424" s="4"/>
      <c r="T424" s="4" t="s">
        <v>322</v>
      </c>
      <c r="U424" s="4" t="s">
        <v>516</v>
      </c>
      <c r="V424" s="4" t="s">
        <v>323</v>
      </c>
      <c r="W424" s="4">
        <v>3071</v>
      </c>
      <c r="X424" s="4" t="s">
        <v>42</v>
      </c>
      <c r="Y424" s="4"/>
      <c r="Z424" s="4"/>
      <c r="AA424" s="4"/>
      <c r="AB424" s="4" t="s">
        <v>43</v>
      </c>
      <c r="AC424" s="4" t="s">
        <v>44</v>
      </c>
      <c r="AD424" s="4" t="s">
        <v>45</v>
      </c>
    </row>
    <row r="425" spans="1:30">
      <c r="A425" s="4" t="s">
        <v>30</v>
      </c>
      <c r="B425" s="4"/>
      <c r="C425" s="4">
        <v>272200</v>
      </c>
      <c r="D425" s="4" t="s">
        <v>208</v>
      </c>
      <c r="E425" s="13" t="s">
        <v>1293</v>
      </c>
      <c r="F425" s="4" t="s">
        <v>1294</v>
      </c>
      <c r="G425" s="4">
        <v>0</v>
      </c>
      <c r="H425" s="4" t="s">
        <v>1295</v>
      </c>
      <c r="I425" s="5">
        <v>45080</v>
      </c>
      <c r="J425" s="5">
        <v>45445</v>
      </c>
      <c r="K425" s="4" t="s">
        <v>442</v>
      </c>
      <c r="L425" s="4" t="s">
        <v>443</v>
      </c>
      <c r="M425" s="7">
        <v>18977</v>
      </c>
      <c r="N425" s="16">
        <v>7.5143594878010216</v>
      </c>
      <c r="O425" s="6">
        <v>1426</v>
      </c>
      <c r="P425" s="4" t="s">
        <v>37</v>
      </c>
      <c r="Q425" s="1" t="s">
        <v>52</v>
      </c>
      <c r="R425" s="4" t="s">
        <v>52</v>
      </c>
      <c r="S425" s="4"/>
      <c r="T425" s="4" t="s">
        <v>160</v>
      </c>
      <c r="U425" s="4" t="s">
        <v>160</v>
      </c>
      <c r="V425" s="4" t="s">
        <v>212</v>
      </c>
      <c r="W425" s="4">
        <v>3079</v>
      </c>
      <c r="X425" s="4" t="s">
        <v>42</v>
      </c>
      <c r="Y425" s="4"/>
      <c r="Z425" s="4" t="s">
        <v>117</v>
      </c>
      <c r="AA425" s="4"/>
      <c r="AB425" s="4"/>
      <c r="AC425" s="4" t="s">
        <v>52</v>
      </c>
      <c r="AD425" s="4" t="s">
        <v>45</v>
      </c>
    </row>
    <row r="426" spans="1:30">
      <c r="A426" s="4" t="s">
        <v>30</v>
      </c>
      <c r="B426" s="4"/>
      <c r="C426" s="4">
        <v>222105</v>
      </c>
      <c r="D426" s="4" t="s">
        <v>68</v>
      </c>
      <c r="E426" s="13" t="s">
        <v>1296</v>
      </c>
      <c r="F426" s="4" t="s">
        <v>1297</v>
      </c>
      <c r="G426" s="4">
        <v>0</v>
      </c>
      <c r="H426" s="4" t="s">
        <v>1298</v>
      </c>
      <c r="I426" s="5">
        <v>45105</v>
      </c>
      <c r="J426" s="5">
        <v>45470</v>
      </c>
      <c r="K426" s="4" t="s">
        <v>72</v>
      </c>
      <c r="L426" s="4" t="s">
        <v>73</v>
      </c>
      <c r="M426" s="7">
        <v>20964</v>
      </c>
      <c r="N426" s="16">
        <v>4.9990459835909178</v>
      </c>
      <c r="O426" s="6">
        <v>1048</v>
      </c>
      <c r="P426" s="4" t="s">
        <v>95</v>
      </c>
      <c r="Q426" s="1">
        <v>443610</v>
      </c>
      <c r="R426" s="4" t="s">
        <v>38</v>
      </c>
      <c r="S426" s="4"/>
      <c r="T426" s="4" t="s">
        <v>74</v>
      </c>
      <c r="U426" s="4" t="s">
        <v>272</v>
      </c>
      <c r="V426" s="4" t="s">
        <v>76</v>
      </c>
      <c r="W426" s="4">
        <v>3078</v>
      </c>
      <c r="X426" s="4" t="s">
        <v>42</v>
      </c>
      <c r="Y426" s="4"/>
      <c r="Z426" s="4"/>
      <c r="AA426" s="4"/>
      <c r="AB426" s="4" t="s">
        <v>147</v>
      </c>
      <c r="AC426" s="4" t="s">
        <v>44</v>
      </c>
      <c r="AD426" s="4" t="s">
        <v>45</v>
      </c>
    </row>
    <row r="427" spans="1:30">
      <c r="A427" s="4" t="s">
        <v>30</v>
      </c>
      <c r="B427" s="4"/>
      <c r="C427" s="4">
        <v>272200</v>
      </c>
      <c r="D427" s="4" t="s">
        <v>208</v>
      </c>
      <c r="E427" s="13" t="s">
        <v>1299</v>
      </c>
      <c r="F427" s="4" t="s">
        <v>1300</v>
      </c>
      <c r="G427" s="4">
        <v>0</v>
      </c>
      <c r="H427" s="4" t="s">
        <v>211</v>
      </c>
      <c r="I427" s="5">
        <v>45089</v>
      </c>
      <c r="J427" s="5">
        <v>45454</v>
      </c>
      <c r="K427" s="4" t="s">
        <v>139</v>
      </c>
      <c r="L427" s="4" t="s">
        <v>140</v>
      </c>
      <c r="M427" s="7">
        <v>12981</v>
      </c>
      <c r="N427" s="16">
        <v>12.495185270780372</v>
      </c>
      <c r="O427" s="6">
        <v>1622</v>
      </c>
      <c r="P427" s="4" t="s">
        <v>37</v>
      </c>
      <c r="Q427" s="1" t="s">
        <v>52</v>
      </c>
      <c r="R427" s="4" t="s">
        <v>52</v>
      </c>
      <c r="S427" s="4"/>
      <c r="T427" s="4" t="s">
        <v>141</v>
      </c>
      <c r="U427" s="4" t="s">
        <v>142</v>
      </c>
      <c r="V427" s="4" t="s">
        <v>212</v>
      </c>
      <c r="W427" s="4">
        <v>3079</v>
      </c>
      <c r="X427" s="4" t="s">
        <v>42</v>
      </c>
      <c r="Y427" s="4"/>
      <c r="Z427" s="4" t="s">
        <v>117</v>
      </c>
      <c r="AA427" s="4"/>
      <c r="AB427" s="4"/>
      <c r="AC427" s="4" t="s">
        <v>52</v>
      </c>
      <c r="AD427" s="4" t="s">
        <v>45</v>
      </c>
    </row>
    <row r="428" spans="1:30">
      <c r="A428" s="4" t="s">
        <v>30</v>
      </c>
      <c r="B428" s="4"/>
      <c r="C428" s="4">
        <v>233600</v>
      </c>
      <c r="D428" s="4" t="s">
        <v>644</v>
      </c>
      <c r="E428" s="13" t="s">
        <v>1301</v>
      </c>
      <c r="F428" s="4" t="s">
        <v>646</v>
      </c>
      <c r="G428" s="4">
        <v>9</v>
      </c>
      <c r="H428" s="4" t="s">
        <v>647</v>
      </c>
      <c r="I428" s="5">
        <v>44982</v>
      </c>
      <c r="J428" s="5">
        <v>45346</v>
      </c>
      <c r="K428" s="4" t="s">
        <v>384</v>
      </c>
      <c r="L428" s="4" t="s">
        <v>385</v>
      </c>
      <c r="M428" s="7">
        <v>5168</v>
      </c>
      <c r="N428" s="16">
        <v>7.5000000000000009</v>
      </c>
      <c r="O428" s="6">
        <v>387.6</v>
      </c>
      <c r="P428" s="4" t="s">
        <v>95</v>
      </c>
      <c r="Q428" s="1">
        <v>421676</v>
      </c>
      <c r="R428" s="4" t="s">
        <v>52</v>
      </c>
      <c r="S428" s="4"/>
      <c r="T428" s="4" t="s">
        <v>247</v>
      </c>
      <c r="U428" s="4" t="s">
        <v>648</v>
      </c>
      <c r="V428" s="4" t="s">
        <v>649</v>
      </c>
      <c r="W428" s="4">
        <v>3084</v>
      </c>
      <c r="X428" s="4" t="s">
        <v>42</v>
      </c>
      <c r="Y428" s="4"/>
      <c r="Z428" s="4"/>
      <c r="AA428" s="4"/>
      <c r="AB428" s="4"/>
      <c r="AC428" s="4" t="s">
        <v>52</v>
      </c>
      <c r="AD428" s="4" t="s">
        <v>45</v>
      </c>
    </row>
    <row r="429" spans="1:30">
      <c r="A429" s="4" t="s">
        <v>30</v>
      </c>
      <c r="B429" s="4"/>
      <c r="C429" s="4">
        <v>431500</v>
      </c>
      <c r="D429" s="4" t="s">
        <v>380</v>
      </c>
      <c r="E429" s="13" t="s">
        <v>1302</v>
      </c>
      <c r="F429" s="4" t="s">
        <v>1303</v>
      </c>
      <c r="G429" s="4">
        <v>0</v>
      </c>
      <c r="H429" s="4" t="s">
        <v>1304</v>
      </c>
      <c r="I429" s="5">
        <v>45045</v>
      </c>
      <c r="J429" s="5">
        <v>45410</v>
      </c>
      <c r="K429" s="4" t="s">
        <v>384</v>
      </c>
      <c r="L429" s="4" t="s">
        <v>385</v>
      </c>
      <c r="M429" s="7">
        <v>1354616</v>
      </c>
      <c r="N429" s="16">
        <v>7.5080317964648282</v>
      </c>
      <c r="O429" s="6">
        <v>101705</v>
      </c>
      <c r="P429" s="4" t="s">
        <v>386</v>
      </c>
      <c r="Q429" s="1">
        <v>429576</v>
      </c>
      <c r="R429" s="4" t="s">
        <v>38</v>
      </c>
      <c r="S429" s="4"/>
      <c r="T429" s="4" t="s">
        <v>1305</v>
      </c>
      <c r="U429" s="4" t="s">
        <v>387</v>
      </c>
      <c r="V429" s="4" t="s">
        <v>389</v>
      </c>
      <c r="W429" s="4">
        <v>3082</v>
      </c>
      <c r="X429" s="4" t="s">
        <v>42</v>
      </c>
      <c r="Y429" s="4"/>
      <c r="Z429" s="4"/>
      <c r="AA429" s="4"/>
      <c r="AB429" s="4"/>
      <c r="AC429" s="4" t="s">
        <v>44</v>
      </c>
      <c r="AD429" s="4" t="s">
        <v>45</v>
      </c>
    </row>
    <row r="430" spans="1:30">
      <c r="A430" s="4" t="s">
        <v>30</v>
      </c>
      <c r="B430" s="4"/>
      <c r="C430" s="4">
        <v>163600</v>
      </c>
      <c r="D430" s="4" t="s">
        <v>119</v>
      </c>
      <c r="E430" s="13" t="s">
        <v>1306</v>
      </c>
      <c r="F430" s="4" t="s">
        <v>1307</v>
      </c>
      <c r="G430" s="4">
        <v>0</v>
      </c>
      <c r="H430" s="4" t="s">
        <v>122</v>
      </c>
      <c r="I430" s="5">
        <v>45103</v>
      </c>
      <c r="J430" s="5">
        <v>45443</v>
      </c>
      <c r="K430" s="4" t="s">
        <v>123</v>
      </c>
      <c r="L430" s="4" t="s">
        <v>124</v>
      </c>
      <c r="M430" s="7">
        <v>1845</v>
      </c>
      <c r="N430" s="16">
        <v>20</v>
      </c>
      <c r="O430" s="6">
        <v>369</v>
      </c>
      <c r="P430" s="4" t="s">
        <v>125</v>
      </c>
      <c r="Q430" s="1" t="s">
        <v>52</v>
      </c>
      <c r="R430" s="4" t="s">
        <v>52</v>
      </c>
      <c r="S430" s="4"/>
      <c r="T430" s="4" t="s">
        <v>126</v>
      </c>
      <c r="U430" s="4" t="s">
        <v>127</v>
      </c>
      <c r="V430" s="4" t="s">
        <v>128</v>
      </c>
      <c r="W430" s="4">
        <v>3090</v>
      </c>
      <c r="X430" s="4" t="s">
        <v>42</v>
      </c>
      <c r="Y430" s="4"/>
      <c r="Z430" s="4" t="s">
        <v>117</v>
      </c>
      <c r="AA430" s="4"/>
      <c r="AB430" s="4"/>
      <c r="AC430" s="4" t="s">
        <v>52</v>
      </c>
      <c r="AD430" s="4" t="s">
        <v>45</v>
      </c>
    </row>
    <row r="431" spans="1:30">
      <c r="A431" s="4" t="s">
        <v>30</v>
      </c>
      <c r="B431" s="4" t="s">
        <v>1308</v>
      </c>
      <c r="C431" s="4">
        <v>161100</v>
      </c>
      <c r="D431" s="4"/>
      <c r="E431" s="13" t="s">
        <v>1309</v>
      </c>
      <c r="F431" s="4" t="s">
        <v>1310</v>
      </c>
      <c r="G431" s="4"/>
      <c r="H431" s="4"/>
      <c r="I431" s="5"/>
      <c r="J431" s="5"/>
      <c r="K431" s="4"/>
      <c r="L431" s="4"/>
      <c r="M431" s="7">
        <v>40588</v>
      </c>
      <c r="N431" s="4">
        <v>12.5</v>
      </c>
      <c r="O431" s="6">
        <v>5073.5</v>
      </c>
      <c r="P431" s="4" t="s">
        <v>95</v>
      </c>
      <c r="Q431" s="1">
        <v>422444</v>
      </c>
      <c r="R431" s="4">
        <v>0</v>
      </c>
      <c r="S431" s="4"/>
      <c r="T431" s="4" t="s">
        <v>96</v>
      </c>
      <c r="U431" s="4" t="s">
        <v>571</v>
      </c>
      <c r="V431" s="4" t="s">
        <v>1311</v>
      </c>
      <c r="W431" s="4">
        <v>2153</v>
      </c>
      <c r="X431" s="4" t="s">
        <v>42</v>
      </c>
      <c r="Y431" s="4"/>
      <c r="Z431" s="4"/>
      <c r="AA431" s="4"/>
      <c r="AB431" s="4" t="s">
        <v>147</v>
      </c>
      <c r="AC431" s="4" t="s">
        <v>1312</v>
      </c>
      <c r="AD431" s="4" t="s">
        <v>45</v>
      </c>
    </row>
    <row r="432" spans="1:30">
      <c r="A432" s="4" t="s">
        <v>30</v>
      </c>
      <c r="B432" s="4" t="s">
        <v>1308</v>
      </c>
      <c r="C432" s="4">
        <v>161100</v>
      </c>
      <c r="D432" s="4"/>
      <c r="E432" s="13" t="s">
        <v>1313</v>
      </c>
      <c r="F432" s="4" t="s">
        <v>1314</v>
      </c>
      <c r="G432" s="4"/>
      <c r="H432" s="4"/>
      <c r="I432" s="5"/>
      <c r="J432" s="5"/>
      <c r="K432" s="4"/>
      <c r="L432" s="4"/>
      <c r="M432" s="7">
        <v>48823</v>
      </c>
      <c r="N432" s="4">
        <v>12.5</v>
      </c>
      <c r="O432" s="6">
        <v>6102.875</v>
      </c>
      <c r="P432" s="4" t="s">
        <v>95</v>
      </c>
      <c r="Q432" s="1">
        <v>411809</v>
      </c>
      <c r="R432" s="4">
        <v>0</v>
      </c>
      <c r="S432" s="4"/>
      <c r="T432" s="4" t="s">
        <v>96</v>
      </c>
      <c r="U432" s="4" t="s">
        <v>571</v>
      </c>
      <c r="V432" s="4" t="s">
        <v>1311</v>
      </c>
      <c r="W432" s="4">
        <v>2153</v>
      </c>
      <c r="X432" s="4" t="s">
        <v>42</v>
      </c>
      <c r="Y432" s="4"/>
      <c r="Z432" s="4"/>
      <c r="AA432" s="4"/>
      <c r="AB432" s="4" t="s">
        <v>147</v>
      </c>
      <c r="AC432" s="4" t="s">
        <v>1312</v>
      </c>
      <c r="AD432" s="4" t="s">
        <v>45</v>
      </c>
    </row>
    <row r="433" spans="1:30">
      <c r="A433" s="4" t="s">
        <v>30</v>
      </c>
      <c r="B433" s="4" t="s">
        <v>1308</v>
      </c>
      <c r="C433" s="4">
        <v>161100</v>
      </c>
      <c r="D433" s="4"/>
      <c r="E433" s="13" t="s">
        <v>1315</v>
      </c>
      <c r="F433" s="4" t="s">
        <v>1316</v>
      </c>
      <c r="G433" s="4"/>
      <c r="H433" s="4"/>
      <c r="I433" s="5"/>
      <c r="J433" s="5"/>
      <c r="K433" s="4"/>
      <c r="L433" s="4"/>
      <c r="M433" s="7">
        <v>40392</v>
      </c>
      <c r="N433" s="4">
        <v>12.5</v>
      </c>
      <c r="O433" s="6">
        <v>5049</v>
      </c>
      <c r="P433" s="4" t="s">
        <v>95</v>
      </c>
      <c r="Q433" s="1">
        <v>411816</v>
      </c>
      <c r="R433" s="4">
        <v>0</v>
      </c>
      <c r="S433" s="4"/>
      <c r="T433" s="4" t="s">
        <v>96</v>
      </c>
      <c r="U433" s="4" t="s">
        <v>571</v>
      </c>
      <c r="V433" s="4" t="s">
        <v>1311</v>
      </c>
      <c r="W433" s="4">
        <v>2153</v>
      </c>
      <c r="X433" s="4" t="s">
        <v>42</v>
      </c>
      <c r="Y433" s="4"/>
      <c r="Z433" s="4"/>
      <c r="AA433" s="4"/>
      <c r="AB433" s="4"/>
      <c r="AC433" s="4" t="s">
        <v>1312</v>
      </c>
      <c r="AD433" s="4" t="s">
        <v>45</v>
      </c>
    </row>
    <row r="434" spans="1:30">
      <c r="A434" s="4" t="s">
        <v>30</v>
      </c>
      <c r="B434" s="4" t="s">
        <v>1308</v>
      </c>
      <c r="C434" s="4">
        <v>161100</v>
      </c>
      <c r="D434" s="4"/>
      <c r="E434" s="13" t="s">
        <v>1317</v>
      </c>
      <c r="F434" s="4" t="s">
        <v>1318</v>
      </c>
      <c r="G434" s="4"/>
      <c r="H434" s="4"/>
      <c r="I434" s="5"/>
      <c r="J434" s="5"/>
      <c r="K434" s="4"/>
      <c r="L434" s="4"/>
      <c r="M434" s="7">
        <v>627569</v>
      </c>
      <c r="N434" s="4">
        <v>11.5</v>
      </c>
      <c r="O434" s="6">
        <v>72170.434999999998</v>
      </c>
      <c r="P434" s="4" t="s">
        <v>95</v>
      </c>
      <c r="Q434" s="1">
        <v>432318</v>
      </c>
      <c r="R434" s="4">
        <v>0</v>
      </c>
      <c r="S434" s="4"/>
      <c r="T434" s="4" t="s">
        <v>96</v>
      </c>
      <c r="U434" s="4" t="s">
        <v>571</v>
      </c>
      <c r="V434" s="4" t="s">
        <v>1311</v>
      </c>
      <c r="W434" s="4">
        <v>2153</v>
      </c>
      <c r="X434" s="4" t="s">
        <v>42</v>
      </c>
      <c r="Y434" s="4"/>
      <c r="Z434" s="4"/>
      <c r="AA434" s="4"/>
      <c r="AB434" s="4"/>
      <c r="AC434" s="4" t="s">
        <v>1312</v>
      </c>
      <c r="AD434" s="4" t="s">
        <v>45</v>
      </c>
    </row>
    <row r="435" spans="1:30">
      <c r="A435" s="4" t="s">
        <v>30</v>
      </c>
      <c r="B435" s="4" t="s">
        <v>1308</v>
      </c>
      <c r="C435" s="4">
        <v>161100</v>
      </c>
      <c r="D435" s="4"/>
      <c r="E435" s="13" t="s">
        <v>1319</v>
      </c>
      <c r="F435" s="4" t="s">
        <v>1320</v>
      </c>
      <c r="G435" s="4"/>
      <c r="H435" s="4"/>
      <c r="I435" s="5"/>
      <c r="J435" s="5"/>
      <c r="K435" s="4"/>
      <c r="L435" s="4"/>
      <c r="M435" s="7">
        <v>261660</v>
      </c>
      <c r="N435" s="4">
        <v>11.5</v>
      </c>
      <c r="O435" s="6">
        <v>30090.9</v>
      </c>
      <c r="P435" s="4" t="s">
        <v>95</v>
      </c>
      <c r="Q435" s="1">
        <v>418889</v>
      </c>
      <c r="R435" s="4">
        <v>0</v>
      </c>
      <c r="S435" s="4"/>
      <c r="T435" s="4" t="s">
        <v>96</v>
      </c>
      <c r="U435" s="4" t="s">
        <v>571</v>
      </c>
      <c r="V435" s="4" t="s">
        <v>1311</v>
      </c>
      <c r="W435" s="4">
        <v>2153</v>
      </c>
      <c r="X435" s="4" t="s">
        <v>42</v>
      </c>
      <c r="Y435" s="4"/>
      <c r="Z435" s="4"/>
      <c r="AA435" s="4"/>
      <c r="AB435" s="4"/>
      <c r="AC435" s="4" t="s">
        <v>1312</v>
      </c>
      <c r="AD435" s="4" t="s">
        <v>45</v>
      </c>
    </row>
    <row r="436" spans="1:30">
      <c r="A436" s="4" t="s">
        <v>30</v>
      </c>
      <c r="B436" s="4" t="s">
        <v>1321</v>
      </c>
      <c r="C436" s="4">
        <v>111900</v>
      </c>
      <c r="D436" s="4" t="s">
        <v>1322</v>
      </c>
      <c r="E436" s="13" t="s">
        <v>1323</v>
      </c>
      <c r="F436" s="4" t="s">
        <v>1324</v>
      </c>
      <c r="G436" s="4"/>
      <c r="H436" s="4" t="s">
        <v>1325</v>
      </c>
      <c r="I436" s="5"/>
      <c r="J436" s="5"/>
      <c r="K436" s="4" t="s">
        <v>1326</v>
      </c>
      <c r="L436" s="4"/>
      <c r="M436" s="7">
        <v>733834</v>
      </c>
      <c r="N436" s="4">
        <v>12.5</v>
      </c>
      <c r="O436" s="6">
        <v>91729</v>
      </c>
      <c r="P436" s="4" t="s">
        <v>95</v>
      </c>
      <c r="Q436" s="1">
        <v>423599</v>
      </c>
      <c r="R436" s="4">
        <v>0</v>
      </c>
      <c r="S436" s="4"/>
      <c r="T436" s="4" t="s">
        <v>175</v>
      </c>
      <c r="U436" s="4" t="s">
        <v>176</v>
      </c>
      <c r="V436" s="4" t="s">
        <v>1327</v>
      </c>
      <c r="W436" s="4">
        <v>3204</v>
      </c>
      <c r="X436" s="4" t="s">
        <v>42</v>
      </c>
      <c r="Y436" s="4"/>
      <c r="Z436" s="4"/>
      <c r="AA436" s="4"/>
      <c r="AB436" s="4"/>
      <c r="AC436" s="4" t="s">
        <v>1312</v>
      </c>
      <c r="AD436" s="4" t="s">
        <v>45</v>
      </c>
    </row>
  </sheetData>
  <autoFilter ref="A1:AD436" xr:uid="{8192C074-8A17-40AB-8AE3-2C9A6314B6A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C6A0-CC09-4E93-A50A-FF7691FD0737}">
  <dimension ref="A1:L134"/>
  <sheetViews>
    <sheetView workbookViewId="0"/>
  </sheetViews>
  <sheetFormatPr defaultRowHeight="14.25"/>
  <cols>
    <col min="1" max="1" width="29.140625" bestFit="1" customWidth="1"/>
    <col min="2" max="2" width="18.7109375" bestFit="1" customWidth="1"/>
    <col min="4" max="4" width="24.5703125" customWidth="1"/>
    <col min="5" max="5" width="21" bestFit="1" customWidth="1"/>
    <col min="7" max="7" width="17.42578125" customWidth="1"/>
  </cols>
  <sheetData>
    <row r="1" spans="1:12">
      <c r="A1" s="18" t="s">
        <v>0</v>
      </c>
      <c r="B1" t="s">
        <v>1328</v>
      </c>
      <c r="D1" t="s">
        <v>1329</v>
      </c>
      <c r="E1" t="s">
        <v>1330</v>
      </c>
      <c r="L1" t="s">
        <v>1331</v>
      </c>
    </row>
    <row r="2" spans="1:12">
      <c r="D2" t="s">
        <v>1332</v>
      </c>
      <c r="E2">
        <v>1586835.7999999998</v>
      </c>
      <c r="F2">
        <f>VLOOKUP(D2,'[1]Sales Register'!$E:$I,5,0)</f>
        <v>1586835.8</v>
      </c>
      <c r="G2">
        <f>E2-F2</f>
        <v>0</v>
      </c>
      <c r="I2" t="s">
        <v>1333</v>
      </c>
      <c r="J2" t="e">
        <f>VLOOKUP(D2,Data!V:AD,9,0)</f>
        <v>#N/A</v>
      </c>
    </row>
    <row r="3" spans="1:12">
      <c r="A3" s="18" t="s">
        <v>1329</v>
      </c>
      <c r="B3" t="s">
        <v>1330</v>
      </c>
      <c r="D3" t="s">
        <v>1334</v>
      </c>
      <c r="E3">
        <v>119553.10000000002</v>
      </c>
      <c r="F3">
        <f>VLOOKUP(D3,'[1]Sales Register'!$E:$I,5,0)</f>
        <v>119553.1</v>
      </c>
      <c r="G3">
        <f t="shared" ref="G3:G66" si="0">E3-F3</f>
        <v>0</v>
      </c>
      <c r="I3" t="s">
        <v>1333</v>
      </c>
      <c r="J3" t="e">
        <f>VLOOKUP(D3,Data!V:AD,9,0)</f>
        <v>#N/A</v>
      </c>
    </row>
    <row r="4" spans="1:12">
      <c r="A4" s="19" t="s">
        <v>1332</v>
      </c>
      <c r="B4">
        <v>1586835.7999999998</v>
      </c>
      <c r="D4" t="s">
        <v>1335</v>
      </c>
      <c r="E4">
        <v>481686.51</v>
      </c>
      <c r="F4">
        <f>VLOOKUP(D4,'[1]Sales Register'!$E:$I,5,0)</f>
        <v>481686.51</v>
      </c>
      <c r="G4">
        <f t="shared" si="0"/>
        <v>0</v>
      </c>
      <c r="I4" t="s">
        <v>1333</v>
      </c>
      <c r="J4" t="e">
        <f>VLOOKUP(D4,Data!V:AD,9,0)</f>
        <v>#N/A</v>
      </c>
    </row>
    <row r="5" spans="1:12">
      <c r="A5" s="19" t="s">
        <v>1334</v>
      </c>
      <c r="B5">
        <v>119553.10000000002</v>
      </c>
      <c r="D5" t="s">
        <v>1336</v>
      </c>
      <c r="E5">
        <v>831</v>
      </c>
      <c r="F5">
        <f>VLOOKUP(D5,'[1]Sales Register'!$E:$I,5,0)</f>
        <v>831</v>
      </c>
      <c r="G5">
        <f t="shared" si="0"/>
        <v>0</v>
      </c>
      <c r="I5" t="s">
        <v>1333</v>
      </c>
      <c r="J5" t="e">
        <f>VLOOKUP(D5,Data!V:AD,9,0)</f>
        <v>#N/A</v>
      </c>
    </row>
    <row r="6" spans="1:12">
      <c r="A6" s="19" t="s">
        <v>1335</v>
      </c>
      <c r="B6">
        <v>481686.51</v>
      </c>
      <c r="D6" t="s">
        <v>1337</v>
      </c>
      <c r="E6">
        <v>2362</v>
      </c>
      <c r="F6">
        <f>VLOOKUP(D6,'[1]Sales Register'!$E:$I,5,0)</f>
        <v>2362</v>
      </c>
      <c r="G6">
        <f t="shared" si="0"/>
        <v>0</v>
      </c>
      <c r="I6" t="s">
        <v>1333</v>
      </c>
      <c r="J6" t="e">
        <f>VLOOKUP(D6,Data!V:AD,9,0)</f>
        <v>#N/A</v>
      </c>
    </row>
    <row r="7" spans="1:12">
      <c r="A7" s="19" t="s">
        <v>1336</v>
      </c>
      <c r="B7">
        <v>831</v>
      </c>
      <c r="D7" t="s">
        <v>406</v>
      </c>
      <c r="E7">
        <v>221395.68</v>
      </c>
      <c r="F7">
        <f>VLOOKUP(D7,'[1]Sales Register'!$E:$I,5,0)</f>
        <v>221395.68</v>
      </c>
      <c r="G7">
        <f t="shared" si="0"/>
        <v>0</v>
      </c>
      <c r="I7" t="s">
        <v>1333</v>
      </c>
      <c r="J7" t="str">
        <f>VLOOKUP(D7,Data!V:AD,9,0)</f>
        <v>Jun'23</v>
      </c>
    </row>
    <row r="8" spans="1:12">
      <c r="A8" s="19" t="s">
        <v>1337</v>
      </c>
      <c r="B8">
        <v>2362</v>
      </c>
      <c r="D8" t="s">
        <v>167</v>
      </c>
      <c r="E8">
        <v>132287</v>
      </c>
      <c r="F8">
        <f>VLOOKUP(D8,'[1]Sales Register'!$E:$I,5,0)</f>
        <v>132287</v>
      </c>
      <c r="G8">
        <f t="shared" si="0"/>
        <v>0</v>
      </c>
      <c r="I8" t="s">
        <v>1333</v>
      </c>
      <c r="J8" t="str">
        <f>VLOOKUP(D8,Data!V:AD,9,0)</f>
        <v>Jun'23</v>
      </c>
    </row>
    <row r="9" spans="1:12">
      <c r="A9" s="19" t="s">
        <v>406</v>
      </c>
      <c r="B9">
        <v>221395.68</v>
      </c>
      <c r="D9" t="s">
        <v>778</v>
      </c>
      <c r="E9">
        <v>1357</v>
      </c>
      <c r="F9">
        <f>VLOOKUP(D9,'[1]Sales Register'!$E:$I,5,0)</f>
        <v>1357</v>
      </c>
      <c r="G9">
        <f t="shared" si="0"/>
        <v>0</v>
      </c>
      <c r="I9" t="s">
        <v>1333</v>
      </c>
      <c r="J9" t="str">
        <f>VLOOKUP(D9,Data!V:AD,9,0)</f>
        <v>Jun'23</v>
      </c>
    </row>
    <row r="10" spans="1:12">
      <c r="A10" s="19" t="s">
        <v>167</v>
      </c>
      <c r="B10">
        <v>132287</v>
      </c>
      <c r="D10" t="s">
        <v>64</v>
      </c>
      <c r="E10">
        <v>265064.65999999997</v>
      </c>
      <c r="F10">
        <f>VLOOKUP(D10,'[1]Sales Register'!$E:$I,5,0)</f>
        <v>265064.65999999997</v>
      </c>
      <c r="G10">
        <f t="shared" si="0"/>
        <v>0</v>
      </c>
      <c r="I10" t="s">
        <v>1333</v>
      </c>
      <c r="J10" t="str">
        <f>VLOOKUP(D10,Data!V:AD,9,0)</f>
        <v>Jun'23</v>
      </c>
    </row>
    <row r="11" spans="1:12">
      <c r="A11" s="19" t="s">
        <v>778</v>
      </c>
      <c r="B11">
        <v>1357</v>
      </c>
      <c r="D11" t="s">
        <v>1338</v>
      </c>
      <c r="E11">
        <v>606019.38000000012</v>
      </c>
      <c r="F11">
        <f>VLOOKUP(D11,'[1]Sales Register'!$E:$I,5,0)</f>
        <v>606019.38</v>
      </c>
      <c r="G11">
        <f t="shared" si="0"/>
        <v>0</v>
      </c>
      <c r="I11" t="s">
        <v>1333</v>
      </c>
      <c r="J11" t="e">
        <f>VLOOKUP(D11,Data!V:AD,9,0)</f>
        <v>#N/A</v>
      </c>
    </row>
    <row r="12" spans="1:12">
      <c r="A12" s="19" t="s">
        <v>64</v>
      </c>
      <c r="B12">
        <v>265064.65999999997</v>
      </c>
      <c r="D12" t="s">
        <v>1339</v>
      </c>
      <c r="E12">
        <v>765269</v>
      </c>
      <c r="F12">
        <f>VLOOKUP(D12,'[1]Sales Register'!$E:$I,5,0)</f>
        <v>765269</v>
      </c>
      <c r="G12">
        <f t="shared" si="0"/>
        <v>0</v>
      </c>
      <c r="I12" t="s">
        <v>1333</v>
      </c>
      <c r="J12" t="e">
        <f>VLOOKUP(D12,Data!V:AD,9,0)</f>
        <v>#N/A</v>
      </c>
    </row>
    <row r="13" spans="1:12">
      <c r="A13" s="19" t="s">
        <v>1338</v>
      </c>
      <c r="B13">
        <v>606019.38000000012</v>
      </c>
      <c r="D13" t="s">
        <v>1340</v>
      </c>
      <c r="E13">
        <v>11881.43</v>
      </c>
      <c r="F13">
        <f>VLOOKUP(D13,'[1]Sales Register'!$E:$I,5,0)</f>
        <v>11881.43</v>
      </c>
      <c r="G13">
        <f t="shared" si="0"/>
        <v>0</v>
      </c>
      <c r="I13" t="s">
        <v>1333</v>
      </c>
      <c r="J13" t="e">
        <f>VLOOKUP(D13,Data!V:AD,9,0)</f>
        <v>#N/A</v>
      </c>
    </row>
    <row r="14" spans="1:12">
      <c r="A14" s="19" t="s">
        <v>1339</v>
      </c>
      <c r="B14">
        <v>765269</v>
      </c>
      <c r="D14" t="s">
        <v>1341</v>
      </c>
      <c r="E14">
        <v>3186.5600000000004</v>
      </c>
      <c r="F14">
        <f>VLOOKUP(D14,'[1]Sales Register'!$E:$I,5,0)</f>
        <v>3186.56</v>
      </c>
      <c r="G14">
        <f t="shared" si="0"/>
        <v>0</v>
      </c>
      <c r="I14" t="s">
        <v>1333</v>
      </c>
      <c r="J14" t="e">
        <f>VLOOKUP(D14,Data!V:AD,9,0)</f>
        <v>#N/A</v>
      </c>
    </row>
    <row r="15" spans="1:12">
      <c r="A15" s="19" t="s">
        <v>1340</v>
      </c>
      <c r="B15">
        <v>11881.43</v>
      </c>
      <c r="D15" t="s">
        <v>1342</v>
      </c>
      <c r="E15">
        <v>729671</v>
      </c>
      <c r="F15">
        <f>VLOOKUP(D15,'[1]Sales Register'!$E:$I,5,0)</f>
        <v>729671</v>
      </c>
      <c r="G15">
        <f t="shared" si="0"/>
        <v>0</v>
      </c>
      <c r="I15" t="s">
        <v>1333</v>
      </c>
      <c r="J15" t="e">
        <f>VLOOKUP(D15,Data!V:AD,9,0)</f>
        <v>#N/A</v>
      </c>
    </row>
    <row r="16" spans="1:12">
      <c r="A16" s="19" t="s">
        <v>1341</v>
      </c>
      <c r="B16">
        <v>3186.5600000000004</v>
      </c>
      <c r="D16" t="s">
        <v>1343</v>
      </c>
      <c r="E16">
        <v>374752.63</v>
      </c>
      <c r="F16">
        <f>VLOOKUP(D16,'[1]Sales Register'!$E:$I,5,0)</f>
        <v>374752.63</v>
      </c>
      <c r="G16">
        <f t="shared" si="0"/>
        <v>0</v>
      </c>
      <c r="I16" t="s">
        <v>1333</v>
      </c>
      <c r="J16" t="e">
        <f>VLOOKUP(D16,Data!V:AD,9,0)</f>
        <v>#N/A</v>
      </c>
    </row>
    <row r="17" spans="1:10">
      <c r="A17" s="19" t="s">
        <v>1342</v>
      </c>
      <c r="B17">
        <v>729671</v>
      </c>
      <c r="D17" t="s">
        <v>1344</v>
      </c>
      <c r="E17">
        <v>418800</v>
      </c>
      <c r="F17">
        <f>VLOOKUP(D17,'[1]Sales Register'!$E:$I,5,0)</f>
        <v>418800</v>
      </c>
      <c r="G17">
        <f t="shared" si="0"/>
        <v>0</v>
      </c>
      <c r="I17" t="s">
        <v>1333</v>
      </c>
      <c r="J17" t="e">
        <f>VLOOKUP(D17,Data!V:AD,9,0)</f>
        <v>#N/A</v>
      </c>
    </row>
    <row r="18" spans="1:10">
      <c r="A18" s="19" t="s">
        <v>1343</v>
      </c>
      <c r="B18">
        <v>374752.63</v>
      </c>
      <c r="D18" t="s">
        <v>1345</v>
      </c>
      <c r="E18">
        <v>-61632</v>
      </c>
      <c r="F18" t="e">
        <f>VLOOKUP(D18,'[1]Sales Register'!$E:$I,5,0)</f>
        <v>#N/A</v>
      </c>
      <c r="G18" t="e">
        <f t="shared" si="0"/>
        <v>#N/A</v>
      </c>
      <c r="H18">
        <f>VLOOKUP(D18,'[1]Credit Note Register'!$E:$I,5,0)</f>
        <v>61632</v>
      </c>
      <c r="I18" t="s">
        <v>1333</v>
      </c>
      <c r="J18" t="e">
        <f>VLOOKUP(D18,Data!V:AD,9,0)</f>
        <v>#N/A</v>
      </c>
    </row>
    <row r="19" spans="1:10">
      <c r="A19" s="19" t="s">
        <v>1344</v>
      </c>
      <c r="B19">
        <v>418800</v>
      </c>
      <c r="D19" t="s">
        <v>668</v>
      </c>
      <c r="E19">
        <v>-34888</v>
      </c>
      <c r="F19" t="e">
        <f>VLOOKUP(D19,'[1]Sales Register'!$E:$I,5,0)</f>
        <v>#N/A</v>
      </c>
      <c r="G19" t="e">
        <f t="shared" si="0"/>
        <v>#N/A</v>
      </c>
      <c r="H19">
        <f>VLOOKUP(D19,'[1]Credit Note Register'!$E:$I,5,0)</f>
        <v>34888</v>
      </c>
      <c r="I19" t="s">
        <v>1333</v>
      </c>
      <c r="J19" t="str">
        <f>VLOOKUP(D19,Data!V:AD,9,0)</f>
        <v>Jun'23</v>
      </c>
    </row>
    <row r="20" spans="1:10">
      <c r="A20" s="19" t="s">
        <v>1345</v>
      </c>
      <c r="B20">
        <v>-61632</v>
      </c>
      <c r="D20" t="s">
        <v>1346</v>
      </c>
      <c r="E20">
        <v>1691.9</v>
      </c>
      <c r="F20" t="e">
        <f>VLOOKUP(D20,'[1]Sales Register'!$E:$I,5,0)</f>
        <v>#N/A</v>
      </c>
      <c r="G20" t="e">
        <f t="shared" si="0"/>
        <v>#N/A</v>
      </c>
      <c r="H20">
        <f>VLOOKUP(D20,'[1]Credit Note Register'!$E:$I,5,0)</f>
        <v>368.63</v>
      </c>
      <c r="I20" t="s">
        <v>1333</v>
      </c>
      <c r="J20" t="e">
        <f>VLOOKUP(D20,Data!V:AD,9,0)</f>
        <v>#N/A</v>
      </c>
    </row>
    <row r="21" spans="1:10">
      <c r="A21" s="19" t="s">
        <v>668</v>
      </c>
      <c r="B21">
        <v>-34888</v>
      </c>
      <c r="D21" t="s">
        <v>1093</v>
      </c>
      <c r="E21">
        <v>76800</v>
      </c>
      <c r="F21">
        <f>VLOOKUP(D21,'[1]Sales Register'!$E:$I,5,0)</f>
        <v>76800</v>
      </c>
      <c r="G21">
        <f t="shared" si="0"/>
        <v>0</v>
      </c>
      <c r="I21" t="s">
        <v>1333</v>
      </c>
      <c r="J21" t="str">
        <f>VLOOKUP(D21,Data!V:AD,9,0)</f>
        <v>Jun'23</v>
      </c>
    </row>
    <row r="22" spans="1:10">
      <c r="A22" s="19" t="s">
        <v>1346</v>
      </c>
      <c r="B22">
        <v>1691.9</v>
      </c>
      <c r="D22" t="s">
        <v>241</v>
      </c>
      <c r="E22">
        <v>34.989999999999952</v>
      </c>
      <c r="F22">
        <f>VLOOKUP(D22,'[1]Sales Register'!$E:$I,5,0)</f>
        <v>34.99</v>
      </c>
      <c r="G22">
        <f t="shared" si="0"/>
        <v>0</v>
      </c>
      <c r="I22" t="s">
        <v>1333</v>
      </c>
      <c r="J22" t="str">
        <f>VLOOKUP(D22,Data!V:AD,9,0)</f>
        <v>Jun'23</v>
      </c>
    </row>
    <row r="23" spans="1:10">
      <c r="A23" s="19" t="s">
        <v>1093</v>
      </c>
      <c r="B23">
        <v>76800</v>
      </c>
      <c r="D23" t="s">
        <v>487</v>
      </c>
      <c r="E23">
        <v>341.69999999999993</v>
      </c>
      <c r="F23">
        <f>VLOOKUP(D23,'[1]Sales Register'!$E:$I,5,0)</f>
        <v>341.7</v>
      </c>
      <c r="G23">
        <f t="shared" si="0"/>
        <v>0</v>
      </c>
      <c r="I23" t="s">
        <v>1333</v>
      </c>
      <c r="J23" t="str">
        <f>VLOOKUP(D23,Data!V:AD,9,0)</f>
        <v>Jun'23</v>
      </c>
    </row>
    <row r="24" spans="1:10">
      <c r="A24" s="19" t="s">
        <v>241</v>
      </c>
      <c r="B24">
        <v>34.989999999999952</v>
      </c>
      <c r="D24" t="s">
        <v>323</v>
      </c>
      <c r="E24">
        <v>3855</v>
      </c>
      <c r="F24">
        <f>VLOOKUP(D24,'[1]Sales Register'!$E:$I,5,0)</f>
        <v>3855</v>
      </c>
      <c r="G24">
        <f t="shared" si="0"/>
        <v>0</v>
      </c>
      <c r="I24" t="s">
        <v>1333</v>
      </c>
      <c r="J24" t="str">
        <f>VLOOKUP(D24,Data!V:AD,9,0)</f>
        <v>Jun'23</v>
      </c>
    </row>
    <row r="25" spans="1:10">
      <c r="A25" s="19" t="s">
        <v>487</v>
      </c>
      <c r="B25">
        <v>341.69999999999993</v>
      </c>
      <c r="D25" t="s">
        <v>339</v>
      </c>
      <c r="E25">
        <v>3</v>
      </c>
      <c r="F25">
        <f>VLOOKUP(D25,'[1]Sales Register'!$E:$I,5,0)</f>
        <v>3</v>
      </c>
      <c r="G25">
        <f t="shared" si="0"/>
        <v>0</v>
      </c>
      <c r="I25" t="s">
        <v>1333</v>
      </c>
      <c r="J25" t="str">
        <f>VLOOKUP(D25,Data!V:AD,9,0)</f>
        <v>Jun'23</v>
      </c>
    </row>
    <row r="26" spans="1:10">
      <c r="A26" s="19" t="s">
        <v>323</v>
      </c>
      <c r="B26">
        <v>3855</v>
      </c>
      <c r="D26" t="s">
        <v>396</v>
      </c>
      <c r="E26">
        <v>17564</v>
      </c>
      <c r="F26">
        <f>VLOOKUP(D26,'[1]Sales Register'!$E:$I,5,0)</f>
        <v>17564</v>
      </c>
      <c r="G26">
        <f t="shared" si="0"/>
        <v>0</v>
      </c>
      <c r="I26" t="s">
        <v>1333</v>
      </c>
      <c r="J26" t="str">
        <f>VLOOKUP(D26,Data!V:AD,9,0)</f>
        <v>Jun'23</v>
      </c>
    </row>
    <row r="27" spans="1:10">
      <c r="A27" s="19" t="s">
        <v>339</v>
      </c>
      <c r="B27">
        <v>3</v>
      </c>
      <c r="D27" t="s">
        <v>1347</v>
      </c>
      <c r="E27">
        <v>11318.369999999999</v>
      </c>
      <c r="F27">
        <f>VLOOKUP(D27,'[1]Sales Register'!$E:$I,5,0)</f>
        <v>4.72</v>
      </c>
      <c r="G27" t="e">
        <f>VLOOKUP(E27,'[1]Sales Register'!$E:$I,5,0)</f>
        <v>#N/A</v>
      </c>
      <c r="H27" t="e">
        <f>VLOOKUP(D27,'[1]Credit Note Register'!$E:$I,5,0)</f>
        <v>#N/A</v>
      </c>
      <c r="I27" t="s">
        <v>1333</v>
      </c>
      <c r="J27" t="e">
        <f>VLOOKUP(D27,Data!V:AD,9,0)</f>
        <v>#N/A</v>
      </c>
    </row>
    <row r="28" spans="1:10">
      <c r="A28" s="19" t="s">
        <v>396</v>
      </c>
      <c r="B28">
        <v>17564</v>
      </c>
      <c r="D28" t="s">
        <v>1348</v>
      </c>
      <c r="E28">
        <v>247</v>
      </c>
      <c r="F28">
        <f>VLOOKUP(D28,'[1]Sales Register'!$E:$I,5,0)</f>
        <v>247</v>
      </c>
      <c r="G28">
        <f t="shared" si="0"/>
        <v>0</v>
      </c>
      <c r="I28" t="s">
        <v>1333</v>
      </c>
      <c r="J28" t="e">
        <f>VLOOKUP(D28,Data!V:AD,9,0)</f>
        <v>#N/A</v>
      </c>
    </row>
    <row r="29" spans="1:10">
      <c r="A29" s="19" t="s">
        <v>1347</v>
      </c>
      <c r="B29">
        <v>11318.369999999999</v>
      </c>
      <c r="D29" t="s">
        <v>1349</v>
      </c>
      <c r="E29">
        <v>1860.53</v>
      </c>
      <c r="F29">
        <f>VLOOKUP(D29,'[1]Sales Register'!$E:$I,5,0)</f>
        <v>1860.53</v>
      </c>
      <c r="G29">
        <f t="shared" si="0"/>
        <v>0</v>
      </c>
      <c r="I29" t="s">
        <v>1333</v>
      </c>
      <c r="J29" t="e">
        <f>VLOOKUP(D29,Data!V:AD,9,0)</f>
        <v>#N/A</v>
      </c>
    </row>
    <row r="30" spans="1:10">
      <c r="A30" s="19" t="s">
        <v>1348</v>
      </c>
      <c r="B30">
        <v>247</v>
      </c>
      <c r="D30" t="s">
        <v>1350</v>
      </c>
      <c r="E30">
        <v>1250.3900000000001</v>
      </c>
      <c r="F30">
        <f>VLOOKUP(D30,'[1]Sales Register'!$E:$I,5,0)</f>
        <v>1250.3900000000001</v>
      </c>
      <c r="G30">
        <f t="shared" si="0"/>
        <v>0</v>
      </c>
      <c r="I30" t="s">
        <v>1333</v>
      </c>
      <c r="J30" t="e">
        <f>VLOOKUP(D30,Data!V:AD,9,0)</f>
        <v>#N/A</v>
      </c>
    </row>
    <row r="31" spans="1:10">
      <c r="A31" s="19" t="s">
        <v>1349</v>
      </c>
      <c r="B31">
        <v>1860.53</v>
      </c>
      <c r="D31" t="s">
        <v>1351</v>
      </c>
      <c r="E31">
        <v>8217</v>
      </c>
      <c r="F31">
        <f>VLOOKUP(D31,'[1]Sales Register'!$E:$I,5,0)</f>
        <v>8217</v>
      </c>
      <c r="G31">
        <f t="shared" si="0"/>
        <v>0</v>
      </c>
      <c r="I31" t="s">
        <v>1333</v>
      </c>
      <c r="J31" t="e">
        <f>VLOOKUP(D31,Data!V:AD,9,0)</f>
        <v>#N/A</v>
      </c>
    </row>
    <row r="32" spans="1:10">
      <c r="A32" s="19" t="s">
        <v>1350</v>
      </c>
      <c r="B32">
        <v>1250.3900000000001</v>
      </c>
      <c r="D32" t="s">
        <v>1352</v>
      </c>
      <c r="E32">
        <v>923</v>
      </c>
      <c r="F32">
        <f>VLOOKUP(D32,'[1]Sales Register'!$E:$I,5,0)</f>
        <v>923</v>
      </c>
      <c r="G32">
        <f t="shared" si="0"/>
        <v>0</v>
      </c>
      <c r="I32" t="s">
        <v>1333</v>
      </c>
      <c r="J32" t="e">
        <f>VLOOKUP(D32,Data!V:AD,9,0)</f>
        <v>#N/A</v>
      </c>
    </row>
    <row r="33" spans="1:10">
      <c r="A33" s="19" t="s">
        <v>1351</v>
      </c>
      <c r="B33">
        <v>8217</v>
      </c>
      <c r="D33" t="s">
        <v>1353</v>
      </c>
      <c r="E33">
        <v>48628</v>
      </c>
      <c r="F33">
        <f>VLOOKUP(D33,'[1]Sales Register'!$E:$I,5,0)</f>
        <v>48628</v>
      </c>
      <c r="G33">
        <f t="shared" si="0"/>
        <v>0</v>
      </c>
      <c r="I33" t="s">
        <v>1333</v>
      </c>
      <c r="J33" t="e">
        <f>VLOOKUP(D33,Data!V:AD,9,0)</f>
        <v>#N/A</v>
      </c>
    </row>
    <row r="34" spans="1:10">
      <c r="A34" s="19" t="s">
        <v>1352</v>
      </c>
      <c r="B34">
        <v>923</v>
      </c>
      <c r="D34" t="s">
        <v>1354</v>
      </c>
      <c r="E34">
        <v>2002.88</v>
      </c>
      <c r="F34">
        <f>VLOOKUP(D34,'[1]Sales Register'!$E:$I,5,0)</f>
        <v>2002.88</v>
      </c>
      <c r="G34">
        <f t="shared" si="0"/>
        <v>0</v>
      </c>
      <c r="I34" t="s">
        <v>1333</v>
      </c>
      <c r="J34" t="e">
        <f>VLOOKUP(D34,Data!V:AD,9,0)</f>
        <v>#N/A</v>
      </c>
    </row>
    <row r="35" spans="1:10">
      <c r="A35" s="19" t="s">
        <v>1353</v>
      </c>
      <c r="B35">
        <v>48628</v>
      </c>
      <c r="D35" t="s">
        <v>1355</v>
      </c>
      <c r="E35">
        <v>937.60000000000014</v>
      </c>
      <c r="F35">
        <f>VLOOKUP(D35,'[1]Sales Register'!$E:$I,5,0)</f>
        <v>937.6</v>
      </c>
      <c r="G35">
        <f t="shared" si="0"/>
        <v>0</v>
      </c>
      <c r="I35" t="s">
        <v>1333</v>
      </c>
      <c r="J35" t="e">
        <f>VLOOKUP(D35,Data!V:AD,9,0)</f>
        <v>#N/A</v>
      </c>
    </row>
    <row r="36" spans="1:10">
      <c r="A36" s="19" t="s">
        <v>1354</v>
      </c>
      <c r="B36">
        <v>2002.88</v>
      </c>
      <c r="D36" t="s">
        <v>1356</v>
      </c>
      <c r="E36">
        <v>772.35</v>
      </c>
      <c r="F36">
        <f>VLOOKUP(D36,'[1]Sales Register'!$E:$I,5,0)</f>
        <v>772.35</v>
      </c>
      <c r="G36">
        <f t="shared" si="0"/>
        <v>0</v>
      </c>
      <c r="I36" t="s">
        <v>1333</v>
      </c>
      <c r="J36" t="e">
        <f>VLOOKUP(D36,Data!V:AD,9,0)</f>
        <v>#N/A</v>
      </c>
    </row>
    <row r="37" spans="1:10">
      <c r="A37" s="19" t="s">
        <v>1355</v>
      </c>
      <c r="B37">
        <v>937.60000000000014</v>
      </c>
      <c r="D37" t="s">
        <v>1357</v>
      </c>
      <c r="E37">
        <v>1270</v>
      </c>
      <c r="F37">
        <f>VLOOKUP(D37,'[1]Sales Register'!$E:$I,5,0)</f>
        <v>1270</v>
      </c>
      <c r="G37">
        <f t="shared" si="0"/>
        <v>0</v>
      </c>
      <c r="I37" t="s">
        <v>1333</v>
      </c>
      <c r="J37" t="e">
        <f>VLOOKUP(D37,Data!V:AD,9,0)</f>
        <v>#N/A</v>
      </c>
    </row>
    <row r="38" spans="1:10">
      <c r="A38" s="19" t="s">
        <v>1356</v>
      </c>
      <c r="B38">
        <v>772.35</v>
      </c>
      <c r="D38" t="s">
        <v>1358</v>
      </c>
      <c r="E38">
        <v>201712.91</v>
      </c>
      <c r="F38">
        <f>VLOOKUP(D38,'[1]Sales Register'!$E:$I,5,0)</f>
        <v>201712.91</v>
      </c>
      <c r="G38">
        <f t="shared" si="0"/>
        <v>0</v>
      </c>
      <c r="I38" t="s">
        <v>1333</v>
      </c>
      <c r="J38" t="e">
        <f>VLOOKUP(D38,Data!V:AD,9,0)</f>
        <v>#N/A</v>
      </c>
    </row>
    <row r="39" spans="1:10">
      <c r="A39" s="19" t="s">
        <v>1357</v>
      </c>
      <c r="B39">
        <v>1270</v>
      </c>
      <c r="D39" t="s">
        <v>1359</v>
      </c>
      <c r="E39">
        <v>-326.77999999999997</v>
      </c>
      <c r="F39" t="e">
        <f>VLOOKUP(D39,'[1]Sales Register'!$E:$I,5,0)</f>
        <v>#N/A</v>
      </c>
      <c r="G39" t="e">
        <f t="shared" si="0"/>
        <v>#N/A</v>
      </c>
      <c r="H39">
        <f>VLOOKUP(D39,'[1]Credit Note Register'!$E:$I,5,0)</f>
        <v>326.77999999999997</v>
      </c>
      <c r="I39" t="s">
        <v>1333</v>
      </c>
      <c r="J39" t="e">
        <f>VLOOKUP(D39,Data!V:AD,9,0)</f>
        <v>#N/A</v>
      </c>
    </row>
    <row r="40" spans="1:10">
      <c r="A40" s="19" t="s">
        <v>1358</v>
      </c>
      <c r="B40">
        <v>201712.91</v>
      </c>
      <c r="D40" t="s">
        <v>1360</v>
      </c>
      <c r="E40">
        <v>-1128</v>
      </c>
      <c r="F40" t="e">
        <f>VLOOKUP(D40,'[1]Sales Register'!$E:$I,5,0)</f>
        <v>#N/A</v>
      </c>
      <c r="G40" t="e">
        <f t="shared" si="0"/>
        <v>#N/A</v>
      </c>
      <c r="H40">
        <f>VLOOKUP(D40,'[1]Credit Note Register'!$E:$I,5,0)</f>
        <v>1128</v>
      </c>
      <c r="I40" t="s">
        <v>1333</v>
      </c>
      <c r="J40" t="e">
        <f>VLOOKUP(D40,Data!V:AD,9,0)</f>
        <v>#N/A</v>
      </c>
    </row>
    <row r="41" spans="1:10">
      <c r="A41" s="19" t="s">
        <v>1359</v>
      </c>
      <c r="B41">
        <v>-326.77999999999997</v>
      </c>
      <c r="D41" t="s">
        <v>502</v>
      </c>
      <c r="E41">
        <v>-7.6500000000000021</v>
      </c>
      <c r="F41" t="e">
        <f>VLOOKUP(D41,'[1]Sales Register'!$E:$I,5,0)</f>
        <v>#N/A</v>
      </c>
      <c r="G41" t="e">
        <f t="shared" si="0"/>
        <v>#N/A</v>
      </c>
      <c r="H41">
        <f>VLOOKUP(D41,'[1]Credit Note Register'!$E:$I,5,0)</f>
        <v>7.65</v>
      </c>
      <c r="I41" t="s">
        <v>1333</v>
      </c>
      <c r="J41" t="str">
        <f>VLOOKUP(D41,Data!V:AD,9,0)</f>
        <v>Jun'23</v>
      </c>
    </row>
    <row r="42" spans="1:10">
      <c r="A42" s="19" t="s">
        <v>1360</v>
      </c>
      <c r="B42">
        <v>-1128</v>
      </c>
      <c r="D42" t="s">
        <v>1361</v>
      </c>
      <c r="E42">
        <v>-2351.0600000000004</v>
      </c>
      <c r="F42" t="e">
        <f>VLOOKUP(D42,'[1]Sales Register'!$E:$I,5,0)</f>
        <v>#N/A</v>
      </c>
      <c r="G42" t="e">
        <f t="shared" si="0"/>
        <v>#N/A</v>
      </c>
      <c r="H42">
        <f>VLOOKUP(D42,'[1]Credit Note Register'!$E:$I,5,0)</f>
        <v>900.06</v>
      </c>
      <c r="I42" t="s">
        <v>1333</v>
      </c>
      <c r="J42" t="e">
        <f>VLOOKUP(D42,Data!V:AD,9,0)</f>
        <v>#N/A</v>
      </c>
    </row>
    <row r="43" spans="1:10">
      <c r="A43" s="19" t="s">
        <v>502</v>
      </c>
      <c r="B43">
        <v>-7.6500000000000021</v>
      </c>
      <c r="D43" t="s">
        <v>1362</v>
      </c>
      <c r="E43">
        <v>-16</v>
      </c>
      <c r="F43" t="e">
        <f>VLOOKUP(D43,'[1]Sales Register'!$E:$I,5,0)</f>
        <v>#N/A</v>
      </c>
      <c r="G43" t="e">
        <f t="shared" si="0"/>
        <v>#N/A</v>
      </c>
      <c r="H43">
        <f>VLOOKUP(D43,'[1]Credit Note Register'!$E:$I,5,0)</f>
        <v>16</v>
      </c>
      <c r="I43" t="s">
        <v>1333</v>
      </c>
      <c r="J43" t="e">
        <f>VLOOKUP(D43,Data!V:AD,9,0)</f>
        <v>#N/A</v>
      </c>
    </row>
    <row r="44" spans="1:10">
      <c r="A44" s="19" t="s">
        <v>1361</v>
      </c>
      <c r="B44">
        <v>-2351.0600000000004</v>
      </c>
      <c r="D44" t="s">
        <v>1363</v>
      </c>
      <c r="E44">
        <v>459</v>
      </c>
      <c r="F44">
        <f>VLOOKUP(D44,'[1]Sales Register'!$E:$I,5,0)</f>
        <v>459</v>
      </c>
      <c r="G44">
        <f t="shared" si="0"/>
        <v>0</v>
      </c>
      <c r="I44" t="s">
        <v>1333</v>
      </c>
      <c r="J44" t="e">
        <f>VLOOKUP(D44,Data!V:AD,9,0)</f>
        <v>#N/A</v>
      </c>
    </row>
    <row r="45" spans="1:10">
      <c r="A45" s="19" t="s">
        <v>1362</v>
      </c>
      <c r="B45">
        <v>-16</v>
      </c>
      <c r="D45" t="s">
        <v>1364</v>
      </c>
      <c r="E45">
        <v>28679854</v>
      </c>
      <c r="F45">
        <f>VLOOKUP(D45,'[1]Sales Register'!$E:$I,5,0)</f>
        <v>28679854</v>
      </c>
      <c r="G45">
        <f t="shared" si="0"/>
        <v>0</v>
      </c>
      <c r="I45" t="s">
        <v>1333</v>
      </c>
      <c r="J45" t="e">
        <f>VLOOKUP(D45,Data!V:AD,9,0)</f>
        <v>#N/A</v>
      </c>
    </row>
    <row r="46" spans="1:10">
      <c r="A46" s="19" t="s">
        <v>1363</v>
      </c>
      <c r="B46">
        <v>459</v>
      </c>
      <c r="D46" t="s">
        <v>1365</v>
      </c>
      <c r="E46">
        <v>23.789999999999964</v>
      </c>
      <c r="F46">
        <f>VLOOKUP(D46,'[1]Sales Register'!$E:$I,5,0)</f>
        <v>23.79</v>
      </c>
      <c r="G46">
        <f t="shared" si="0"/>
        <v>-3.5527136788005009E-14</v>
      </c>
      <c r="H46" t="e">
        <f>VLOOKUP(D46,'[1]Credit Note Register'!$E:$I,5,0)</f>
        <v>#N/A</v>
      </c>
      <c r="I46" t="s">
        <v>1333</v>
      </c>
      <c r="J46" t="e">
        <f>VLOOKUP(D46,Data!V:AD,9,0)</f>
        <v>#N/A</v>
      </c>
    </row>
    <row r="47" spans="1:10">
      <c r="A47" s="19" t="s">
        <v>1364</v>
      </c>
      <c r="B47">
        <v>28679854</v>
      </c>
      <c r="D47" t="s">
        <v>1366</v>
      </c>
      <c r="E47">
        <v>5772</v>
      </c>
      <c r="F47">
        <f>VLOOKUP(D47,'[1]Sales Register'!$E:$I,5,0)</f>
        <v>5772</v>
      </c>
      <c r="G47">
        <f t="shared" si="0"/>
        <v>0</v>
      </c>
      <c r="I47" t="s">
        <v>1333</v>
      </c>
      <c r="J47" t="e">
        <f>VLOOKUP(D47,Data!V:AD,9,0)</f>
        <v>#N/A</v>
      </c>
    </row>
    <row r="48" spans="1:10">
      <c r="A48" s="19" t="s">
        <v>1365</v>
      </c>
      <c r="B48">
        <v>23.789999999999964</v>
      </c>
      <c r="D48" t="s">
        <v>1367</v>
      </c>
      <c r="E48">
        <v>2551</v>
      </c>
      <c r="F48">
        <f>VLOOKUP(D48,'[1]Sales Register'!$E:$I,5,0)</f>
        <v>2551</v>
      </c>
      <c r="G48">
        <f t="shared" si="0"/>
        <v>0</v>
      </c>
      <c r="I48" t="s">
        <v>1333</v>
      </c>
      <c r="J48" t="e">
        <f>VLOOKUP(D48,Data!V:AD,9,0)</f>
        <v>#N/A</v>
      </c>
    </row>
    <row r="49" spans="1:12">
      <c r="A49" s="19" t="s">
        <v>1366</v>
      </c>
      <c r="B49">
        <v>5772</v>
      </c>
      <c r="D49" t="s">
        <v>1368</v>
      </c>
      <c r="E49">
        <v>55998</v>
      </c>
      <c r="F49">
        <f>VLOOKUP(D49,'[1]Sales Register'!$E:$I,5,0)</f>
        <v>55998</v>
      </c>
      <c r="G49">
        <f t="shared" si="0"/>
        <v>0</v>
      </c>
      <c r="I49" t="s">
        <v>1333</v>
      </c>
      <c r="J49" t="e">
        <f>VLOOKUP(D49,Data!V:AD,9,0)</f>
        <v>#N/A</v>
      </c>
    </row>
    <row r="50" spans="1:12">
      <c r="A50" s="19" t="s">
        <v>1367</v>
      </c>
      <c r="B50">
        <v>2551</v>
      </c>
      <c r="D50" t="s">
        <v>1369</v>
      </c>
      <c r="E50">
        <v>25312</v>
      </c>
      <c r="F50">
        <f>VLOOKUP(D50,'[1]Sales Register'!$E:$I,5,0)</f>
        <v>25312</v>
      </c>
      <c r="G50">
        <f t="shared" si="0"/>
        <v>0</v>
      </c>
      <c r="I50" t="s">
        <v>1333</v>
      </c>
      <c r="J50" t="e">
        <f>VLOOKUP(D50,Data!V:AD,9,0)</f>
        <v>#N/A</v>
      </c>
    </row>
    <row r="51" spans="1:12">
      <c r="A51" s="19" t="s">
        <v>1368</v>
      </c>
      <c r="B51">
        <v>55998</v>
      </c>
      <c r="D51" t="s">
        <v>1370</v>
      </c>
      <c r="E51">
        <v>14853</v>
      </c>
      <c r="F51">
        <f>VLOOKUP(D51,'[1]Sales Register'!$E:$I,5,0)</f>
        <v>14853</v>
      </c>
      <c r="G51">
        <f t="shared" si="0"/>
        <v>0</v>
      </c>
      <c r="I51" t="s">
        <v>1333</v>
      </c>
      <c r="J51" t="e">
        <f>VLOOKUP(D51,Data!V:AD,9,0)</f>
        <v>#N/A</v>
      </c>
    </row>
    <row r="52" spans="1:12">
      <c r="A52" s="19" t="s">
        <v>1369</v>
      </c>
      <c r="B52">
        <v>25312</v>
      </c>
      <c r="D52" t="s">
        <v>1371</v>
      </c>
      <c r="E52">
        <v>61092</v>
      </c>
      <c r="F52">
        <f>VLOOKUP(D52,'[1]Sales Register'!$E:$I,5,0)</f>
        <v>61092</v>
      </c>
      <c r="G52">
        <f t="shared" si="0"/>
        <v>0</v>
      </c>
      <c r="I52" t="s">
        <v>1333</v>
      </c>
      <c r="J52" t="e">
        <f>VLOOKUP(D52,Data!V:AD,9,0)</f>
        <v>#N/A</v>
      </c>
    </row>
    <row r="53" spans="1:12">
      <c r="A53" s="19" t="s">
        <v>1370</v>
      </c>
      <c r="B53">
        <v>14853</v>
      </c>
      <c r="D53" t="s">
        <v>1372</v>
      </c>
      <c r="E53">
        <v>681373.11</v>
      </c>
      <c r="F53">
        <f>VLOOKUP(D53,'[1]Sales Register'!$E:$I,5,0)</f>
        <v>681373.11</v>
      </c>
      <c r="G53">
        <f t="shared" si="0"/>
        <v>0</v>
      </c>
      <c r="I53" t="s">
        <v>1333</v>
      </c>
      <c r="J53" t="e">
        <f>VLOOKUP(D53,Data!V:AD,9,0)</f>
        <v>#N/A</v>
      </c>
    </row>
    <row r="54" spans="1:12">
      <c r="A54" s="19" t="s">
        <v>1371</v>
      </c>
      <c r="B54">
        <v>61092</v>
      </c>
      <c r="D54" t="s">
        <v>1373</v>
      </c>
      <c r="E54">
        <v>21847282</v>
      </c>
      <c r="F54">
        <f>VLOOKUP(D54,'[1]Sales Register'!$E:$I,5,0)</f>
        <v>3277092.3</v>
      </c>
      <c r="G54">
        <f t="shared" si="0"/>
        <v>18570189.699999999</v>
      </c>
      <c r="H54" t="e">
        <f>VLOOKUP(D54,'[1]Credit Note Register'!$E:$I,5,0)</f>
        <v>#N/A</v>
      </c>
      <c r="I54" t="s">
        <v>1333</v>
      </c>
      <c r="J54" t="e">
        <f>VLOOKUP(D54,Data!V:AD,9,0)</f>
        <v>#N/A</v>
      </c>
      <c r="K54" t="s">
        <v>1374</v>
      </c>
    </row>
    <row r="55" spans="1:12">
      <c r="A55" s="19" t="s">
        <v>1372</v>
      </c>
      <c r="B55">
        <v>681373.11</v>
      </c>
      <c r="D55" t="s">
        <v>1375</v>
      </c>
      <c r="E55">
        <v>44438</v>
      </c>
      <c r="F55">
        <f>VLOOKUP(D55,'[1]Sales Register'!$E:$I,5,0)</f>
        <v>44438</v>
      </c>
      <c r="G55">
        <f t="shared" si="0"/>
        <v>0</v>
      </c>
      <c r="I55" t="s">
        <v>1333</v>
      </c>
      <c r="J55" t="e">
        <f>VLOOKUP(D55,Data!V:AD,9,0)</f>
        <v>#N/A</v>
      </c>
    </row>
    <row r="56" spans="1:12">
      <c r="A56" s="19" t="s">
        <v>1373</v>
      </c>
      <c r="B56">
        <v>3277092.3000000012</v>
      </c>
      <c r="D56" t="s">
        <v>1376</v>
      </c>
      <c r="E56">
        <v>416152</v>
      </c>
      <c r="F56">
        <f>VLOOKUP(D56,'[1]Sales Register'!$E:$I,5,0)</f>
        <v>416152</v>
      </c>
      <c r="G56">
        <f t="shared" si="0"/>
        <v>0</v>
      </c>
      <c r="I56" t="s">
        <v>1333</v>
      </c>
      <c r="J56" t="e">
        <f>VLOOKUP(D56,Data!V:AD,9,0)</f>
        <v>#N/A</v>
      </c>
    </row>
    <row r="57" spans="1:12">
      <c r="A57" s="19" t="s">
        <v>1375</v>
      </c>
      <c r="B57">
        <v>44438</v>
      </c>
      <c r="D57" t="s">
        <v>1377</v>
      </c>
      <c r="E57">
        <v>1421428.97</v>
      </c>
      <c r="F57">
        <f>VLOOKUP(D57,'[1]Sales Register'!$E:$I,5,0)</f>
        <v>1054981.67</v>
      </c>
      <c r="G57">
        <f t="shared" si="0"/>
        <v>366447.30000000005</v>
      </c>
      <c r="H57" t="e">
        <f>VLOOKUP(D57,'[1]Credit Note Register'!$E:$I,5,0)</f>
        <v>#N/A</v>
      </c>
      <c r="I57" t="s">
        <v>1333</v>
      </c>
      <c r="J57" t="e">
        <f>VLOOKUP(D57,Data!V:AD,9,0)</f>
        <v>#N/A</v>
      </c>
      <c r="L57" s="4" t="s">
        <v>1378</v>
      </c>
    </row>
    <row r="58" spans="1:12">
      <c r="A58" s="19" t="s">
        <v>1376</v>
      </c>
      <c r="B58">
        <v>416152</v>
      </c>
      <c r="D58" t="s">
        <v>1379</v>
      </c>
      <c r="E58">
        <v>1403</v>
      </c>
      <c r="F58">
        <f>VLOOKUP(D58,'[1]Sales Register'!$E:$I,5,0)</f>
        <v>1403</v>
      </c>
      <c r="G58">
        <f t="shared" si="0"/>
        <v>0</v>
      </c>
      <c r="I58" t="s">
        <v>1333</v>
      </c>
      <c r="J58" t="e">
        <f>VLOOKUP(D58,Data!V:AD,9,0)</f>
        <v>#N/A</v>
      </c>
    </row>
    <row r="59" spans="1:12">
      <c r="A59" s="19" t="s">
        <v>1377</v>
      </c>
      <c r="B59">
        <v>1421428.97</v>
      </c>
      <c r="D59" t="s">
        <v>1380</v>
      </c>
      <c r="E59">
        <v>1254</v>
      </c>
      <c r="F59">
        <f>VLOOKUP(D59,'[1]Sales Register'!$E:$I,5,0)</f>
        <v>1254</v>
      </c>
      <c r="G59">
        <f t="shared" si="0"/>
        <v>0</v>
      </c>
      <c r="I59" t="s">
        <v>1333</v>
      </c>
      <c r="J59" t="e">
        <f>VLOOKUP(D59,Data!V:AD,9,0)</f>
        <v>#N/A</v>
      </c>
    </row>
    <row r="60" spans="1:12">
      <c r="A60" s="19" t="s">
        <v>1379</v>
      </c>
      <c r="B60">
        <v>1403</v>
      </c>
      <c r="D60" t="s">
        <v>1381</v>
      </c>
      <c r="E60">
        <v>89709</v>
      </c>
      <c r="F60">
        <f>VLOOKUP(D60,'[1]Sales Register'!$E:$I,5,0)</f>
        <v>89709</v>
      </c>
      <c r="G60">
        <f t="shared" si="0"/>
        <v>0</v>
      </c>
      <c r="I60" t="s">
        <v>1333</v>
      </c>
      <c r="J60" t="e">
        <f>VLOOKUP(D60,Data!V:AD,9,0)</f>
        <v>#N/A</v>
      </c>
    </row>
    <row r="61" spans="1:12">
      <c r="A61" s="19" t="s">
        <v>1380</v>
      </c>
      <c r="B61">
        <v>1254</v>
      </c>
      <c r="D61" t="s">
        <v>1382</v>
      </c>
      <c r="E61">
        <v>33011</v>
      </c>
      <c r="F61">
        <f>VLOOKUP(D61,'[1]Sales Register'!$E:$I,5,0)</f>
        <v>33011</v>
      </c>
      <c r="G61">
        <f t="shared" si="0"/>
        <v>0</v>
      </c>
      <c r="I61" t="s">
        <v>1333</v>
      </c>
      <c r="J61" t="e">
        <f>VLOOKUP(D61,Data!V:AD,9,0)</f>
        <v>#N/A</v>
      </c>
    </row>
    <row r="62" spans="1:12">
      <c r="A62" s="19" t="s">
        <v>1381</v>
      </c>
      <c r="B62">
        <v>89709</v>
      </c>
      <c r="D62" t="s">
        <v>1383</v>
      </c>
      <c r="E62">
        <v>2963805.0099999993</v>
      </c>
      <c r="F62">
        <f>VLOOKUP(D62,'[1]Sales Register'!$E:$I,5,0)</f>
        <v>2963805.01</v>
      </c>
      <c r="G62">
        <f t="shared" si="0"/>
        <v>0</v>
      </c>
      <c r="I62" t="s">
        <v>1333</v>
      </c>
      <c r="J62" t="e">
        <f>VLOOKUP(D62,Data!V:AD,9,0)</f>
        <v>#N/A</v>
      </c>
    </row>
    <row r="63" spans="1:12">
      <c r="A63" s="19" t="s">
        <v>1382</v>
      </c>
      <c r="B63">
        <v>33011</v>
      </c>
      <c r="D63" t="s">
        <v>1384</v>
      </c>
      <c r="E63">
        <v>6779.23</v>
      </c>
      <c r="F63">
        <f>VLOOKUP(D63,'[1]Sales Register'!$E:$I,5,0)</f>
        <v>6779.23</v>
      </c>
      <c r="G63">
        <f t="shared" si="0"/>
        <v>0</v>
      </c>
      <c r="I63" t="s">
        <v>1333</v>
      </c>
      <c r="J63" t="e">
        <f>VLOOKUP(D63,Data!V:AD,9,0)</f>
        <v>#N/A</v>
      </c>
    </row>
    <row r="64" spans="1:12">
      <c r="A64" s="19" t="s">
        <v>1383</v>
      </c>
      <c r="B64">
        <v>2963805.0099999993</v>
      </c>
      <c r="D64" t="s">
        <v>1385</v>
      </c>
      <c r="E64">
        <v>104741</v>
      </c>
      <c r="F64">
        <f>VLOOKUP(D64,'[1]Sales Register'!$E:$I,5,0)</f>
        <v>104741</v>
      </c>
      <c r="G64">
        <f t="shared" si="0"/>
        <v>0</v>
      </c>
      <c r="I64" t="s">
        <v>1333</v>
      </c>
      <c r="J64" t="e">
        <f>VLOOKUP(D64,Data!V:AD,9,0)</f>
        <v>#N/A</v>
      </c>
    </row>
    <row r="65" spans="1:10">
      <c r="A65" s="19" t="s">
        <v>1384</v>
      </c>
      <c r="B65">
        <v>6779.23</v>
      </c>
      <c r="D65" t="s">
        <v>1386</v>
      </c>
      <c r="E65">
        <v>19821</v>
      </c>
      <c r="F65">
        <f>VLOOKUP(D65,'[1]Sales Register'!$E:$I,5,0)</f>
        <v>19821</v>
      </c>
      <c r="G65">
        <f t="shared" si="0"/>
        <v>0</v>
      </c>
      <c r="I65" t="s">
        <v>1333</v>
      </c>
      <c r="J65" t="e">
        <f>VLOOKUP(D65,Data!V:AD,9,0)</f>
        <v>#N/A</v>
      </c>
    </row>
    <row r="66" spans="1:10">
      <c r="A66" s="19" t="s">
        <v>1385</v>
      </c>
      <c r="B66">
        <v>104741</v>
      </c>
      <c r="D66" t="s">
        <v>1387</v>
      </c>
      <c r="E66">
        <v>7249</v>
      </c>
      <c r="F66">
        <f>VLOOKUP(D66,'[1]Sales Register'!$E:$I,5,0)</f>
        <v>7249</v>
      </c>
      <c r="G66">
        <f t="shared" si="0"/>
        <v>0</v>
      </c>
      <c r="I66" t="s">
        <v>1333</v>
      </c>
      <c r="J66" t="e">
        <f>VLOOKUP(D66,Data!V:AD,9,0)</f>
        <v>#N/A</v>
      </c>
    </row>
    <row r="67" spans="1:10">
      <c r="A67" s="19" t="s">
        <v>1386</v>
      </c>
      <c r="B67">
        <v>19821</v>
      </c>
      <c r="D67" t="s">
        <v>116</v>
      </c>
      <c r="E67">
        <v>51713</v>
      </c>
      <c r="F67">
        <f>VLOOKUP(D67,'[1]Sales Register'!$E:$I,5,0)</f>
        <v>51713</v>
      </c>
      <c r="G67">
        <f t="shared" ref="G67:G130" si="1">E67-F67</f>
        <v>0</v>
      </c>
      <c r="I67" t="s">
        <v>1333</v>
      </c>
      <c r="J67" t="str">
        <f>VLOOKUP(D67,Data!V:AD,9,0)</f>
        <v>Jun'23</v>
      </c>
    </row>
    <row r="68" spans="1:10">
      <c r="A68" s="19" t="s">
        <v>1387</v>
      </c>
      <c r="B68">
        <v>7249</v>
      </c>
      <c r="D68" t="s">
        <v>107</v>
      </c>
      <c r="E68">
        <v>171937.2</v>
      </c>
      <c r="F68">
        <f>VLOOKUP(D68,'[1]Sales Register'!$E:$I,5,0)</f>
        <v>171937.2</v>
      </c>
      <c r="G68">
        <f t="shared" si="1"/>
        <v>0</v>
      </c>
      <c r="I68" t="s">
        <v>1333</v>
      </c>
      <c r="J68" t="str">
        <f>VLOOKUP(D68,Data!V:AD,9,0)</f>
        <v>Jun'23</v>
      </c>
    </row>
    <row r="69" spans="1:10">
      <c r="A69" s="19" t="s">
        <v>116</v>
      </c>
      <c r="B69">
        <v>51713</v>
      </c>
      <c r="D69" t="s">
        <v>136</v>
      </c>
      <c r="E69">
        <v>143631.28</v>
      </c>
      <c r="F69">
        <f>VLOOKUP(D69,'[1]Sales Register'!$E:$I,5,0)</f>
        <v>139964</v>
      </c>
      <c r="G69">
        <f t="shared" si="1"/>
        <v>3667.2799999999988</v>
      </c>
      <c r="H69" t="e">
        <f>VLOOKUP(D69,'[1]Credit Note Register'!$E:$I,5,0)</f>
        <v>#N/A</v>
      </c>
      <c r="I69" t="s">
        <v>1333</v>
      </c>
      <c r="J69" t="str">
        <f>VLOOKUP(D69,Data!V:AD,9,0)</f>
        <v>Jun'23</v>
      </c>
    </row>
    <row r="70" spans="1:10">
      <c r="A70" s="19" t="s">
        <v>107</v>
      </c>
      <c r="B70">
        <v>171937.2</v>
      </c>
      <c r="D70" t="s">
        <v>76</v>
      </c>
      <c r="E70">
        <v>59399</v>
      </c>
      <c r="F70">
        <f>VLOOKUP(D70,'[1]Sales Register'!$E:$I,5,0)</f>
        <v>59399</v>
      </c>
      <c r="G70">
        <f t="shared" si="1"/>
        <v>0</v>
      </c>
      <c r="I70" t="s">
        <v>1333</v>
      </c>
      <c r="J70" t="str">
        <f>VLOOKUP(D70,Data!V:AD,9,0)</f>
        <v>Jun'23</v>
      </c>
    </row>
    <row r="71" spans="1:10">
      <c r="A71" s="19" t="s">
        <v>136</v>
      </c>
      <c r="B71">
        <v>143631.28</v>
      </c>
      <c r="D71" t="s">
        <v>212</v>
      </c>
      <c r="E71">
        <v>21799</v>
      </c>
      <c r="F71">
        <f>VLOOKUP(D71,'[1]Sales Register'!$E:$I,5,0)</f>
        <v>21799</v>
      </c>
      <c r="G71">
        <f t="shared" si="1"/>
        <v>0</v>
      </c>
      <c r="I71" t="s">
        <v>1333</v>
      </c>
      <c r="J71" t="str">
        <f>VLOOKUP(D71,Data!V:AD,9,0)</f>
        <v>Jun'23</v>
      </c>
    </row>
    <row r="72" spans="1:10">
      <c r="A72" s="19" t="s">
        <v>76</v>
      </c>
      <c r="B72">
        <v>59399</v>
      </c>
      <c r="D72" t="s">
        <v>41</v>
      </c>
      <c r="E72">
        <v>59090</v>
      </c>
      <c r="F72">
        <f>VLOOKUP(D72,'[1]Sales Register'!$E:$I,5,0)</f>
        <v>59090</v>
      </c>
      <c r="G72">
        <f t="shared" si="1"/>
        <v>0</v>
      </c>
      <c r="I72" t="s">
        <v>1333</v>
      </c>
      <c r="J72" t="str">
        <f>VLOOKUP(D72,Data!V:AD,9,0)</f>
        <v>Jun'23</v>
      </c>
    </row>
    <row r="73" spans="1:10">
      <c r="A73" s="19" t="s">
        <v>212</v>
      </c>
      <c r="B73">
        <v>21799</v>
      </c>
      <c r="D73" t="s">
        <v>55</v>
      </c>
      <c r="E73">
        <v>14724953.4</v>
      </c>
      <c r="F73">
        <f>VLOOKUP(D73,'[1]Sales Register'!$E:$I,5,0)</f>
        <v>14724953.4</v>
      </c>
      <c r="G73">
        <f t="shared" si="1"/>
        <v>0</v>
      </c>
      <c r="I73" t="s">
        <v>1333</v>
      </c>
      <c r="J73" t="str">
        <f>VLOOKUP(D73,Data!V:AD,9,0)</f>
        <v>Jun'23</v>
      </c>
    </row>
    <row r="74" spans="1:10">
      <c r="A74" s="19" t="s">
        <v>41</v>
      </c>
      <c r="B74">
        <v>59090</v>
      </c>
      <c r="D74" t="s">
        <v>1388</v>
      </c>
      <c r="E74">
        <v>319016</v>
      </c>
      <c r="F74">
        <f>VLOOKUP(D74,'[1]Sales Register'!$E:$I,5,0)</f>
        <v>390812</v>
      </c>
      <c r="G74">
        <f t="shared" si="1"/>
        <v>-71796</v>
      </c>
      <c r="H74" t="e">
        <f>VLOOKUP(D74,'[1]Credit Note Register'!$E:$I,5,0)</f>
        <v>#N/A</v>
      </c>
      <c r="I74" t="s">
        <v>1333</v>
      </c>
      <c r="J74" t="e">
        <f>VLOOKUP(D74,Data!V:AD,9,0)</f>
        <v>#N/A</v>
      </c>
    </row>
    <row r="75" spans="1:10">
      <c r="A75" s="19" t="s">
        <v>55</v>
      </c>
      <c r="B75">
        <v>14724953.4</v>
      </c>
      <c r="D75" t="s">
        <v>1389</v>
      </c>
      <c r="E75">
        <v>10041.75</v>
      </c>
      <c r="F75">
        <f>VLOOKUP(D75,'[1]Sales Register'!$E:$I,5,0)</f>
        <v>296574.75</v>
      </c>
      <c r="G75">
        <f t="shared" si="1"/>
        <v>-286533</v>
      </c>
      <c r="H75" t="e">
        <f>VLOOKUP(D75,'[1]Credit Note Register'!$E:$I,5,0)</f>
        <v>#N/A</v>
      </c>
      <c r="I75" t="s">
        <v>1333</v>
      </c>
      <c r="J75" t="e">
        <f>VLOOKUP(D75,Data!V:AD,9,0)</f>
        <v>#N/A</v>
      </c>
    </row>
    <row r="76" spans="1:10">
      <c r="A76" s="19" t="s">
        <v>1388</v>
      </c>
      <c r="B76">
        <v>319016</v>
      </c>
      <c r="D76" t="s">
        <v>1390</v>
      </c>
      <c r="E76">
        <v>2811.3199999999997</v>
      </c>
      <c r="F76">
        <f>VLOOKUP(D76,'[1]Sales Register'!$E:$I,5,0)</f>
        <v>2811.32</v>
      </c>
      <c r="G76">
        <f t="shared" si="1"/>
        <v>0</v>
      </c>
      <c r="I76" t="s">
        <v>1333</v>
      </c>
      <c r="J76" t="e">
        <f>VLOOKUP(D76,Data!V:AD,9,0)</f>
        <v>#N/A</v>
      </c>
    </row>
    <row r="77" spans="1:10">
      <c r="A77" s="19" t="s">
        <v>1389</v>
      </c>
      <c r="B77">
        <v>10041.75</v>
      </c>
      <c r="D77" t="s">
        <v>1391</v>
      </c>
      <c r="E77">
        <v>26261</v>
      </c>
      <c r="F77">
        <f>VLOOKUP(D77,'[1]Sales Register'!$E:$I,5,0)</f>
        <v>57143</v>
      </c>
      <c r="G77">
        <f t="shared" si="1"/>
        <v>-30882</v>
      </c>
      <c r="H77" t="e">
        <f>VLOOKUP(D77,'[1]Credit Note Register'!$E:$I,5,0)</f>
        <v>#N/A</v>
      </c>
      <c r="I77" t="s">
        <v>1333</v>
      </c>
      <c r="J77" t="e">
        <f>VLOOKUP(D77,Data!V:AD,9,0)</f>
        <v>#N/A</v>
      </c>
    </row>
    <row r="78" spans="1:10">
      <c r="A78" s="19" t="s">
        <v>1390</v>
      </c>
      <c r="B78">
        <v>2811.3199999999997</v>
      </c>
      <c r="D78" t="s">
        <v>1392</v>
      </c>
      <c r="E78">
        <v>57621</v>
      </c>
      <c r="F78">
        <f>VLOOKUP(D78,'[1]Sales Register'!$E:$I,5,0)</f>
        <v>73902</v>
      </c>
      <c r="G78">
        <f t="shared" si="1"/>
        <v>-16281</v>
      </c>
      <c r="H78" t="e">
        <f>VLOOKUP(D78,'[1]Credit Note Register'!$E:$I,5,0)</f>
        <v>#N/A</v>
      </c>
      <c r="I78" t="s">
        <v>1333</v>
      </c>
      <c r="J78" t="e">
        <f>VLOOKUP(D78,Data!V:AD,9,0)</f>
        <v>#N/A</v>
      </c>
    </row>
    <row r="79" spans="1:10">
      <c r="A79" s="19" t="s">
        <v>1391</v>
      </c>
      <c r="B79">
        <v>26261</v>
      </c>
      <c r="D79" t="s">
        <v>1393</v>
      </c>
      <c r="E79">
        <v>-115506.44000000012</v>
      </c>
      <c r="F79" t="e">
        <f>VLOOKUP(D79,'[1]Sales Register'!$E:$I,5,0)</f>
        <v>#N/A</v>
      </c>
      <c r="G79" t="e">
        <f t="shared" si="1"/>
        <v>#N/A</v>
      </c>
      <c r="H79">
        <f>VLOOKUP(D79,'[1]Credit Note Register'!$E:$I,5,0)</f>
        <v>63376.32</v>
      </c>
      <c r="I79" t="s">
        <v>1333</v>
      </c>
      <c r="J79" t="e">
        <f>VLOOKUP(D79,Data!V:AD,9,0)</f>
        <v>#N/A</v>
      </c>
    </row>
    <row r="80" spans="1:10">
      <c r="A80" s="19" t="s">
        <v>1392</v>
      </c>
      <c r="B80">
        <v>57621</v>
      </c>
      <c r="D80" t="s">
        <v>1394</v>
      </c>
      <c r="E80">
        <v>1553900.01</v>
      </c>
      <c r="F80">
        <f>VLOOKUP(D80,'[1]Sales Register'!$E:$I,5,0)</f>
        <v>1553900.01</v>
      </c>
      <c r="G80">
        <f t="shared" si="1"/>
        <v>0</v>
      </c>
      <c r="I80" t="s">
        <v>1333</v>
      </c>
      <c r="J80" t="e">
        <f>VLOOKUP(D80,Data!V:AD,9,0)</f>
        <v>#N/A</v>
      </c>
    </row>
    <row r="81" spans="1:10">
      <c r="A81" s="19" t="s">
        <v>1393</v>
      </c>
      <c r="B81">
        <v>-115506.44000000012</v>
      </c>
      <c r="D81" t="s">
        <v>1395</v>
      </c>
      <c r="E81">
        <v>347500</v>
      </c>
      <c r="F81">
        <f>VLOOKUP(D81,'[1]Sales Register'!$E:$I,5,0)</f>
        <v>347500</v>
      </c>
      <c r="G81">
        <f t="shared" si="1"/>
        <v>0</v>
      </c>
      <c r="I81" t="s">
        <v>1333</v>
      </c>
      <c r="J81" t="e">
        <f>VLOOKUP(D81,Data!V:AD,9,0)</f>
        <v>#N/A</v>
      </c>
    </row>
    <row r="82" spans="1:10">
      <c r="A82" s="19" t="s">
        <v>1394</v>
      </c>
      <c r="B82">
        <v>1553900.01</v>
      </c>
      <c r="D82" t="s">
        <v>389</v>
      </c>
      <c r="E82">
        <v>106183.78</v>
      </c>
      <c r="F82">
        <f>VLOOKUP(D82,'[1]Sales Register'!$E:$I,5,0)</f>
        <v>106183.78</v>
      </c>
      <c r="G82">
        <f t="shared" si="1"/>
        <v>0</v>
      </c>
      <c r="I82" t="s">
        <v>1333</v>
      </c>
      <c r="J82" t="str">
        <f>VLOOKUP(D82,Data!V:AD,9,0)</f>
        <v>Jun'23</v>
      </c>
    </row>
    <row r="83" spans="1:10">
      <c r="A83" s="19" t="s">
        <v>1395</v>
      </c>
      <c r="B83">
        <v>347500</v>
      </c>
      <c r="D83" t="s">
        <v>1396</v>
      </c>
      <c r="E83">
        <v>90543.709999999992</v>
      </c>
      <c r="F83">
        <f>VLOOKUP(D83,'[1]Sales Register'!$E:$I,5,0)</f>
        <v>234721.71</v>
      </c>
      <c r="G83">
        <f t="shared" si="1"/>
        <v>-144178</v>
      </c>
      <c r="H83" t="e">
        <f>VLOOKUP(D83,'[1]Credit Note Register'!$E:$I,5,0)</f>
        <v>#N/A</v>
      </c>
      <c r="I83" t="s">
        <v>1333</v>
      </c>
      <c r="J83" t="e">
        <f>VLOOKUP(D83,Data!V:AD,9,0)</f>
        <v>#N/A</v>
      </c>
    </row>
    <row r="84" spans="1:10">
      <c r="A84" s="19" t="s">
        <v>389</v>
      </c>
      <c r="B84">
        <v>106183.78</v>
      </c>
      <c r="D84" t="s">
        <v>1397</v>
      </c>
      <c r="E84">
        <v>-115859.48999999999</v>
      </c>
      <c r="F84" t="e">
        <f>VLOOKUP(D84,'[1]Sales Register'!$E:$I,5,0)</f>
        <v>#N/A</v>
      </c>
      <c r="G84" t="e">
        <f t="shared" si="1"/>
        <v>#N/A</v>
      </c>
      <c r="H84">
        <f>VLOOKUP(D84,'[1]Credit Note Register'!$E:$I,5,0)</f>
        <v>115859.49</v>
      </c>
      <c r="I84" t="s">
        <v>1333</v>
      </c>
      <c r="J84" t="e">
        <f>VLOOKUP(D84,Data!V:AD,9,0)</f>
        <v>#N/A</v>
      </c>
    </row>
    <row r="85" spans="1:10">
      <c r="A85" s="19" t="s">
        <v>1396</v>
      </c>
      <c r="B85">
        <v>90543.709999999992</v>
      </c>
      <c r="D85" t="s">
        <v>273</v>
      </c>
      <c r="E85">
        <v>1861</v>
      </c>
      <c r="F85" t="e">
        <f>VLOOKUP(D85,'[1]Sales Register'!$E:$I,5,0)</f>
        <v>#N/A</v>
      </c>
      <c r="G85" t="e">
        <f t="shared" si="1"/>
        <v>#N/A</v>
      </c>
      <c r="H85" t="e">
        <f>VLOOKUP(D85,'[1]Credit Note Register'!$E:$I,5,0)</f>
        <v>#N/A</v>
      </c>
      <c r="J85" t="str">
        <f>VLOOKUP(D85,Data!V:AD,9,0)</f>
        <v>Jun'23</v>
      </c>
    </row>
    <row r="86" spans="1:10">
      <c r="A86" s="19" t="s">
        <v>1397</v>
      </c>
      <c r="B86">
        <v>-115859.48999999999</v>
      </c>
      <c r="D86" t="s">
        <v>1398</v>
      </c>
      <c r="E86">
        <v>0</v>
      </c>
      <c r="F86" t="e">
        <f>VLOOKUP(D86,'[1]Sales Register'!$E:$I,5,0)</f>
        <v>#N/A</v>
      </c>
      <c r="G86" t="e">
        <f t="shared" si="1"/>
        <v>#N/A</v>
      </c>
      <c r="H86" t="e">
        <f>VLOOKUP(D86,'[1]Credit Note Register'!$E:$I,5,0)</f>
        <v>#N/A</v>
      </c>
      <c r="J86" t="e">
        <f>VLOOKUP(D86,Data!V:AD,9,0)</f>
        <v>#N/A</v>
      </c>
    </row>
    <row r="87" spans="1:10">
      <c r="A87" s="19" t="s">
        <v>273</v>
      </c>
      <c r="B87">
        <v>1861</v>
      </c>
      <c r="D87" t="s">
        <v>1399</v>
      </c>
      <c r="E87">
        <v>6333</v>
      </c>
      <c r="F87">
        <f>VLOOKUP(D87,'[1]Sales Register'!$E:$I,5,0)</f>
        <v>6333</v>
      </c>
      <c r="G87">
        <f t="shared" si="1"/>
        <v>0</v>
      </c>
      <c r="I87" t="s">
        <v>1333</v>
      </c>
      <c r="J87" t="e">
        <f>VLOOKUP(D87,Data!V:AD,9,0)</f>
        <v>#N/A</v>
      </c>
    </row>
    <row r="88" spans="1:10">
      <c r="A88" s="19" t="s">
        <v>1398</v>
      </c>
      <c r="B88">
        <v>0</v>
      </c>
      <c r="D88" t="s">
        <v>1400</v>
      </c>
      <c r="E88">
        <v>2371</v>
      </c>
      <c r="F88">
        <f>VLOOKUP(D88,'[1]Sales Register'!$E:$I,5,0)</f>
        <v>2371</v>
      </c>
      <c r="G88">
        <f t="shared" si="1"/>
        <v>0</v>
      </c>
      <c r="I88" t="s">
        <v>1333</v>
      </c>
      <c r="J88" t="e">
        <f>VLOOKUP(D88,Data!V:AD,9,0)</f>
        <v>#N/A</v>
      </c>
    </row>
    <row r="89" spans="1:10">
      <c r="A89" s="19" t="s">
        <v>1399</v>
      </c>
      <c r="B89">
        <v>6333</v>
      </c>
      <c r="D89" t="s">
        <v>1401</v>
      </c>
      <c r="E89">
        <v>32819</v>
      </c>
      <c r="F89">
        <f>VLOOKUP(D89,'[1]Sales Register'!$E:$I,5,0)</f>
        <v>32819</v>
      </c>
      <c r="G89">
        <f t="shared" si="1"/>
        <v>0</v>
      </c>
      <c r="I89" t="s">
        <v>1333</v>
      </c>
      <c r="J89" t="e">
        <f>VLOOKUP(D89,Data!V:AD,9,0)</f>
        <v>#N/A</v>
      </c>
    </row>
    <row r="90" spans="1:10">
      <c r="A90" s="19" t="s">
        <v>1400</v>
      </c>
      <c r="B90">
        <v>2371</v>
      </c>
      <c r="D90" t="s">
        <v>1402</v>
      </c>
      <c r="E90">
        <v>24920</v>
      </c>
      <c r="F90">
        <f>VLOOKUP(D90,'[1]Sales Register'!$E:$I,5,0)</f>
        <v>24920</v>
      </c>
      <c r="G90">
        <f t="shared" si="1"/>
        <v>0</v>
      </c>
      <c r="I90" t="s">
        <v>1333</v>
      </c>
      <c r="J90" t="e">
        <f>VLOOKUP(D90,Data!V:AD,9,0)</f>
        <v>#N/A</v>
      </c>
    </row>
    <row r="91" spans="1:10">
      <c r="A91" s="19" t="s">
        <v>1401</v>
      </c>
      <c r="B91">
        <v>32819</v>
      </c>
      <c r="D91" t="s">
        <v>1403</v>
      </c>
      <c r="E91">
        <v>89687.2</v>
      </c>
      <c r="F91">
        <f>VLOOKUP(D91,'[1]Sales Register'!$E:$I,5,0)</f>
        <v>89687.2</v>
      </c>
      <c r="G91">
        <f t="shared" si="1"/>
        <v>0</v>
      </c>
      <c r="I91" t="s">
        <v>1333</v>
      </c>
      <c r="J91" t="e">
        <f>VLOOKUP(D91,Data!V:AD,9,0)</f>
        <v>#N/A</v>
      </c>
    </row>
    <row r="92" spans="1:10">
      <c r="A92" s="19" t="s">
        <v>1402</v>
      </c>
      <c r="B92">
        <v>24920</v>
      </c>
      <c r="D92" t="s">
        <v>1404</v>
      </c>
      <c r="E92">
        <v>4089</v>
      </c>
      <c r="F92">
        <f>VLOOKUP(D92,'[1]Sales Register'!$E:$I,5,0)</f>
        <v>4089</v>
      </c>
      <c r="G92">
        <f t="shared" si="1"/>
        <v>0</v>
      </c>
      <c r="I92" t="s">
        <v>1333</v>
      </c>
      <c r="J92" t="e">
        <f>VLOOKUP(D92,Data!V:AD,9,0)</f>
        <v>#N/A</v>
      </c>
    </row>
    <row r="93" spans="1:10">
      <c r="A93" s="19" t="s">
        <v>1403</v>
      </c>
      <c r="B93">
        <v>89687.2</v>
      </c>
      <c r="D93" t="s">
        <v>733</v>
      </c>
      <c r="E93">
        <v>22097</v>
      </c>
      <c r="F93">
        <f>VLOOKUP(D93,'[1]Sales Register'!$E:$I,5,0)</f>
        <v>22097</v>
      </c>
      <c r="G93">
        <f t="shared" si="1"/>
        <v>0</v>
      </c>
      <c r="I93" t="s">
        <v>1333</v>
      </c>
      <c r="J93" t="str">
        <f>VLOOKUP(D93,Data!V:AD,9,0)</f>
        <v>Jun'23</v>
      </c>
    </row>
    <row r="94" spans="1:10">
      <c r="A94" s="19" t="s">
        <v>1404</v>
      </c>
      <c r="B94">
        <v>4089</v>
      </c>
      <c r="D94" t="s">
        <v>649</v>
      </c>
      <c r="E94">
        <v>3318.1200000000003</v>
      </c>
      <c r="F94">
        <f>VLOOKUP(D94,'[1]Sales Register'!$E:$I,5,0)</f>
        <v>3318.12</v>
      </c>
      <c r="G94">
        <f t="shared" si="1"/>
        <v>0</v>
      </c>
      <c r="I94" t="s">
        <v>1333</v>
      </c>
      <c r="J94" t="str">
        <f>VLOOKUP(D94,Data!V:AD,9,0)</f>
        <v>Jun'23</v>
      </c>
    </row>
    <row r="95" spans="1:10">
      <c r="A95" s="19" t="s">
        <v>733</v>
      </c>
      <c r="B95">
        <v>22097</v>
      </c>
      <c r="D95" t="s">
        <v>1405</v>
      </c>
      <c r="E95">
        <v>-14773.5</v>
      </c>
      <c r="F95" t="e">
        <f>VLOOKUP(D95,'[1]Sales Register'!$E:$I,5,0)</f>
        <v>#N/A</v>
      </c>
      <c r="G95" t="e">
        <f t="shared" si="1"/>
        <v>#N/A</v>
      </c>
      <c r="H95">
        <f>VLOOKUP(D95,'[1]Credit Note Register'!$E:$I,5,0)</f>
        <v>14773.5</v>
      </c>
      <c r="I95" t="s">
        <v>1333</v>
      </c>
      <c r="J95" t="e">
        <f>VLOOKUP(D95,Data!V:AD,9,0)</f>
        <v>#N/A</v>
      </c>
    </row>
    <row r="96" spans="1:10">
      <c r="A96" s="19" t="s">
        <v>649</v>
      </c>
      <c r="B96">
        <v>3318.1200000000003</v>
      </c>
      <c r="D96" t="s">
        <v>1406</v>
      </c>
      <c r="E96">
        <v>7263</v>
      </c>
      <c r="F96">
        <f>VLOOKUP(D96,'[1]Sales Register'!$E:$I,5,0)</f>
        <v>7263</v>
      </c>
      <c r="G96">
        <f t="shared" si="1"/>
        <v>0</v>
      </c>
      <c r="I96" t="s">
        <v>1333</v>
      </c>
      <c r="J96" t="e">
        <f>VLOOKUP(D96,Data!V:AD,9,0)</f>
        <v>#N/A</v>
      </c>
    </row>
    <row r="97" spans="1:10">
      <c r="A97" s="19" t="s">
        <v>1405</v>
      </c>
      <c r="B97">
        <v>-14773.5</v>
      </c>
      <c r="D97" t="s">
        <v>1407</v>
      </c>
      <c r="E97">
        <v>24396.5</v>
      </c>
      <c r="F97">
        <f>VLOOKUP(D97,'[1]Sales Register'!$E:$I,5,0)</f>
        <v>24396.5</v>
      </c>
      <c r="G97">
        <f t="shared" si="1"/>
        <v>0</v>
      </c>
      <c r="I97" t="s">
        <v>1333</v>
      </c>
      <c r="J97" t="e">
        <f>VLOOKUP(D97,Data!V:AD,9,0)</f>
        <v>#N/A</v>
      </c>
    </row>
    <row r="98" spans="1:10">
      <c r="A98" s="19" t="s">
        <v>1406</v>
      </c>
      <c r="B98">
        <v>7263</v>
      </c>
      <c r="D98" t="s">
        <v>1408</v>
      </c>
      <c r="E98">
        <v>2877</v>
      </c>
      <c r="F98">
        <f>VLOOKUP(D98,'[1]Sales Register'!$E:$I,5,0)</f>
        <v>2877</v>
      </c>
      <c r="G98">
        <f t="shared" si="1"/>
        <v>0</v>
      </c>
      <c r="I98" t="s">
        <v>1333</v>
      </c>
      <c r="J98" t="e">
        <f>VLOOKUP(D98,Data!V:AD,9,0)</f>
        <v>#N/A</v>
      </c>
    </row>
    <row r="99" spans="1:10">
      <c r="A99" s="19" t="s">
        <v>1407</v>
      </c>
      <c r="B99">
        <v>24396.5</v>
      </c>
      <c r="D99" t="s">
        <v>1409</v>
      </c>
      <c r="E99">
        <v>1823.3200000000002</v>
      </c>
      <c r="F99">
        <f>VLOOKUP(D99,'[1]Sales Register'!$E:$I,5,0)</f>
        <v>1823.32</v>
      </c>
      <c r="G99">
        <f t="shared" si="1"/>
        <v>0</v>
      </c>
      <c r="I99" t="s">
        <v>1333</v>
      </c>
      <c r="J99" t="e">
        <f>VLOOKUP(D99,Data!V:AD,9,0)</f>
        <v>#N/A</v>
      </c>
    </row>
    <row r="100" spans="1:10">
      <c r="A100" s="19" t="s">
        <v>1408</v>
      </c>
      <c r="B100">
        <v>2877</v>
      </c>
      <c r="D100" t="s">
        <v>1410</v>
      </c>
      <c r="E100">
        <v>348750</v>
      </c>
      <c r="F100">
        <f>VLOOKUP(D100,'[1]Sales Register'!$E:$I,5,0)</f>
        <v>348750</v>
      </c>
      <c r="G100">
        <f t="shared" si="1"/>
        <v>0</v>
      </c>
      <c r="I100" t="s">
        <v>1333</v>
      </c>
      <c r="J100" t="e">
        <f>VLOOKUP(D100,Data!V:AD,9,0)</f>
        <v>#N/A</v>
      </c>
    </row>
    <row r="101" spans="1:10">
      <c r="A101" s="19" t="s">
        <v>1409</v>
      </c>
      <c r="B101">
        <v>1823.3200000000002</v>
      </c>
      <c r="D101" t="s">
        <v>1411</v>
      </c>
      <c r="E101">
        <v>59</v>
      </c>
      <c r="F101">
        <f>VLOOKUP(D101,'[1]Sales Register'!$E:$I,5,0)</f>
        <v>59</v>
      </c>
      <c r="G101">
        <f t="shared" si="1"/>
        <v>0</v>
      </c>
      <c r="I101" t="s">
        <v>1333</v>
      </c>
      <c r="J101" t="e">
        <f>VLOOKUP(D101,Data!V:AD,9,0)</f>
        <v>#N/A</v>
      </c>
    </row>
    <row r="102" spans="1:10">
      <c r="A102" s="19" t="s">
        <v>1410</v>
      </c>
      <c r="B102">
        <v>348750</v>
      </c>
      <c r="D102" t="s">
        <v>1412</v>
      </c>
      <c r="E102">
        <v>19531</v>
      </c>
      <c r="F102">
        <f>VLOOKUP(D102,'[1]Sales Register'!$E:$I,5,0)</f>
        <v>19531</v>
      </c>
      <c r="G102">
        <f t="shared" si="1"/>
        <v>0</v>
      </c>
      <c r="I102" t="s">
        <v>1333</v>
      </c>
      <c r="J102" t="e">
        <f>VLOOKUP(D102,Data!V:AD,9,0)</f>
        <v>#N/A</v>
      </c>
    </row>
    <row r="103" spans="1:10">
      <c r="A103" s="19" t="s">
        <v>1411</v>
      </c>
      <c r="B103">
        <v>59</v>
      </c>
      <c r="D103" t="s">
        <v>1413</v>
      </c>
      <c r="E103">
        <v>3080</v>
      </c>
      <c r="F103">
        <f>VLOOKUP(D103,'[1]Sales Register'!$E:$I,5,0)</f>
        <v>3080</v>
      </c>
      <c r="G103">
        <f t="shared" si="1"/>
        <v>0</v>
      </c>
      <c r="I103" t="s">
        <v>1333</v>
      </c>
      <c r="J103" t="e">
        <f>VLOOKUP(D103,Data!V:AD,9,0)</f>
        <v>#N/A</v>
      </c>
    </row>
    <row r="104" spans="1:10">
      <c r="A104" s="19" t="s">
        <v>1412</v>
      </c>
      <c r="B104">
        <v>19531</v>
      </c>
      <c r="D104" t="s">
        <v>1414</v>
      </c>
      <c r="E104">
        <v>160892.63</v>
      </c>
      <c r="F104">
        <f>VLOOKUP(D104,'[1]Sales Register'!$E:$I,5,0)</f>
        <v>160892.63</v>
      </c>
      <c r="G104">
        <f t="shared" si="1"/>
        <v>0</v>
      </c>
      <c r="I104" t="s">
        <v>1333</v>
      </c>
      <c r="J104" t="e">
        <f>VLOOKUP(D104,Data!V:AD,9,0)</f>
        <v>#N/A</v>
      </c>
    </row>
    <row r="105" spans="1:10">
      <c r="A105" s="19" t="s">
        <v>1413</v>
      </c>
      <c r="B105">
        <v>3080</v>
      </c>
      <c r="D105" t="s">
        <v>1415</v>
      </c>
      <c r="E105">
        <v>1175743</v>
      </c>
      <c r="F105">
        <f>VLOOKUP(D105,'[1]Sales Register'!$E:$I,5,0)</f>
        <v>1175743</v>
      </c>
      <c r="G105">
        <f t="shared" si="1"/>
        <v>0</v>
      </c>
      <c r="I105" t="s">
        <v>1333</v>
      </c>
      <c r="J105" t="e">
        <f>VLOOKUP(D105,Data!V:AD,9,0)</f>
        <v>#N/A</v>
      </c>
    </row>
    <row r="106" spans="1:10">
      <c r="A106" s="19" t="s">
        <v>1414</v>
      </c>
      <c r="B106">
        <v>160892.63</v>
      </c>
      <c r="D106" t="s">
        <v>1416</v>
      </c>
      <c r="E106">
        <v>184800</v>
      </c>
      <c r="F106">
        <f>VLOOKUP(D106,'[1]Sales Register'!$E:$I,5,0)</f>
        <v>184800</v>
      </c>
      <c r="G106">
        <f t="shared" si="1"/>
        <v>0</v>
      </c>
      <c r="I106" t="s">
        <v>1333</v>
      </c>
      <c r="J106" t="e">
        <f>VLOOKUP(D106,Data!V:AD,9,0)</f>
        <v>#N/A</v>
      </c>
    </row>
    <row r="107" spans="1:10">
      <c r="A107" s="19" t="s">
        <v>1415</v>
      </c>
      <c r="B107">
        <v>1175743</v>
      </c>
      <c r="D107" t="s">
        <v>1417</v>
      </c>
      <c r="E107">
        <v>1271.95</v>
      </c>
      <c r="F107">
        <f>VLOOKUP(D107,'[1]Sales Register'!$E:$I,5,0)</f>
        <v>1271.95</v>
      </c>
      <c r="G107">
        <f t="shared" si="1"/>
        <v>0</v>
      </c>
      <c r="I107" t="s">
        <v>1333</v>
      </c>
      <c r="J107" t="e">
        <f>VLOOKUP(D107,Data!V:AD,9,0)</f>
        <v>#N/A</v>
      </c>
    </row>
    <row r="108" spans="1:10">
      <c r="A108" s="19" t="s">
        <v>1416</v>
      </c>
      <c r="B108">
        <v>184800</v>
      </c>
      <c r="D108" t="s">
        <v>1418</v>
      </c>
      <c r="E108">
        <v>37865</v>
      </c>
      <c r="F108">
        <f>VLOOKUP(D108,'[1]Sales Register'!$E:$I,5,0)</f>
        <v>37865</v>
      </c>
      <c r="G108">
        <f t="shared" si="1"/>
        <v>0</v>
      </c>
      <c r="I108" t="s">
        <v>1333</v>
      </c>
      <c r="J108" t="e">
        <f>VLOOKUP(D108,Data!V:AD,9,0)</f>
        <v>#N/A</v>
      </c>
    </row>
    <row r="109" spans="1:10">
      <c r="A109" s="19" t="s">
        <v>1417</v>
      </c>
      <c r="B109">
        <v>1271.95</v>
      </c>
      <c r="D109" t="s">
        <v>1419</v>
      </c>
      <c r="E109">
        <v>69499</v>
      </c>
      <c r="F109">
        <f>VLOOKUP(D109,'[1]Sales Register'!$E:$I,5,0)</f>
        <v>69499</v>
      </c>
      <c r="G109">
        <f t="shared" si="1"/>
        <v>0</v>
      </c>
      <c r="I109" t="s">
        <v>1333</v>
      </c>
      <c r="J109" t="e">
        <f>VLOOKUP(D109,Data!V:AD,9,0)</f>
        <v>#N/A</v>
      </c>
    </row>
    <row r="110" spans="1:10">
      <c r="A110" s="19" t="s">
        <v>1418</v>
      </c>
      <c r="B110">
        <v>37865</v>
      </c>
      <c r="D110" t="s">
        <v>692</v>
      </c>
      <c r="E110">
        <v>10542</v>
      </c>
      <c r="F110">
        <f>VLOOKUP(D110,'[1]Sales Register'!$E:$I,5,0)</f>
        <v>10542</v>
      </c>
      <c r="G110">
        <f t="shared" si="1"/>
        <v>0</v>
      </c>
      <c r="I110" t="s">
        <v>1333</v>
      </c>
      <c r="J110" t="str">
        <f>VLOOKUP(D110,Data!V:AD,9,0)</f>
        <v>Jun'23</v>
      </c>
    </row>
    <row r="111" spans="1:10">
      <c r="A111" s="19" t="s">
        <v>1419</v>
      </c>
      <c r="B111">
        <v>69499</v>
      </c>
      <c r="D111" t="s">
        <v>177</v>
      </c>
      <c r="E111">
        <v>18491</v>
      </c>
      <c r="F111">
        <f>VLOOKUP(D111,'[1]Sales Register'!$E:$I,5,0)</f>
        <v>18491</v>
      </c>
      <c r="G111">
        <f t="shared" si="1"/>
        <v>0</v>
      </c>
      <c r="I111" t="s">
        <v>1333</v>
      </c>
      <c r="J111" t="str">
        <f>VLOOKUP(D111,Data!V:AD,9,0)</f>
        <v>Jun'23</v>
      </c>
    </row>
    <row r="112" spans="1:10">
      <c r="A112" s="19" t="s">
        <v>692</v>
      </c>
      <c r="B112">
        <v>10542</v>
      </c>
      <c r="D112" t="s">
        <v>476</v>
      </c>
      <c r="E112">
        <v>44097</v>
      </c>
      <c r="F112">
        <f>VLOOKUP(D112,'[1]Sales Register'!$E:$I,5,0)</f>
        <v>44097</v>
      </c>
      <c r="G112">
        <f t="shared" si="1"/>
        <v>0</v>
      </c>
      <c r="I112" t="s">
        <v>1333</v>
      </c>
      <c r="J112" t="str">
        <f>VLOOKUP(D112,Data!V:AD,9,0)</f>
        <v>Jun'23</v>
      </c>
    </row>
    <row r="113" spans="1:10">
      <c r="A113" s="19" t="s">
        <v>177</v>
      </c>
      <c r="B113">
        <v>18491</v>
      </c>
      <c r="D113" t="s">
        <v>512</v>
      </c>
      <c r="E113">
        <v>354.6</v>
      </c>
      <c r="F113">
        <f>VLOOKUP(D113,'[1]Sales Register'!$E:$I,5,0)</f>
        <v>354.6</v>
      </c>
      <c r="G113">
        <f t="shared" si="1"/>
        <v>0</v>
      </c>
      <c r="I113" t="s">
        <v>1333</v>
      </c>
      <c r="J113" t="str">
        <f>VLOOKUP(D113,Data!V:AD,9,0)</f>
        <v>Jun'23</v>
      </c>
    </row>
    <row r="114" spans="1:10">
      <c r="A114" s="19" t="s">
        <v>476</v>
      </c>
      <c r="B114">
        <v>44097</v>
      </c>
      <c r="D114" t="s">
        <v>572</v>
      </c>
      <c r="E114">
        <v>81250</v>
      </c>
      <c r="F114">
        <f>VLOOKUP(D114,'[1]Sales Register'!$E:$I,5,0)</f>
        <v>81250</v>
      </c>
      <c r="G114">
        <f t="shared" si="1"/>
        <v>0</v>
      </c>
      <c r="I114" t="s">
        <v>1333</v>
      </c>
      <c r="J114" t="str">
        <f>VLOOKUP(D114,Data!V:AD,9,0)</f>
        <v>Jun'23</v>
      </c>
    </row>
    <row r="115" spans="1:10">
      <c r="A115" s="19" t="s">
        <v>512</v>
      </c>
      <c r="B115">
        <v>354.6</v>
      </c>
      <c r="D115" t="s">
        <v>1327</v>
      </c>
      <c r="E115">
        <v>91729</v>
      </c>
      <c r="F115">
        <f>VLOOKUP(D115,'[1]Sales Register'!$E:$I,5,0)</f>
        <v>91729</v>
      </c>
      <c r="G115">
        <f t="shared" si="1"/>
        <v>0</v>
      </c>
      <c r="I115" t="s">
        <v>1333</v>
      </c>
      <c r="J115" t="str">
        <f>VLOOKUP(D115,Data!V:AD,9,0)</f>
        <v>Jun'23</v>
      </c>
    </row>
    <row r="116" spans="1:10">
      <c r="A116" s="19" t="s">
        <v>572</v>
      </c>
      <c r="B116">
        <v>81250</v>
      </c>
      <c r="D116" t="s">
        <v>1420</v>
      </c>
      <c r="E116">
        <v>5237</v>
      </c>
      <c r="F116">
        <f>VLOOKUP(D116,'[1]Sales Register'!$E:$I,5,0)</f>
        <v>5237</v>
      </c>
      <c r="G116">
        <f t="shared" si="1"/>
        <v>0</v>
      </c>
      <c r="I116" t="s">
        <v>1333</v>
      </c>
      <c r="J116" t="e">
        <f>VLOOKUP(D116,Data!V:AD,9,0)</f>
        <v>#N/A</v>
      </c>
    </row>
    <row r="117" spans="1:10">
      <c r="A117" s="19" t="s">
        <v>1327</v>
      </c>
      <c r="B117">
        <v>91729</v>
      </c>
      <c r="D117" t="s">
        <v>1421</v>
      </c>
      <c r="E117">
        <v>22600</v>
      </c>
      <c r="F117">
        <f>VLOOKUP(D117,'[1]Sales Register'!$E:$I,5,0)</f>
        <v>22600</v>
      </c>
      <c r="G117">
        <f t="shared" si="1"/>
        <v>0</v>
      </c>
      <c r="I117" t="s">
        <v>1333</v>
      </c>
      <c r="J117" t="e">
        <f>VLOOKUP(D117,Data!V:AD,9,0)</f>
        <v>#N/A</v>
      </c>
    </row>
    <row r="118" spans="1:10">
      <c r="A118" s="19" t="s">
        <v>1420</v>
      </c>
      <c r="B118">
        <v>5237</v>
      </c>
      <c r="D118" t="s">
        <v>1422</v>
      </c>
      <c r="E118">
        <v>67976.549999999988</v>
      </c>
      <c r="F118">
        <f>VLOOKUP(D118,'[1]Sales Register'!$E:$I,5,0)</f>
        <v>73103</v>
      </c>
      <c r="G118">
        <f t="shared" si="1"/>
        <v>-5126.4500000000116</v>
      </c>
      <c r="H118" t="e">
        <f>VLOOKUP(D118,'[1]Credit Note Register'!$E:$I,5,0)</f>
        <v>#N/A</v>
      </c>
      <c r="I118" t="s">
        <v>1333</v>
      </c>
      <c r="J118" t="e">
        <f>VLOOKUP(D118,Data!V:AD,9,0)</f>
        <v>#N/A</v>
      </c>
    </row>
    <row r="119" spans="1:10">
      <c r="A119" s="19" t="s">
        <v>1421</v>
      </c>
      <c r="B119">
        <v>22600</v>
      </c>
      <c r="D119" t="s">
        <v>98</v>
      </c>
      <c r="E119">
        <v>-88897</v>
      </c>
      <c r="F119" t="e">
        <f>VLOOKUP(D119,'[1]Sales Register'!$E:$I,5,0)</f>
        <v>#N/A</v>
      </c>
      <c r="G119" t="e">
        <f t="shared" si="1"/>
        <v>#N/A</v>
      </c>
      <c r="H119">
        <f>VLOOKUP(D119,'[1]Credit Note Register'!$E:$I,5,0)</f>
        <v>88897</v>
      </c>
      <c r="I119" t="s">
        <v>1333</v>
      </c>
      <c r="J119" t="str">
        <f>VLOOKUP(D119,Data!V:AD,9,0)</f>
        <v>Jun'23</v>
      </c>
    </row>
    <row r="120" spans="1:10">
      <c r="A120" s="19" t="s">
        <v>1422</v>
      </c>
      <c r="B120">
        <v>67976.549999999988</v>
      </c>
      <c r="D120" t="s">
        <v>1423</v>
      </c>
      <c r="E120">
        <v>5488</v>
      </c>
      <c r="F120">
        <f>VLOOKUP(D120,'[1]Sales Register'!$E:$I,5,0)</f>
        <v>5488</v>
      </c>
      <c r="G120">
        <f t="shared" si="1"/>
        <v>0</v>
      </c>
      <c r="I120" t="s">
        <v>1333</v>
      </c>
      <c r="J120" t="e">
        <f>VLOOKUP(D120,Data!V:AD,9,0)</f>
        <v>#N/A</v>
      </c>
    </row>
    <row r="121" spans="1:10">
      <c r="A121" s="19" t="s">
        <v>98</v>
      </c>
      <c r="B121">
        <v>-88897</v>
      </c>
      <c r="D121" t="s">
        <v>1424</v>
      </c>
      <c r="E121">
        <v>1496</v>
      </c>
      <c r="F121">
        <f>VLOOKUP(D121,'[1]Sales Register'!$E:$I,5,0)</f>
        <v>1496</v>
      </c>
      <c r="G121">
        <f t="shared" si="1"/>
        <v>0</v>
      </c>
      <c r="I121" t="s">
        <v>1333</v>
      </c>
      <c r="J121" t="e">
        <f>VLOOKUP(D121,Data!V:AD,9,0)</f>
        <v>#N/A</v>
      </c>
    </row>
    <row r="122" spans="1:10">
      <c r="A122" s="19" t="s">
        <v>1423</v>
      </c>
      <c r="B122">
        <v>5488</v>
      </c>
      <c r="D122" t="s">
        <v>1425</v>
      </c>
      <c r="E122">
        <v>324114</v>
      </c>
      <c r="F122">
        <f>VLOOKUP(D122,'[1]Sales Register'!$E:$I,5,0)</f>
        <v>324114</v>
      </c>
      <c r="G122">
        <f t="shared" si="1"/>
        <v>0</v>
      </c>
      <c r="I122" t="s">
        <v>1333</v>
      </c>
      <c r="J122" t="e">
        <f>VLOOKUP(D122,Data!V:AD,9,0)</f>
        <v>#N/A</v>
      </c>
    </row>
    <row r="123" spans="1:10">
      <c r="A123" s="19" t="s">
        <v>1424</v>
      </c>
      <c r="B123">
        <v>1496</v>
      </c>
      <c r="D123" t="s">
        <v>1426</v>
      </c>
      <c r="E123">
        <v>439828.39</v>
      </c>
      <c r="F123">
        <f>VLOOKUP(D123,'[1]Sales Register'!$E:$I,5,0)</f>
        <v>439828.39</v>
      </c>
      <c r="G123">
        <f t="shared" si="1"/>
        <v>0</v>
      </c>
      <c r="I123" t="s">
        <v>1333</v>
      </c>
      <c r="J123" t="e">
        <f>VLOOKUP(D123,Data!V:AD,9,0)</f>
        <v>#N/A</v>
      </c>
    </row>
    <row r="124" spans="1:10">
      <c r="A124" s="19" t="s">
        <v>1425</v>
      </c>
      <c r="B124">
        <v>324114</v>
      </c>
      <c r="D124" t="s">
        <v>1427</v>
      </c>
      <c r="E124">
        <v>42107.63</v>
      </c>
      <c r="F124">
        <f>VLOOKUP(D124,'[1]Sales Register'!$E:$I,5,0)</f>
        <v>42107.63</v>
      </c>
      <c r="G124">
        <f t="shared" si="1"/>
        <v>0</v>
      </c>
      <c r="I124" t="s">
        <v>1333</v>
      </c>
      <c r="J124" t="e">
        <f>VLOOKUP(D124,Data!V:AD,9,0)</f>
        <v>#N/A</v>
      </c>
    </row>
    <row r="125" spans="1:10">
      <c r="A125" s="19" t="s">
        <v>1426</v>
      </c>
      <c r="B125">
        <v>439828.39</v>
      </c>
      <c r="D125" t="s">
        <v>1311</v>
      </c>
      <c r="E125">
        <v>118486.70999999999</v>
      </c>
      <c r="F125">
        <f>VLOOKUP(D125,'[1]Sales Register'!$E:$I,5,0)</f>
        <v>118486.71</v>
      </c>
      <c r="G125">
        <f t="shared" si="1"/>
        <v>0</v>
      </c>
      <c r="I125" t="s">
        <v>1333</v>
      </c>
      <c r="J125" t="str">
        <f>VLOOKUP(D125,Data!V:AD,9,0)</f>
        <v>Jun'23</v>
      </c>
    </row>
    <row r="126" spans="1:10">
      <c r="A126" s="19" t="s">
        <v>1427</v>
      </c>
      <c r="B126">
        <v>42107.63</v>
      </c>
      <c r="D126" t="s">
        <v>128</v>
      </c>
      <c r="E126">
        <v>4874</v>
      </c>
      <c r="F126">
        <f>VLOOKUP(D126,'[1]Sales Register'!$E:$I,5,0)</f>
        <v>4874</v>
      </c>
      <c r="G126">
        <f t="shared" si="1"/>
        <v>0</v>
      </c>
      <c r="I126" t="s">
        <v>1333</v>
      </c>
      <c r="J126" t="str">
        <f>VLOOKUP(D126,Data!V:AD,9,0)</f>
        <v>Jun'23</v>
      </c>
    </row>
    <row r="127" spans="1:10">
      <c r="A127" s="19" t="s">
        <v>1311</v>
      </c>
      <c r="B127">
        <v>118486.70999999999</v>
      </c>
      <c r="D127" t="s">
        <v>617</v>
      </c>
      <c r="E127">
        <v>13093.31</v>
      </c>
      <c r="F127">
        <f>VLOOKUP(D127,'[1]Sales Register'!$E:$I,5,0)</f>
        <v>13093.31</v>
      </c>
      <c r="G127">
        <f t="shared" si="1"/>
        <v>0</v>
      </c>
      <c r="I127" t="s">
        <v>1333</v>
      </c>
      <c r="J127" t="str">
        <f>VLOOKUP(D127,Data!V:AD,9,0)</f>
        <v>Jun'23</v>
      </c>
    </row>
    <row r="128" spans="1:10">
      <c r="A128" s="19" t="s">
        <v>128</v>
      </c>
      <c r="B128">
        <v>4874</v>
      </c>
      <c r="D128" t="s">
        <v>1428</v>
      </c>
      <c r="E128">
        <v>3394</v>
      </c>
      <c r="F128">
        <f>VLOOKUP(D128,'[1]Sales Register'!$E:$I,5,0)</f>
        <v>6089</v>
      </c>
      <c r="G128">
        <f t="shared" si="1"/>
        <v>-2695</v>
      </c>
      <c r="H128" t="e">
        <f>VLOOKUP(D128,'[1]Credit Note Register'!$E:$I,5,0)</f>
        <v>#N/A</v>
      </c>
      <c r="I128" t="s">
        <v>1333</v>
      </c>
      <c r="J128" t="e">
        <f>VLOOKUP(D128,Data!V:AD,9,0)</f>
        <v>#N/A</v>
      </c>
    </row>
    <row r="129" spans="1:10">
      <c r="A129" s="19" t="s">
        <v>617</v>
      </c>
      <c r="B129">
        <v>13093.31</v>
      </c>
      <c r="D129" t="s">
        <v>1429</v>
      </c>
      <c r="E129">
        <v>18196</v>
      </c>
      <c r="F129">
        <f>VLOOKUP(D129,'[1]Sales Register'!$E:$I,5,0)</f>
        <v>18196</v>
      </c>
      <c r="G129">
        <f t="shared" si="1"/>
        <v>0</v>
      </c>
      <c r="I129" t="s">
        <v>1333</v>
      </c>
      <c r="J129" t="e">
        <f>VLOOKUP(D129,Data!V:AD,9,0)</f>
        <v>#N/A</v>
      </c>
    </row>
    <row r="130" spans="1:10">
      <c r="A130" s="19" t="s">
        <v>1428</v>
      </c>
      <c r="B130">
        <v>3394</v>
      </c>
      <c r="D130" t="s">
        <v>1430</v>
      </c>
      <c r="E130">
        <v>1285</v>
      </c>
      <c r="F130">
        <f>VLOOKUP(D130,'[1]Sales Register'!$E:$I,5,0)</f>
        <v>396897</v>
      </c>
      <c r="G130">
        <f t="shared" si="1"/>
        <v>-395612</v>
      </c>
      <c r="H130" t="e">
        <f>VLOOKUP(D130,'[1]Credit Note Register'!$E:$I,5,0)</f>
        <v>#N/A</v>
      </c>
      <c r="I130" t="s">
        <v>1333</v>
      </c>
      <c r="J130" t="e">
        <f>VLOOKUP(D130,Data!V:AD,9,0)</f>
        <v>#N/A</v>
      </c>
    </row>
    <row r="131" spans="1:10">
      <c r="A131" s="19" t="s">
        <v>1429</v>
      </c>
      <c r="B131">
        <v>18196</v>
      </c>
      <c r="D131" t="s">
        <v>304</v>
      </c>
      <c r="E131">
        <v>-2502.6800000000003</v>
      </c>
      <c r="F131" t="e">
        <f>VLOOKUP(D131,'[1]Sales Register'!$E:$I,5,0)</f>
        <v>#N/A</v>
      </c>
      <c r="G131" t="e">
        <f t="shared" ref="G131:G132" si="2">E131-F131</f>
        <v>#N/A</v>
      </c>
      <c r="H131">
        <f>VLOOKUP(D131,'[1]Credit Note Register'!$E:$I,5,0)</f>
        <v>2502.6799999999998</v>
      </c>
      <c r="I131" t="s">
        <v>1333</v>
      </c>
      <c r="J131" t="str">
        <f>VLOOKUP(D131,Data!V:AD,9,0)</f>
        <v>Jun'23</v>
      </c>
    </row>
    <row r="132" spans="1:10">
      <c r="A132" s="19" t="s">
        <v>1430</v>
      </c>
      <c r="B132">
        <v>1285</v>
      </c>
      <c r="D132" t="s">
        <v>1431</v>
      </c>
      <c r="E132">
        <v>83433244.23999998</v>
      </c>
      <c r="F132" t="e">
        <f>VLOOKUP(D132,'[1]Sales Register'!$E:$I,5,0)</f>
        <v>#N/A</v>
      </c>
      <c r="G132" t="e">
        <f t="shared" si="2"/>
        <v>#N/A</v>
      </c>
      <c r="H132" t="e">
        <f>VLOOKUP(D132,'[1]Credit Note Register'!$E:$I,5,0)</f>
        <v>#N/A</v>
      </c>
      <c r="J132" t="e">
        <f>VLOOKUP(D132,Data!V:AD,9,0)</f>
        <v>#N/A</v>
      </c>
    </row>
    <row r="133" spans="1:10">
      <c r="A133" s="19" t="s">
        <v>304</v>
      </c>
      <c r="B133">
        <v>-2502.6800000000003</v>
      </c>
    </row>
    <row r="134" spans="1:10">
      <c r="A134" s="19" t="s">
        <v>1431</v>
      </c>
      <c r="B134">
        <v>64863054.540000014</v>
      </c>
    </row>
  </sheetData>
  <autoFilter ref="D1:L132" xr:uid="{B6AAC6A0-CC09-4E93-A50A-FF7691FD073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D8747B0FFD14EB9591C5285A2D515" ma:contentTypeVersion="7" ma:contentTypeDescription="Create a new document." ma:contentTypeScope="" ma:versionID="61caff2b19944e8d34fd2139b7881733">
  <xsd:schema xmlns:xsd="http://www.w3.org/2001/XMLSchema" xmlns:xs="http://www.w3.org/2001/XMLSchema" xmlns:p="http://schemas.microsoft.com/office/2006/metadata/properties" xmlns:ns2="5ed0beda-678e-4360-8c6d-a9c01f502be7" xmlns:ns3="16c5d3aa-c952-48ce-9e7d-4efdb5d67bf6" targetNamespace="http://schemas.microsoft.com/office/2006/metadata/properties" ma:root="true" ma:fieldsID="79620f183735941574aed5ca8d8d6e51" ns2:_="" ns3:_="">
    <xsd:import namespace="5ed0beda-678e-4360-8c6d-a9c01f502be7"/>
    <xsd:import namespace="16c5d3aa-c952-48ce-9e7d-4efdb5d67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0beda-678e-4360-8c6d-a9c01f502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5d3aa-c952-48ce-9e7d-4efdb5d67bf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439126-8C86-4747-8290-70127CB69C63}"/>
</file>

<file path=customXml/itemProps2.xml><?xml version="1.0" encoding="utf-8"?>
<ds:datastoreItem xmlns:ds="http://schemas.openxmlformats.org/officeDocument/2006/customXml" ds:itemID="{611BA4A7-6693-4093-A586-42A523FDBDEA}"/>
</file>

<file path=customXml/itemProps3.xml><?xml version="1.0" encoding="utf-8"?>
<ds:datastoreItem xmlns:ds="http://schemas.openxmlformats.org/officeDocument/2006/customXml" ds:itemID="{F6CF1500-C624-4383-A7B7-F38C76DF2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Prudent-Rushiraj Rohidas Sawant</dc:creator>
  <cp:keywords/>
  <dc:description/>
  <cp:lastModifiedBy>Rushika Nikam</cp:lastModifiedBy>
  <cp:revision/>
  <dcterms:created xsi:type="dcterms:W3CDTF">2023-08-23T12:17:11Z</dcterms:created>
  <dcterms:modified xsi:type="dcterms:W3CDTF">2025-11-27T06:48:46Z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0x010100ACAD8747B0FFD14EB9591C5285A2D515</vt:lpwstr>
  </property>
</Properties>
</file>